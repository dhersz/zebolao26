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AMENTO" sheetId="1" r:id="rId4"/>
    <sheet state="visible" name="APOSTAS" sheetId="2" r:id="rId5"/>
    <sheet state="visible" name="RESULTADOS" sheetId="3" r:id="rId6"/>
    <sheet state="visible" name="Joels Soares" sheetId="4" r:id="rId7"/>
    <sheet state="visible" name="Lucas Joels" sheetId="5" r:id="rId8"/>
    <sheet state="visible" name="Tuka" sheetId="6" r:id="rId9"/>
    <sheet state="visible" name="Barrão" sheetId="7" r:id="rId10"/>
    <sheet state="visible" name="Zé Luis" sheetId="8" r:id="rId11"/>
    <sheet state="visible" name="Nelson Emoção" sheetId="9" r:id="rId12"/>
    <sheet state="visible" name="Nelson Razão" sheetId="10" r:id="rId13"/>
    <sheet state="visible" name="Davi" sheetId="11" r:id="rId14"/>
    <sheet state="visible" name="Mekler" sheetId="12" r:id="rId15"/>
    <sheet state="visible" name="José" sheetId="13" r:id="rId16"/>
    <sheet state="visible" name="Noé" sheetId="14" r:id="rId17"/>
    <sheet state="visible" name="Pedro Hersz" sheetId="15" r:id="rId18"/>
    <sheet state="visible" name="Matheus" sheetId="16" r:id="rId19"/>
    <sheet state="visible" name="Daniel" sheetId="17" r:id="rId20"/>
    <sheet state="visible" name="Quito" sheetId="18" r:id="rId21"/>
    <sheet state="visible" name="Jê" sheetId="19" r:id="rId22"/>
    <sheet state="visible" name="Diana" sheetId="20" r:id="rId23"/>
    <sheet state="visible" name="Humberto" sheetId="21" r:id="rId24"/>
    <sheet state="visible" name="Laufer" sheetId="22" r:id="rId25"/>
    <sheet state="visible" name="Tello" sheetId="23" r:id="rId26"/>
    <sheet state="visible" name="Bento" sheetId="24" r:id="rId27"/>
  </sheets>
  <definedNames/>
  <calcPr/>
</workbook>
</file>

<file path=xl/sharedStrings.xml><?xml version="1.0" encoding="utf-8"?>
<sst xmlns="http://schemas.openxmlformats.org/spreadsheetml/2006/main" count="12030" uniqueCount="258">
  <si>
    <t>Joels Soares</t>
  </si>
  <si>
    <t>OK</t>
  </si>
  <si>
    <t>Lucas Joels</t>
  </si>
  <si>
    <t>Tuka</t>
  </si>
  <si>
    <t>Barrão</t>
  </si>
  <si>
    <t>Zé Luis</t>
  </si>
  <si>
    <t>Nelson Emoção</t>
  </si>
  <si>
    <t>Nelson Razão</t>
  </si>
  <si>
    <t>Davi</t>
  </si>
  <si>
    <t>Mekler</t>
  </si>
  <si>
    <t>José</t>
  </si>
  <si>
    <t>Noé</t>
  </si>
  <si>
    <t>Pedro Hersz</t>
  </si>
  <si>
    <t>Matheus</t>
  </si>
  <si>
    <t>Daniel</t>
  </si>
  <si>
    <t>Jê</t>
  </si>
  <si>
    <t>Quito</t>
  </si>
  <si>
    <t>Diana</t>
  </si>
  <si>
    <t>Humberto</t>
  </si>
  <si>
    <t>Laufer</t>
  </si>
  <si>
    <t>Bento</t>
  </si>
  <si>
    <t>Tello</t>
  </si>
  <si>
    <t>SEU NOME AQUI</t>
  </si>
  <si>
    <t>DATA</t>
  </si>
  <si>
    <t>CLASSIFICAÇÃO</t>
  </si>
  <si>
    <t>PONTUAÇÃO</t>
  </si>
  <si>
    <t>TOTAL</t>
  </si>
  <si>
    <t>GRUPO A</t>
  </si>
  <si>
    <t>DIA</t>
  </si>
  <si>
    <t>HORA</t>
  </si>
  <si>
    <t>México</t>
  </si>
  <si>
    <t>x</t>
  </si>
  <si>
    <t>África do Sul</t>
  </si>
  <si>
    <t>P</t>
  </si>
  <si>
    <t>SG</t>
  </si>
  <si>
    <t>GP</t>
  </si>
  <si>
    <t>GC</t>
  </si>
  <si>
    <t>V</t>
  </si>
  <si>
    <t>E</t>
  </si>
  <si>
    <t>D</t>
  </si>
  <si>
    <t>Coreia do Sul</t>
  </si>
  <si>
    <t>República Tcheca</t>
  </si>
  <si>
    <t>C6</t>
  </si>
  <si>
    <t>E8</t>
  </si>
  <si>
    <t>E9</t>
  </si>
  <si>
    <t>C5</t>
  </si>
  <si>
    <t>C8</t>
  </si>
  <si>
    <t>E10</t>
  </si>
  <si>
    <t>E6</t>
  </si>
  <si>
    <t>C7</t>
  </si>
  <si>
    <t>C10</t>
  </si>
  <si>
    <t>E5</t>
  </si>
  <si>
    <t>E7</t>
  </si>
  <si>
    <t>C9</t>
  </si>
  <si>
    <t>GRUPO B</t>
  </si>
  <si>
    <t>Canadá</t>
  </si>
  <si>
    <t>Bósnia</t>
  </si>
  <si>
    <t>Catar</t>
  </si>
  <si>
    <t>Suíça</t>
  </si>
  <si>
    <t>E13</t>
  </si>
  <si>
    <t>E15</t>
  </si>
  <si>
    <t>C18</t>
  </si>
  <si>
    <t>C13</t>
  </si>
  <si>
    <t>C16</t>
  </si>
  <si>
    <t>E17</t>
  </si>
  <si>
    <t>C14</t>
  </si>
  <si>
    <t>E16</t>
  </si>
  <si>
    <t>E18</t>
  </si>
  <si>
    <t>E14</t>
  </si>
  <si>
    <t>C15</t>
  </si>
  <si>
    <t>C17</t>
  </si>
  <si>
    <t>GRUPO C</t>
  </si>
  <si>
    <t>Brasil</t>
  </si>
  <si>
    <t>Marrocos</t>
  </si>
  <si>
    <t>Haiti</t>
  </si>
  <si>
    <t>Escócia</t>
  </si>
  <si>
    <t>C21</t>
  </si>
  <si>
    <t>C24</t>
  </si>
  <si>
    <t>E26</t>
  </si>
  <si>
    <t>E22</t>
  </si>
  <si>
    <t>C23</t>
  </si>
  <si>
    <t>C26</t>
  </si>
  <si>
    <t>C22</t>
  </si>
  <si>
    <t>E24</t>
  </si>
  <si>
    <t>E25</t>
  </si>
  <si>
    <t>E21</t>
  </si>
  <si>
    <t>E23</t>
  </si>
  <si>
    <t>C25</t>
  </si>
  <si>
    <t>GRUPO D</t>
  </si>
  <si>
    <t>Estados Unidos</t>
  </si>
  <si>
    <t>Paraguai</t>
  </si>
  <si>
    <t>Austrália</t>
  </si>
  <si>
    <t>Turquia</t>
  </si>
  <si>
    <t>C30</t>
  </si>
  <si>
    <t>E31</t>
  </si>
  <si>
    <t>E34</t>
  </si>
  <si>
    <t>C29</t>
  </si>
  <si>
    <t>C31</t>
  </si>
  <si>
    <t>E33</t>
  </si>
  <si>
    <t>E29</t>
  </si>
  <si>
    <t>E32</t>
  </si>
  <si>
    <t>E30</t>
  </si>
  <si>
    <t>C32</t>
  </si>
  <si>
    <t>C33</t>
  </si>
  <si>
    <t>GRUPO E</t>
  </si>
  <si>
    <t>Alemanha</t>
  </si>
  <si>
    <t>Curaçao</t>
  </si>
  <si>
    <t>Costa do Marfim</t>
  </si>
  <si>
    <t>Equador</t>
  </si>
  <si>
    <t>C37</t>
  </si>
  <si>
    <t>C39</t>
  </si>
  <si>
    <t>E41</t>
  </si>
  <si>
    <t>C38</t>
  </si>
  <si>
    <t>E39</t>
  </si>
  <si>
    <t>E42</t>
  </si>
  <si>
    <t>E37</t>
  </si>
  <si>
    <t>E40</t>
  </si>
  <si>
    <t>C42</t>
  </si>
  <si>
    <t>E38</t>
  </si>
  <si>
    <t>C40</t>
  </si>
  <si>
    <t>C41</t>
  </si>
  <si>
    <t>GRUPO F</t>
  </si>
  <si>
    <t>Holanda</t>
  </si>
  <si>
    <t>Japão</t>
  </si>
  <si>
    <t>Suécia</t>
  </si>
  <si>
    <t>Tunísia</t>
  </si>
  <si>
    <t>C45</t>
  </si>
  <si>
    <t>C47</t>
  </si>
  <si>
    <t>E49</t>
  </si>
  <si>
    <t>E45</t>
  </si>
  <si>
    <t>E48</t>
  </si>
  <si>
    <t>C50</t>
  </si>
  <si>
    <t>C46</t>
  </si>
  <si>
    <t>E47</t>
  </si>
  <si>
    <t>E50</t>
  </si>
  <si>
    <t>E46</t>
  </si>
  <si>
    <t>C48</t>
  </si>
  <si>
    <t>C49</t>
  </si>
  <si>
    <t>GRUPO G</t>
  </si>
  <si>
    <t>Bélgica</t>
  </si>
  <si>
    <t>Egito</t>
  </si>
  <si>
    <t>Irã</t>
  </si>
  <si>
    <t>Nova Zelândia</t>
  </si>
  <si>
    <t>C53</t>
  </si>
  <si>
    <t>C55</t>
  </si>
  <si>
    <t>E58</t>
  </si>
  <si>
    <t>E53</t>
  </si>
  <si>
    <t>E56</t>
  </si>
  <si>
    <t>C57</t>
  </si>
  <si>
    <t>C54</t>
  </si>
  <si>
    <t>E55</t>
  </si>
  <si>
    <t>E57</t>
  </si>
  <si>
    <t>E54</t>
  </si>
  <si>
    <t>C56</t>
  </si>
  <si>
    <t>C58</t>
  </si>
  <si>
    <t>GRUPO H</t>
  </si>
  <si>
    <t>Espanha</t>
  </si>
  <si>
    <t>Cabo Verde</t>
  </si>
  <si>
    <t>Arábia Saudita</t>
  </si>
  <si>
    <t>Uruguai</t>
  </si>
  <si>
    <t>C62</t>
  </si>
  <si>
    <t>E63</t>
  </si>
  <si>
    <t>E65</t>
  </si>
  <si>
    <t>E61</t>
  </si>
  <si>
    <t>E64</t>
  </si>
  <si>
    <t>C65</t>
  </si>
  <si>
    <t>C61</t>
  </si>
  <si>
    <t>C63</t>
  </si>
  <si>
    <t>E66</t>
  </si>
  <si>
    <t>E62</t>
  </si>
  <si>
    <t>C64</t>
  </si>
  <si>
    <t>C66</t>
  </si>
  <si>
    <t>GRUPO I</t>
  </si>
  <si>
    <t>França</t>
  </si>
  <si>
    <t>Senegal</t>
  </si>
  <si>
    <t>Iraque</t>
  </si>
  <si>
    <t>Noruega</t>
  </si>
  <si>
    <t>C69</t>
  </si>
  <si>
    <t>C71</t>
  </si>
  <si>
    <t>E74</t>
  </si>
  <si>
    <t>C70</t>
  </si>
  <si>
    <t>E71</t>
  </si>
  <si>
    <t>E73</t>
  </si>
  <si>
    <t>E70</t>
  </si>
  <si>
    <t>C72</t>
  </si>
  <si>
    <t>C74</t>
  </si>
  <si>
    <t>E69</t>
  </si>
  <si>
    <t>E72</t>
  </si>
  <si>
    <t>C73</t>
  </si>
  <si>
    <t>GRUPO J</t>
  </si>
  <si>
    <t>Argentina</t>
  </si>
  <si>
    <t>Argélia</t>
  </si>
  <si>
    <t>Áustria</t>
  </si>
  <si>
    <t>Jordânia</t>
  </si>
  <si>
    <t>C77</t>
  </si>
  <si>
    <t>C79</t>
  </si>
  <si>
    <t>E81</t>
  </si>
  <si>
    <t>E77</t>
  </si>
  <si>
    <t>E80</t>
  </si>
  <si>
    <t>C82</t>
  </si>
  <si>
    <t>E78</t>
  </si>
  <si>
    <t>C80</t>
  </si>
  <si>
    <t>C81</t>
  </si>
  <si>
    <t>C78</t>
  </si>
  <si>
    <t>E79</t>
  </si>
  <si>
    <t>E82</t>
  </si>
  <si>
    <t>GRUPO K</t>
  </si>
  <si>
    <t>Portugal</t>
  </si>
  <si>
    <t>RD Congo</t>
  </si>
  <si>
    <t>Uzbequistão</t>
  </si>
  <si>
    <t>Colômbia</t>
  </si>
  <si>
    <t>E86</t>
  </si>
  <si>
    <t>C88</t>
  </si>
  <si>
    <t>C90</t>
  </si>
  <si>
    <t>C85</t>
  </si>
  <si>
    <t>C87</t>
  </si>
  <si>
    <t>E90</t>
  </si>
  <si>
    <t>E85</t>
  </si>
  <si>
    <t>E88</t>
  </si>
  <si>
    <t>C89</t>
  </si>
  <si>
    <t>C86</t>
  </si>
  <si>
    <t>E87</t>
  </si>
  <si>
    <t>E89</t>
  </si>
  <si>
    <t>GRUPO L</t>
  </si>
  <si>
    <t>Inglaterra</t>
  </si>
  <si>
    <t>Croácia</t>
  </si>
  <si>
    <t>Gana</t>
  </si>
  <si>
    <t>Panamá</t>
  </si>
  <si>
    <t>E93</t>
  </si>
  <si>
    <t>E96</t>
  </si>
  <si>
    <t>C97</t>
  </si>
  <si>
    <t>C94</t>
  </si>
  <si>
    <t>E95</t>
  </si>
  <si>
    <t>E97</t>
  </si>
  <si>
    <t>C93</t>
  </si>
  <si>
    <t>C95</t>
  </si>
  <si>
    <t>E98</t>
  </si>
  <si>
    <t>E94</t>
  </si>
  <si>
    <t>C96</t>
  </si>
  <si>
    <t>C98</t>
  </si>
  <si>
    <t>RESULTADOS</t>
  </si>
  <si>
    <t>FAMÍLIA JOELS SOARES</t>
  </si>
  <si>
    <t>LUCAS JOELS SAINT-YVES</t>
  </si>
  <si>
    <t>TUKA</t>
  </si>
  <si>
    <t xml:space="preserve">BARRÃO </t>
  </si>
  <si>
    <t>Zé</t>
  </si>
  <si>
    <t>NELSON EMOÇÃO</t>
  </si>
  <si>
    <t>NELSON RAZÃO</t>
  </si>
  <si>
    <t>SERGIO MEKLER</t>
  </si>
  <si>
    <t>José Mekler</t>
  </si>
  <si>
    <t xml:space="preserve">Noé </t>
  </si>
  <si>
    <t>Pedro Herszenhut</t>
  </si>
  <si>
    <t>DANIEL</t>
  </si>
  <si>
    <t>QUITO</t>
  </si>
  <si>
    <t>DIANA JOELS</t>
  </si>
  <si>
    <t>HUMBERTO</t>
  </si>
  <si>
    <t>TELLO</t>
  </si>
  <si>
    <t>BENTO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</si>
</sst>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"/>
  </numFmts>
  <fonts count="24">
    <font>
      <sz val="10.0"/>
      <color rgb="FF000000"/>
      <name val="Arial"/>
      <scheme val="minor"/>
    </font>
    <font>
      <b/>
      <sz val="14.0"/>
      <color rgb="FF1FB714"/>
      <name val="Arial"/>
    </font>
    <font>
      <sz val="11.0"/>
      <name val="Cambria"/>
    </font>
    <font>
      <sz val="14.0"/>
      <color rgb="FF000000"/>
      <name val="Arial"/>
    </font>
    <font>
      <b/>
      <sz val="12.0"/>
      <color rgb="FF000000"/>
      <name val="Arial"/>
    </font>
    <font>
      <sz val="11.0"/>
      <color rgb="FFC9211E"/>
      <name val="Cambria"/>
    </font>
    <font>
      <sz val="10.0"/>
      <color rgb="FFFFFFFF"/>
      <name val="Arial"/>
    </font>
    <font>
      <sz val="11.0"/>
      <color rgb="FFFFFFFF"/>
      <name val="Cambria"/>
    </font>
    <font/>
    <font>
      <sz val="12.0"/>
      <color rgb="FF000000"/>
      <name val="Arial"/>
    </font>
    <font>
      <b/>
      <sz val="10.0"/>
      <color rgb="FF000000"/>
      <name val="Arial"/>
    </font>
    <font>
      <sz val="8.0"/>
      <color rgb="FF000000"/>
      <name val="Arial"/>
    </font>
    <font>
      <sz val="10.0"/>
      <color rgb="FF000000"/>
      <name val="Arial"/>
    </font>
    <font>
      <sz val="10.0"/>
      <color rgb="FFC9211E"/>
      <name val="Arial"/>
    </font>
    <font>
      <b/>
      <sz val="10.0"/>
      <color rgb="FFDD0806"/>
      <name val="Arial"/>
    </font>
    <font>
      <sz val="11.0"/>
      <color rgb="FF000000"/>
      <name val="Cambria"/>
    </font>
    <font>
      <sz val="10.0"/>
      <name val="Arial"/>
    </font>
    <font>
      <b/>
      <sz val="14.0"/>
      <name val="Arial"/>
    </font>
    <font>
      <sz val="14.0"/>
      <name val="Arial"/>
    </font>
    <font>
      <b/>
      <sz val="12.0"/>
      <name val="Arial"/>
    </font>
    <font>
      <sz val="12.0"/>
      <name val="Arial"/>
    </font>
    <font>
      <b/>
      <sz val="10.0"/>
      <name val="Arial"/>
    </font>
    <font>
      <sz val="8.0"/>
      <name val="Arial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1" numFmtId="0" xfId="0" applyAlignment="1" applyBorder="1" applyFont="1">
      <alignment horizontal="center" vertical="center"/>
    </xf>
    <xf borderId="2" fillId="0" fontId="8" numFmtId="0" xfId="0" applyBorder="1" applyFont="1"/>
    <xf borderId="3" fillId="0" fontId="8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7" fillId="0" fontId="12" numFmtId="0" xfId="0" applyAlignment="1" applyBorder="1" applyFont="1">
      <alignment horizontal="right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8" fillId="0" fontId="12" numFmtId="0" xfId="0" applyAlignment="1" applyBorder="1" applyFont="1">
      <alignment horizontal="left" vertical="center"/>
    </xf>
    <xf borderId="7" fillId="0" fontId="11" numFmtId="164" xfId="0" applyAlignment="1" applyBorder="1" applyFont="1" applyNumberFormat="1">
      <alignment horizontal="center" vertical="center"/>
    </xf>
    <xf borderId="8" fillId="0" fontId="11" numFmtId="20" xfId="0" applyAlignment="1" applyBorder="1" applyFont="1" applyNumberFormat="1">
      <alignment horizontal="center" vertical="center"/>
    </xf>
    <xf borderId="0" fillId="0" fontId="11" numFmtId="20" xfId="0" applyAlignment="1" applyFont="1" applyNumberFormat="1">
      <alignment horizontal="center" vertical="center"/>
    </xf>
    <xf borderId="5" fillId="0" fontId="12" numFmtId="0" xfId="0" applyAlignment="1" applyBorder="1" applyFont="1">
      <alignment vertical="center"/>
    </xf>
    <xf borderId="9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4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8" fillId="0" fontId="12" numFmtId="0" xfId="0" applyAlignment="1" applyBorder="1" applyFont="1">
      <alignment vertical="center"/>
    </xf>
    <xf borderId="7" fillId="0" fontId="12" numFmtId="0" xfId="0" applyAlignment="1" applyBorder="1" applyFont="1">
      <alignment horizontal="left" vertical="center"/>
    </xf>
    <xf borderId="8" fillId="0" fontId="12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left" vertical="center"/>
    </xf>
    <xf borderId="11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right" vertical="center"/>
    </xf>
    <xf borderId="11" fillId="0" fontId="10" numFmtId="0" xfId="0" applyAlignment="1" applyBorder="1" applyFont="1">
      <alignment vertical="center"/>
    </xf>
    <xf borderId="11" fillId="0" fontId="10" numFmtId="0" xfId="0" applyAlignment="1" applyBorder="1" applyFont="1">
      <alignment horizontal="left" vertical="center"/>
    </xf>
    <xf borderId="12" fillId="0" fontId="12" numFmtId="0" xfId="0" applyAlignment="1" applyBorder="1" applyFont="1">
      <alignment vertical="center"/>
    </xf>
    <xf borderId="10" fillId="0" fontId="11" numFmtId="164" xfId="0" applyAlignment="1" applyBorder="1" applyFont="1" applyNumberFormat="1">
      <alignment horizontal="center" vertical="center"/>
    </xf>
    <xf borderId="12" fillId="0" fontId="11" numFmtId="20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5" fillId="0" fontId="12" numFmtId="0" xfId="0" applyAlignment="1" applyBorder="1" applyFont="1">
      <alignment horizontal="left" vertical="center"/>
    </xf>
    <xf borderId="12" fillId="0" fontId="12" numFmtId="0" xfId="0" applyAlignment="1" applyBorder="1" applyFont="1">
      <alignment horizontal="left" vertical="center"/>
    </xf>
    <xf borderId="7" fillId="0" fontId="12" numFmtId="0" xfId="0" applyAlignment="1" applyBorder="1" applyFont="1">
      <alignment vertical="center"/>
    </xf>
    <xf borderId="10" fillId="0" fontId="12" numFmtId="0" xfId="0" applyAlignment="1" applyBorder="1" applyFont="1">
      <alignment vertical="center"/>
    </xf>
    <xf borderId="0" fillId="0" fontId="13" numFmtId="0" xfId="0" applyFon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1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right"/>
    </xf>
    <xf borderId="11" fillId="0" fontId="12" numFmtId="0" xfId="0" applyAlignment="1" applyBorder="1" applyFont="1">
      <alignment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15" numFmtId="0" xfId="0" applyFont="1"/>
    <xf borderId="5" fillId="0" fontId="16" numFmtId="0" xfId="0" applyBorder="1" applyFont="1"/>
    <xf borderId="2" fillId="0" fontId="17" numFmtId="0" xfId="0" applyAlignment="1" applyBorder="1" applyFont="1">
      <alignment horizontal="center"/>
    </xf>
    <xf borderId="2" fillId="0" fontId="2" numFmtId="0" xfId="0" applyBorder="1" applyFont="1"/>
    <xf borderId="9" fillId="0" fontId="2" numFmtId="0" xfId="0" applyBorder="1" applyFont="1"/>
    <xf borderId="2" fillId="0" fontId="18" numFmtId="0" xfId="0" applyAlignment="1" applyBorder="1" applyFont="1">
      <alignment horizontal="center"/>
    </xf>
    <xf borderId="13" fillId="2" fontId="19" numFmtId="0" xfId="0" applyAlignment="1" applyBorder="1" applyFill="1" applyFont="1">
      <alignment horizontal="center" vertical="center"/>
    </xf>
    <xf borderId="14" fillId="2" fontId="16" numFmtId="0" xfId="0" applyBorder="1" applyFont="1"/>
    <xf borderId="14" fillId="2" fontId="2" numFmtId="0" xfId="0" applyBorder="1" applyFont="1"/>
    <xf borderId="6" fillId="0" fontId="2" numFmtId="0" xfId="0" applyBorder="1" applyFont="1"/>
    <xf borderId="15" fillId="0" fontId="16" numFmtId="0" xfId="0" applyBorder="1" applyFont="1"/>
    <xf borderId="1" fillId="2" fontId="17" numFmtId="49" xfId="0" applyAlignment="1" applyBorder="1" applyFont="1" applyNumberFormat="1">
      <alignment horizontal="center" vertical="center"/>
    </xf>
    <xf borderId="15" fillId="0" fontId="2" numFmtId="0" xfId="0" applyBorder="1" applyFont="1"/>
    <xf borderId="1" fillId="0" fontId="18" numFmtId="49" xfId="0" applyAlignment="1" applyBorder="1" applyFont="1" applyNumberFormat="1">
      <alignment horizontal="center"/>
    </xf>
    <xf borderId="1" fillId="2" fontId="18" numFmtId="49" xfId="0" applyAlignment="1" applyBorder="1" applyFont="1" applyNumberFormat="1">
      <alignment horizontal="center" vertical="center"/>
    </xf>
    <xf borderId="16" fillId="2" fontId="16" numFmtId="0" xfId="0" applyBorder="1" applyFont="1"/>
    <xf borderId="17" fillId="2" fontId="2" numFmtId="0" xfId="0" applyBorder="1" applyFont="1"/>
    <xf borderId="8" fillId="0" fontId="2" numFmtId="0" xfId="0" applyBorder="1" applyFont="1"/>
    <xf borderId="7" fillId="0" fontId="16" numFmtId="0" xfId="0" applyBorder="1" applyFont="1"/>
    <xf borderId="2" fillId="0" fontId="16" numFmtId="0" xfId="0" applyBorder="1" applyFont="1"/>
    <xf borderId="9" fillId="0" fontId="18" numFmtId="0" xfId="0" applyAlignment="1" applyBorder="1" applyFont="1">
      <alignment horizontal="center"/>
    </xf>
    <xf borderId="4" fillId="0" fontId="20" numFmtId="49" xfId="0" applyAlignment="1" applyBorder="1" applyFont="1" applyNumberFormat="1">
      <alignment horizontal="center"/>
    </xf>
    <xf borderId="1" fillId="2" fontId="20" numFmtId="0" xfId="0" applyAlignment="1" applyBorder="1" applyFont="1">
      <alignment horizontal="center" vertical="center"/>
    </xf>
    <xf borderId="17" fillId="2" fontId="16" numFmtId="0" xfId="0" applyBorder="1" applyFont="1"/>
    <xf borderId="0" fillId="0" fontId="16" numFmtId="0" xfId="0" applyFont="1"/>
    <xf borderId="8" fillId="0" fontId="16" numFmtId="0" xfId="0" applyBorder="1" applyFont="1"/>
    <xf borderId="1" fillId="2" fontId="21" numFmtId="49" xfId="0" applyAlignment="1" applyBorder="1" applyFont="1" applyNumberFormat="1">
      <alignment horizontal="center" vertical="center"/>
    </xf>
    <xf borderId="18" fillId="2" fontId="22" numFmtId="49" xfId="0" applyAlignment="1" applyBorder="1" applyFont="1" applyNumberFormat="1">
      <alignment horizontal="center" vertical="center"/>
    </xf>
    <xf borderId="19" fillId="2" fontId="22" numFmtId="49" xfId="0" applyAlignment="1" applyBorder="1" applyFont="1" applyNumberFormat="1">
      <alignment horizontal="center" vertical="center"/>
    </xf>
    <xf borderId="16" fillId="2" fontId="22" numFmtId="0" xfId="0" applyAlignment="1" applyBorder="1" applyFont="1">
      <alignment horizontal="center" vertical="center"/>
    </xf>
    <xf borderId="11" fillId="0" fontId="2" numFmtId="0" xfId="0" applyBorder="1" applyFont="1"/>
    <xf borderId="9" fillId="0" fontId="16" numFmtId="0" xfId="0" applyBorder="1" applyFont="1"/>
    <xf borderId="14" fillId="2" fontId="16" numFmtId="0" xfId="0" applyAlignment="1" applyBorder="1" applyFont="1">
      <alignment horizontal="center" vertical="center"/>
    </xf>
    <xf borderId="18" fillId="2" fontId="16" numFmtId="49" xfId="0" applyAlignment="1" applyBorder="1" applyFont="1" applyNumberFormat="1">
      <alignment horizontal="right" vertical="center"/>
    </xf>
    <xf borderId="14" fillId="2" fontId="21" numFmtId="0" xfId="0" applyAlignment="1" applyBorder="1" applyFont="1">
      <alignment vertical="center"/>
    </xf>
    <xf borderId="14" fillId="2" fontId="16" numFmtId="49" xfId="0" applyAlignment="1" applyBorder="1" applyFont="1" applyNumberFormat="1">
      <alignment horizontal="center" vertical="center"/>
    </xf>
    <xf borderId="14" fillId="2" fontId="21" numFmtId="0" xfId="0" applyAlignment="1" applyBorder="1" applyFont="1">
      <alignment horizontal="left" vertical="center"/>
    </xf>
    <xf borderId="19" fillId="2" fontId="16" numFmtId="49" xfId="0" applyAlignment="1" applyBorder="1" applyFont="1" applyNumberFormat="1">
      <alignment horizontal="left" vertical="center"/>
    </xf>
    <xf borderId="16" fillId="2" fontId="22" numFmtId="164" xfId="0" applyAlignment="1" applyBorder="1" applyFont="1" applyNumberFormat="1">
      <alignment horizontal="center" vertical="center"/>
    </xf>
    <xf borderId="20" fillId="2" fontId="22" numFmtId="20" xfId="0" applyAlignment="1" applyBorder="1" applyFont="1" applyNumberFormat="1">
      <alignment horizontal="center" vertical="center"/>
    </xf>
    <xf borderId="21" fillId="2" fontId="22" numFmtId="20" xfId="0" applyAlignment="1" applyBorder="1" applyFont="1" applyNumberFormat="1">
      <alignment horizontal="center" vertical="center"/>
    </xf>
    <xf borderId="18" fillId="2" fontId="16" numFmtId="0" xfId="0" applyAlignment="1" applyBorder="1" applyFont="1">
      <alignment vertical="center"/>
    </xf>
    <xf borderId="19" fillId="2" fontId="16" numFmtId="49" xfId="0" applyAlignment="1" applyBorder="1" applyFont="1" applyNumberFormat="1">
      <alignment horizontal="center" vertical="center"/>
    </xf>
    <xf borderId="16" fillId="2" fontId="16" numFmtId="0" xfId="0" applyAlignment="1" applyBorder="1" applyFont="1">
      <alignment horizontal="left" vertical="center"/>
    </xf>
    <xf borderId="0" fillId="0" fontId="21" numFmtId="0" xfId="0" applyAlignment="1" applyFont="1">
      <alignment horizontal="center"/>
    </xf>
    <xf borderId="16" fillId="2" fontId="16" numFmtId="49" xfId="0" applyAlignment="1" applyBorder="1" applyFont="1" applyNumberFormat="1">
      <alignment horizontal="right" vertical="center"/>
    </xf>
    <xf borderId="17" fillId="2" fontId="21" numFmtId="0" xfId="0" applyAlignment="1" applyBorder="1" applyFont="1">
      <alignment vertical="center"/>
    </xf>
    <xf borderId="17" fillId="2" fontId="16" numFmtId="49" xfId="0" applyAlignment="1" applyBorder="1" applyFont="1" applyNumberFormat="1">
      <alignment horizontal="center" vertical="center"/>
    </xf>
    <xf borderId="17" fillId="2" fontId="21" numFmtId="0" xfId="0" applyAlignment="1" applyBorder="1" applyFont="1">
      <alignment horizontal="left" vertical="center"/>
    </xf>
    <xf borderId="20" fillId="2" fontId="16" numFmtId="49" xfId="0" applyAlignment="1" applyBorder="1" applyFont="1" applyNumberFormat="1">
      <alignment vertical="center"/>
    </xf>
    <xf borderId="16" fillId="2" fontId="16" numFmtId="49" xfId="0" applyAlignment="1" applyBorder="1" applyFont="1" applyNumberFormat="1">
      <alignment horizontal="left" vertical="center"/>
    </xf>
    <xf borderId="17" fillId="2" fontId="16" numFmtId="0" xfId="0" applyAlignment="1" applyBorder="1" applyFont="1">
      <alignment horizontal="center" vertical="center"/>
    </xf>
    <xf borderId="20" fillId="2" fontId="16" numFmtId="0" xfId="0" applyAlignment="1" applyBorder="1" applyFont="1">
      <alignment horizontal="center" vertical="center"/>
    </xf>
    <xf borderId="17" fillId="2" fontId="16" numFmtId="49" xfId="0" applyBorder="1" applyFont="1" applyNumberFormat="1"/>
    <xf borderId="7" fillId="0" fontId="2" numFmtId="0" xfId="0" applyBorder="1" applyFont="1"/>
    <xf borderId="22" fillId="2" fontId="16" numFmtId="49" xfId="0" applyAlignment="1" applyBorder="1" applyFont="1" applyNumberFormat="1">
      <alignment horizontal="left" vertical="center"/>
    </xf>
    <xf borderId="23" fillId="2" fontId="16" numFmtId="0" xfId="0" applyAlignment="1" applyBorder="1" applyFont="1">
      <alignment horizontal="center" vertical="center"/>
    </xf>
    <xf borderId="24" fillId="2" fontId="16" numFmtId="0" xfId="0" applyAlignment="1" applyBorder="1" applyFont="1">
      <alignment horizontal="center" vertical="center"/>
    </xf>
    <xf borderId="22" fillId="2" fontId="16" numFmtId="49" xfId="0" applyAlignment="1" applyBorder="1" applyFont="1" applyNumberFormat="1">
      <alignment horizontal="right" vertical="center"/>
    </xf>
    <xf borderId="23" fillId="2" fontId="21" numFmtId="0" xfId="0" applyAlignment="1" applyBorder="1" applyFont="1">
      <alignment vertical="center"/>
    </xf>
    <xf borderId="23" fillId="2" fontId="16" numFmtId="49" xfId="0" applyAlignment="1" applyBorder="1" applyFont="1" applyNumberFormat="1">
      <alignment horizontal="center" vertical="center"/>
    </xf>
    <xf borderId="23" fillId="2" fontId="21" numFmtId="0" xfId="0" applyAlignment="1" applyBorder="1" applyFont="1">
      <alignment horizontal="left" vertical="center"/>
    </xf>
    <xf borderId="24" fillId="2" fontId="16" numFmtId="49" xfId="0" applyAlignment="1" applyBorder="1" applyFont="1" applyNumberFormat="1">
      <alignment vertical="center"/>
    </xf>
    <xf borderId="22" fillId="2" fontId="22" numFmtId="164" xfId="0" applyAlignment="1" applyBorder="1" applyFont="1" applyNumberFormat="1">
      <alignment horizontal="center" vertical="center"/>
    </xf>
    <xf borderId="24" fillId="2" fontId="22" numFmtId="20" xfId="0" applyAlignment="1" applyBorder="1" applyFont="1" applyNumberFormat="1">
      <alignment horizontal="center" vertical="center"/>
    </xf>
    <xf borderId="16" fillId="2" fontId="22" numFmtId="20" xfId="0" applyAlignment="1" applyBorder="1" applyFont="1" applyNumberFormat="1">
      <alignment horizontal="center" vertical="center"/>
    </xf>
    <xf borderId="14" fillId="2" fontId="16" numFmtId="0" xfId="0" applyAlignment="1" applyBorder="1" applyFont="1">
      <alignment horizontal="left" vertical="center"/>
    </xf>
    <xf borderId="13" fillId="2" fontId="16" numFmtId="0" xfId="0" applyAlignment="1" applyBorder="1" applyFont="1">
      <alignment vertical="center"/>
    </xf>
    <xf borderId="18" fillId="2" fontId="16" numFmtId="0" xfId="0" applyAlignment="1" applyBorder="1" applyFont="1">
      <alignment horizontal="left" vertical="center"/>
    </xf>
    <xf borderId="20" fillId="2" fontId="16" numFmtId="49" xfId="0" applyAlignment="1" applyBorder="1" applyFont="1" applyNumberFormat="1">
      <alignment horizontal="left" vertical="center"/>
    </xf>
    <xf borderId="24" fillId="2" fontId="16" numFmtId="49" xfId="0" applyAlignment="1" applyBorder="1" applyFont="1" applyNumberFormat="1">
      <alignment horizontal="left" vertical="center"/>
    </xf>
    <xf borderId="14" fillId="2" fontId="16" numFmtId="0" xfId="0" applyAlignment="1" applyBorder="1" applyFont="1">
      <alignment vertical="center"/>
    </xf>
    <xf borderId="19" fillId="2" fontId="16" numFmtId="49" xfId="0" applyAlignment="1" applyBorder="1" applyFont="1" applyNumberFormat="1">
      <alignment vertical="center"/>
    </xf>
    <xf borderId="16" fillId="2" fontId="16" numFmtId="49" xfId="0" applyAlignment="1" applyBorder="1" applyFont="1" applyNumberFormat="1">
      <alignment vertical="center"/>
    </xf>
    <xf borderId="22" fillId="2" fontId="16" numFmtId="49" xfId="0" applyAlignment="1" applyBorder="1" applyFont="1" applyNumberFormat="1">
      <alignment vertical="center"/>
    </xf>
    <xf borderId="0" fillId="0" fontId="22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23" numFmtId="0" xfId="0" applyFont="1"/>
    <xf borderId="0" fillId="0" fontId="12" numFmtId="0" xfId="0" applyFont="1"/>
    <xf borderId="4" fillId="0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57"/>
  </cols>
  <sheetData>
    <row r="1" ht="12.75" customHeight="1">
      <c r="A1" t="s">
        <v>0</v>
      </c>
      <c r="B1" t="s">
        <v>1</v>
      </c>
    </row>
    <row r="2" ht="12.75" customHeight="1">
      <c r="A2" t="s">
        <v>2</v>
      </c>
      <c r="B2" t="s">
        <v>1</v>
      </c>
    </row>
    <row r="3" ht="12.75" customHeight="1">
      <c r="A3" t="s">
        <v>3</v>
      </c>
      <c r="B3" t="s">
        <v>1</v>
      </c>
    </row>
    <row r="4" ht="12.75" customHeight="1">
      <c r="A4" t="s">
        <v>4</v>
      </c>
      <c r="B4" t="s">
        <v>1</v>
      </c>
    </row>
    <row r="5" ht="12.75" customHeight="1">
      <c r="A5" t="s">
        <v>5</v>
      </c>
      <c r="B5" t="s">
        <v>1</v>
      </c>
    </row>
    <row r="6" ht="12.75" customHeight="1">
      <c r="A6" t="s">
        <v>6</v>
      </c>
      <c r="B6" t="s">
        <v>1</v>
      </c>
    </row>
    <row r="7" ht="12.75" customHeight="1">
      <c r="A7" t="s">
        <v>7</v>
      </c>
      <c r="B7" t="s">
        <v>1</v>
      </c>
    </row>
    <row r="8" ht="12.75" customHeight="1">
      <c r="A8" t="s">
        <v>8</v>
      </c>
      <c r="B8" t="s">
        <v>1</v>
      </c>
    </row>
    <row r="9" ht="12.75" customHeight="1">
      <c r="A9" t="s">
        <v>9</v>
      </c>
      <c r="B9" t="s">
        <v>1</v>
      </c>
    </row>
    <row r="10" ht="12.75" customHeight="1">
      <c r="A10" t="s">
        <v>10</v>
      </c>
      <c r="B10" t="s">
        <v>1</v>
      </c>
    </row>
    <row r="11" ht="12.75" customHeight="1">
      <c r="A11" t="s">
        <v>11</v>
      </c>
      <c r="B11" t="s">
        <v>1</v>
      </c>
    </row>
    <row r="12" ht="12.75" customHeight="1">
      <c r="A12" t="s">
        <v>12</v>
      </c>
    </row>
    <row r="13" ht="12.75" customHeight="1">
      <c r="A13" t="s">
        <v>13</v>
      </c>
      <c r="B13" t="s">
        <v>1</v>
      </c>
    </row>
    <row r="14" ht="12.75" customHeight="1">
      <c r="A14" t="s">
        <v>14</v>
      </c>
      <c r="B14" t="s">
        <v>1</v>
      </c>
    </row>
    <row r="15" ht="12.75" customHeight="1">
      <c r="A15" t="s">
        <v>15</v>
      </c>
      <c r="B15" t="s">
        <v>1</v>
      </c>
    </row>
    <row r="16" ht="12.75" customHeight="1">
      <c r="A16" t="s">
        <v>16</v>
      </c>
      <c r="B16" t="s">
        <v>1</v>
      </c>
    </row>
    <row r="17" ht="12.75" customHeight="1">
      <c r="A17" t="s">
        <v>17</v>
      </c>
      <c r="B17" t="s">
        <v>1</v>
      </c>
    </row>
    <row r="18" ht="12.75" customHeight="1">
      <c r="A18" t="s">
        <v>18</v>
      </c>
    </row>
    <row r="19" ht="12.75" customHeight="1">
      <c r="A19" t="s">
        <v>19</v>
      </c>
    </row>
    <row r="20" ht="12.75" customHeight="1">
      <c r="A20" t="s">
        <v>20</v>
      </c>
    </row>
    <row r="21" ht="12.75" customHeight="1">
      <c r="A21" t="s">
        <v>21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8" width="3.43"/>
    <col customWidth="1" min="29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5"/>
      <c r="Y1" s="6"/>
      <c r="Z1" s="7"/>
      <c r="AA1" s="7"/>
      <c r="AB1" s="7"/>
      <c r="AC1" s="7"/>
      <c r="AD1" s="7"/>
      <c r="AE1" s="7"/>
      <c r="AF1" s="7"/>
      <c r="AG1" s="7"/>
      <c r="AH1" s="7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22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0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20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/>
      <c r="D5" s="19" t="s">
        <v>31</v>
      </c>
      <c r="E5" s="23"/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>XXX</v>
      </c>
      <c r="U5" s="19" t="str">
        <f t="shared" ref="U5:U10" si="2">SUM(Y5,Z5,AA5, AB5)</f>
        <v>0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0</v>
      </c>
      <c r="AA5" s="33" t="str">
        <f>IF(AND(ISNUMBER(RESULTADOS!C5),ISNUMBER(RESULTADOS!E5),ISNUMBER(C5),ISNUMBER(E5),AND(Z5=1,OR(C5=RESULTADOS!C5,E5=RESULTADOS!E5))),1,0)</f>
        <v>0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/>
      <c r="D6" s="19" t="s">
        <v>31</v>
      </c>
      <c r="E6" s="23"/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0</v>
      </c>
      <c r="M6" s="19" t="str">
        <f t="shared" ref="M6:M9" si="5">N6-O6</f>
        <v>0</v>
      </c>
      <c r="N6" s="19" t="str">
        <f t="shared" ref="N6:N9" si="6">SUM(INDIRECT($AC6),INDIRECT($AD6),INDIRECT($AE6))</f>
        <v>0</v>
      </c>
      <c r="O6" s="19" t="str">
        <f t="shared" ref="O6:O9" si="7">SUM(INDIRECT($AF6),INDIRECT($AG6),INDIRECT($AH6))</f>
        <v>0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0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0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0</v>
      </c>
      <c r="S6" s="31"/>
      <c r="T6" s="32" t="str">
        <f t="shared" si="1"/>
        <v>XXX</v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/>
      <c r="D7" s="19" t="s">
        <v>31</v>
      </c>
      <c r="E7" s="23"/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0</v>
      </c>
      <c r="M7" s="19" t="str">
        <f t="shared" si="5"/>
        <v>0</v>
      </c>
      <c r="N7" s="19" t="str">
        <f t="shared" si="6"/>
        <v>0</v>
      </c>
      <c r="O7" s="19" t="str">
        <f t="shared" si="7"/>
        <v>0</v>
      </c>
      <c r="P7" s="19" t="str">
        <f t="shared" si="8"/>
        <v>0</v>
      </c>
      <c r="Q7" s="19" t="str">
        <f t="shared" si="9"/>
        <v>0</v>
      </c>
      <c r="R7" s="36" t="str">
        <f t="shared" si="10"/>
        <v>0</v>
      </c>
      <c r="S7" s="2"/>
      <c r="T7" s="32" t="str">
        <f t="shared" si="1"/>
        <v>XXX</v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/>
      <c r="D8" s="19" t="s">
        <v>31</v>
      </c>
      <c r="E8" s="23"/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0</v>
      </c>
      <c r="M8" s="19" t="str">
        <f t="shared" si="5"/>
        <v>0</v>
      </c>
      <c r="N8" s="19" t="str">
        <f t="shared" si="6"/>
        <v>0</v>
      </c>
      <c r="O8" s="19" t="str">
        <f t="shared" si="7"/>
        <v>0</v>
      </c>
      <c r="P8" s="19" t="str">
        <f t="shared" si="8"/>
        <v>0</v>
      </c>
      <c r="Q8" s="19" t="str">
        <f t="shared" si="9"/>
        <v>0</v>
      </c>
      <c r="R8" s="36" t="str">
        <f t="shared" si="10"/>
        <v>0</v>
      </c>
      <c r="S8" s="2"/>
      <c r="T8" s="32" t="str">
        <f t="shared" si="1"/>
        <v>XXX</v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/>
      <c r="D9" s="19" t="s">
        <v>31</v>
      </c>
      <c r="E9" s="23"/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0</v>
      </c>
      <c r="M9" s="38" t="str">
        <f t="shared" si="5"/>
        <v>0</v>
      </c>
      <c r="N9" s="38" t="str">
        <f t="shared" si="6"/>
        <v>0</v>
      </c>
      <c r="O9" s="38" t="str">
        <f t="shared" si="7"/>
        <v>0</v>
      </c>
      <c r="P9" s="38" t="str">
        <f t="shared" si="8"/>
        <v>0</v>
      </c>
      <c r="Q9" s="38" t="str">
        <f t="shared" si="9"/>
        <v>0</v>
      </c>
      <c r="R9" s="39" t="str">
        <f t="shared" si="10"/>
        <v>0</v>
      </c>
      <c r="S9" s="2"/>
      <c r="T9" s="32" t="str">
        <f t="shared" si="1"/>
        <v>XXX</v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/>
      <c r="D10" s="38" t="s">
        <v>31</v>
      </c>
      <c r="E10" s="42"/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>XXX</v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/>
      <c r="D13" s="19" t="s">
        <v>31</v>
      </c>
      <c r="E13" s="23"/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>XXX</v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/>
      <c r="D14" s="19" t="s">
        <v>31</v>
      </c>
      <c r="E14" s="23"/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0</v>
      </c>
      <c r="M14" s="19" t="str">
        <f t="shared" ref="M14:M17" si="18">N14-O14</f>
        <v>0</v>
      </c>
      <c r="N14" s="19" t="str">
        <f t="shared" ref="N14:N17" si="19">SUM(INDIRECT($AC14),INDIRECT($AD14),INDIRECT($AE14))</f>
        <v>0</v>
      </c>
      <c r="O14" s="19" t="str">
        <f t="shared" ref="O14:O17" si="20">SUM(INDIRECT($AF14),INDIRECT($AG14),INDIRECT($AH14))</f>
        <v>0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0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0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0</v>
      </c>
      <c r="S14" s="31"/>
      <c r="T14" s="32" t="str">
        <f t="shared" si="14"/>
        <v>XXX</v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/>
      <c r="D15" s="19" t="s">
        <v>31</v>
      </c>
      <c r="E15" s="23"/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0</v>
      </c>
      <c r="M15" s="19" t="str">
        <f t="shared" si="18"/>
        <v>0</v>
      </c>
      <c r="N15" s="19" t="str">
        <f t="shared" si="19"/>
        <v>0</v>
      </c>
      <c r="O15" s="19" t="str">
        <f t="shared" si="20"/>
        <v>0</v>
      </c>
      <c r="P15" s="19" t="str">
        <f t="shared" si="21"/>
        <v>0</v>
      </c>
      <c r="Q15" s="19" t="str">
        <f t="shared" si="22"/>
        <v>0</v>
      </c>
      <c r="R15" s="36" t="str">
        <f t="shared" si="23"/>
        <v>0</v>
      </c>
      <c r="S15" s="2"/>
      <c r="T15" s="32" t="str">
        <f t="shared" si="14"/>
        <v>XXX</v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/>
      <c r="D16" s="19" t="s">
        <v>31</v>
      </c>
      <c r="E16" s="23"/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0</v>
      </c>
      <c r="N16" s="19" t="str">
        <f t="shared" si="19"/>
        <v>0</v>
      </c>
      <c r="O16" s="19" t="str">
        <f t="shared" si="20"/>
        <v>0</v>
      </c>
      <c r="P16" s="19" t="str">
        <f t="shared" si="21"/>
        <v>0</v>
      </c>
      <c r="Q16" s="19" t="str">
        <f t="shared" si="22"/>
        <v>0</v>
      </c>
      <c r="R16" s="36" t="str">
        <f t="shared" si="23"/>
        <v>0</v>
      </c>
      <c r="S16" s="2"/>
      <c r="T16" s="32" t="str">
        <f t="shared" si="14"/>
        <v>XXX</v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/>
      <c r="D17" s="19" t="s">
        <v>31</v>
      </c>
      <c r="E17" s="23"/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0</v>
      </c>
      <c r="M17" s="38" t="str">
        <f t="shared" si="18"/>
        <v>0</v>
      </c>
      <c r="N17" s="38" t="str">
        <f t="shared" si="19"/>
        <v>0</v>
      </c>
      <c r="O17" s="38" t="str">
        <f t="shared" si="20"/>
        <v>0</v>
      </c>
      <c r="P17" s="38" t="str">
        <f t="shared" si="21"/>
        <v>0</v>
      </c>
      <c r="Q17" s="38" t="str">
        <f t="shared" si="22"/>
        <v>0</v>
      </c>
      <c r="R17" s="39" t="str">
        <f t="shared" si="23"/>
        <v>0</v>
      </c>
      <c r="S17" s="2"/>
      <c r="T17" s="32" t="str">
        <f t="shared" si="14"/>
        <v>XXX</v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/>
      <c r="D18" s="38" t="s">
        <v>31</v>
      </c>
      <c r="E18" s="42"/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>XXX</v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/>
      <c r="D21" s="19" t="s">
        <v>31</v>
      </c>
      <c r="E21" s="23"/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>XXX</v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/>
      <c r="D22" s="19" t="s">
        <v>31</v>
      </c>
      <c r="E22" s="23"/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0</v>
      </c>
      <c r="M22" s="19" t="str">
        <f t="shared" ref="M22:M25" si="31">N22-O22</f>
        <v>0</v>
      </c>
      <c r="N22" s="19" t="str">
        <f t="shared" ref="N22:N25" si="32">SUM(INDIRECT($AC22),INDIRECT($AD22),INDIRECT($AE22))</f>
        <v>0</v>
      </c>
      <c r="O22" s="19" t="str">
        <f t="shared" ref="O22:O25" si="33">SUM(INDIRECT($AF22),INDIRECT($AG22),INDIRECT($AH22))</f>
        <v>0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0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>XXX</v>
      </c>
      <c r="U22" s="19" t="str">
        <f t="shared" si="28"/>
        <v>0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0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/>
      <c r="D23" s="19" t="s">
        <v>31</v>
      </c>
      <c r="E23" s="23"/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0</v>
      </c>
      <c r="M23" s="19" t="str">
        <f t="shared" si="31"/>
        <v>0</v>
      </c>
      <c r="N23" s="19" t="str">
        <f t="shared" si="32"/>
        <v>0</v>
      </c>
      <c r="O23" s="19" t="str">
        <f t="shared" si="33"/>
        <v>0</v>
      </c>
      <c r="P23" s="19" t="str">
        <f t="shared" si="34"/>
        <v>0</v>
      </c>
      <c r="Q23" s="19" t="str">
        <f t="shared" si="35"/>
        <v>0</v>
      </c>
      <c r="R23" s="36" t="str">
        <f t="shared" si="36"/>
        <v>0</v>
      </c>
      <c r="S23" s="2"/>
      <c r="T23" s="32" t="str">
        <f t="shared" si="27"/>
        <v>XXX</v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/>
      <c r="D24" s="19" t="s">
        <v>31</v>
      </c>
      <c r="E24" s="23"/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0</v>
      </c>
      <c r="N24" s="19" t="str">
        <f t="shared" si="32"/>
        <v>0</v>
      </c>
      <c r="O24" s="19" t="str">
        <f t="shared" si="33"/>
        <v>0</v>
      </c>
      <c r="P24" s="19" t="str">
        <f t="shared" si="34"/>
        <v>0</v>
      </c>
      <c r="Q24" s="19" t="str">
        <f t="shared" si="35"/>
        <v>0</v>
      </c>
      <c r="R24" s="36" t="str">
        <f t="shared" si="36"/>
        <v>0</v>
      </c>
      <c r="S24" s="2"/>
      <c r="T24" s="32" t="str">
        <f t="shared" si="27"/>
        <v>XXX</v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/>
      <c r="D25" s="19" t="s">
        <v>31</v>
      </c>
      <c r="E25" s="23"/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0</v>
      </c>
      <c r="M25" s="38" t="str">
        <f t="shared" si="31"/>
        <v>0</v>
      </c>
      <c r="N25" s="38" t="str">
        <f t="shared" si="32"/>
        <v>0</v>
      </c>
      <c r="O25" s="38" t="str">
        <f t="shared" si="33"/>
        <v>0</v>
      </c>
      <c r="P25" s="38" t="str">
        <f t="shared" si="34"/>
        <v>0</v>
      </c>
      <c r="Q25" s="38" t="str">
        <f t="shared" si="35"/>
        <v>0</v>
      </c>
      <c r="R25" s="39" t="str">
        <f t="shared" si="36"/>
        <v>0</v>
      </c>
      <c r="S25" s="2"/>
      <c r="T25" s="32" t="str">
        <f t="shared" si="27"/>
        <v>XXX</v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/>
      <c r="D26" s="38" t="s">
        <v>31</v>
      </c>
      <c r="E26" s="42"/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>XXX</v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/>
      <c r="D29" s="19" t="s">
        <v>31</v>
      </c>
      <c r="E29" s="23"/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>XXX</v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/>
      <c r="D30" s="19" t="s">
        <v>31</v>
      </c>
      <c r="E30" s="23"/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0</v>
      </c>
      <c r="M30" s="19" t="str">
        <f t="shared" ref="M30:M33" si="44">N30-O30</f>
        <v>0</v>
      </c>
      <c r="N30" s="19" t="str">
        <f t="shared" ref="N30:N33" si="45">SUM(INDIRECT($AC30),INDIRECT($AD30),INDIRECT($AE30))</f>
        <v>0</v>
      </c>
      <c r="O30" s="19" t="str">
        <f t="shared" ref="O30:O33" si="46">SUM(INDIRECT($AF30),INDIRECT($AG30),INDIRECT($AH30))</f>
        <v>0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0</v>
      </c>
      <c r="S30" s="31"/>
      <c r="T30" s="32" t="str">
        <f t="shared" si="40"/>
        <v>XXX</v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/>
      <c r="D31" s="19" t="s">
        <v>31</v>
      </c>
      <c r="E31" s="23"/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0</v>
      </c>
      <c r="M31" s="19" t="str">
        <f t="shared" si="44"/>
        <v>0</v>
      </c>
      <c r="N31" s="19" t="str">
        <f t="shared" si="45"/>
        <v>0</v>
      </c>
      <c r="O31" s="19" t="str">
        <f t="shared" si="46"/>
        <v>0</v>
      </c>
      <c r="P31" s="19" t="str">
        <f t="shared" si="47"/>
        <v>0</v>
      </c>
      <c r="Q31" s="19" t="str">
        <f t="shared" si="48"/>
        <v>0</v>
      </c>
      <c r="R31" s="36" t="str">
        <f t="shared" si="49"/>
        <v>0</v>
      </c>
      <c r="S31" s="2"/>
      <c r="T31" s="32" t="str">
        <f t="shared" si="40"/>
        <v>XXX</v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/>
      <c r="D32" s="19" t="s">
        <v>31</v>
      </c>
      <c r="E32" s="23"/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0</v>
      </c>
      <c r="M32" s="19" t="str">
        <f t="shared" si="44"/>
        <v>0</v>
      </c>
      <c r="N32" s="19" t="str">
        <f t="shared" si="45"/>
        <v>0</v>
      </c>
      <c r="O32" s="19" t="str">
        <f t="shared" si="46"/>
        <v>0</v>
      </c>
      <c r="P32" s="19" t="str">
        <f t="shared" si="47"/>
        <v>0</v>
      </c>
      <c r="Q32" s="19" t="str">
        <f t="shared" si="48"/>
        <v>0</v>
      </c>
      <c r="R32" s="36" t="str">
        <f t="shared" si="49"/>
        <v>0</v>
      </c>
      <c r="S32" s="2"/>
      <c r="T32" s="32" t="str">
        <f t="shared" si="40"/>
        <v>XXX</v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/>
      <c r="D33" s="19" t="s">
        <v>31</v>
      </c>
      <c r="E33" s="23"/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0</v>
      </c>
      <c r="M33" s="38" t="str">
        <f t="shared" si="44"/>
        <v>0</v>
      </c>
      <c r="N33" s="38" t="str">
        <f t="shared" si="45"/>
        <v>0</v>
      </c>
      <c r="O33" s="38" t="str">
        <f t="shared" si="46"/>
        <v>0</v>
      </c>
      <c r="P33" s="38" t="str">
        <f t="shared" si="47"/>
        <v>0</v>
      </c>
      <c r="Q33" s="38" t="str">
        <f t="shared" si="48"/>
        <v>0</v>
      </c>
      <c r="R33" s="39" t="str">
        <f t="shared" si="49"/>
        <v>0</v>
      </c>
      <c r="S33" s="2"/>
      <c r="T33" s="32" t="str">
        <f t="shared" si="40"/>
        <v>XXX</v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/>
      <c r="D34" s="38" t="s">
        <v>31</v>
      </c>
      <c r="E34" s="42"/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>XXX</v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/>
      <c r="D37" s="19" t="s">
        <v>31</v>
      </c>
      <c r="E37" s="23"/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>XXX</v>
      </c>
      <c r="U37" s="19" t="str">
        <f t="shared" ref="U37:U42" si="54">SUM(Y37,Z37,AA37, AB37)</f>
        <v>0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0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/>
      <c r="D38" s="19" t="s">
        <v>31</v>
      </c>
      <c r="E38" s="23"/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0</v>
      </c>
      <c r="M38" s="19" t="str">
        <f t="shared" ref="M38:M41" si="57">N38-O38</f>
        <v>0</v>
      </c>
      <c r="N38" s="19" t="str">
        <f t="shared" ref="N38:N41" si="58">SUM(INDIRECT($AC38),INDIRECT($AD38),INDIRECT($AE38))</f>
        <v>0</v>
      </c>
      <c r="O38" s="19" t="str">
        <f t="shared" ref="O38:O41" si="59">SUM(INDIRECT($AF38),INDIRECT($AG38),INDIRECT($AH38))</f>
        <v>0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0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>XXX</v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/>
      <c r="D39" s="19" t="s">
        <v>31</v>
      </c>
      <c r="E39" s="23"/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0</v>
      </c>
      <c r="M39" s="19" t="str">
        <f t="shared" si="57"/>
        <v>0</v>
      </c>
      <c r="N39" s="19" t="str">
        <f t="shared" si="58"/>
        <v>0</v>
      </c>
      <c r="O39" s="19" t="str">
        <f t="shared" si="59"/>
        <v>0</v>
      </c>
      <c r="P39" s="19" t="str">
        <f t="shared" si="60"/>
        <v>0</v>
      </c>
      <c r="Q39" s="19" t="str">
        <f t="shared" si="61"/>
        <v>0</v>
      </c>
      <c r="R39" s="36" t="str">
        <f t="shared" si="62"/>
        <v>0</v>
      </c>
      <c r="S39" s="2"/>
      <c r="T39" s="32" t="str">
        <f t="shared" si="53"/>
        <v>XXX</v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/>
      <c r="D40" s="19" t="s">
        <v>31</v>
      </c>
      <c r="E40" s="23"/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0</v>
      </c>
      <c r="N40" s="19" t="str">
        <f t="shared" si="58"/>
        <v>0</v>
      </c>
      <c r="O40" s="19" t="str">
        <f t="shared" si="59"/>
        <v>0</v>
      </c>
      <c r="P40" s="19" t="str">
        <f t="shared" si="60"/>
        <v>0</v>
      </c>
      <c r="Q40" s="19" t="str">
        <f t="shared" si="61"/>
        <v>0</v>
      </c>
      <c r="R40" s="36" t="str">
        <f t="shared" si="62"/>
        <v>0</v>
      </c>
      <c r="S40" s="2"/>
      <c r="T40" s="32" t="str">
        <f t="shared" si="53"/>
        <v>XXX</v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/>
      <c r="D41" s="19" t="s">
        <v>31</v>
      </c>
      <c r="E41" s="23"/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0</v>
      </c>
      <c r="M41" s="38" t="str">
        <f t="shared" si="57"/>
        <v>0</v>
      </c>
      <c r="N41" s="38" t="str">
        <f t="shared" si="58"/>
        <v>0</v>
      </c>
      <c r="O41" s="38" t="str">
        <f t="shared" si="59"/>
        <v>0</v>
      </c>
      <c r="P41" s="38" t="str">
        <f t="shared" si="60"/>
        <v>0</v>
      </c>
      <c r="Q41" s="38" t="str">
        <f t="shared" si="61"/>
        <v>0</v>
      </c>
      <c r="R41" s="39" t="str">
        <f t="shared" si="62"/>
        <v>0</v>
      </c>
      <c r="S41" s="2"/>
      <c r="T41" s="32" t="str">
        <f t="shared" si="53"/>
        <v>XXX</v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/>
      <c r="D42" s="38" t="s">
        <v>31</v>
      </c>
      <c r="E42" s="42"/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>XXX</v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/>
      <c r="D45" s="19" t="s">
        <v>31</v>
      </c>
      <c r="E45" s="23"/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>XXX</v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/>
      <c r="D46" s="19" t="s">
        <v>31</v>
      </c>
      <c r="E46" s="23"/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0</v>
      </c>
      <c r="M46" s="19" t="str">
        <f t="shared" ref="M46:M49" si="70">N46-O46</f>
        <v>0</v>
      </c>
      <c r="N46" s="19" t="str">
        <f t="shared" ref="N46:N49" si="71">SUM(INDIRECT($AC46),INDIRECT($AD46),INDIRECT($AE46))</f>
        <v>0</v>
      </c>
      <c r="O46" s="19" t="str">
        <f t="shared" ref="O46:O49" si="72">SUM(INDIRECT($AF46),INDIRECT($AG46),INDIRECT($AH46))</f>
        <v>0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0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>XXX</v>
      </c>
      <c r="U46" s="19" t="str">
        <f t="shared" si="67"/>
        <v>0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0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/>
      <c r="D47" s="19" t="s">
        <v>31</v>
      </c>
      <c r="E47" s="23"/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0</v>
      </c>
      <c r="M47" s="19" t="str">
        <f t="shared" si="70"/>
        <v>0</v>
      </c>
      <c r="N47" s="19" t="str">
        <f t="shared" si="71"/>
        <v>0</v>
      </c>
      <c r="O47" s="19" t="str">
        <f t="shared" si="72"/>
        <v>0</v>
      </c>
      <c r="P47" s="19" t="str">
        <f t="shared" si="73"/>
        <v>0</v>
      </c>
      <c r="Q47" s="19" t="str">
        <f t="shared" si="74"/>
        <v>0</v>
      </c>
      <c r="R47" s="36" t="str">
        <f t="shared" si="75"/>
        <v>0</v>
      </c>
      <c r="S47" s="2"/>
      <c r="T47" s="32" t="str">
        <f t="shared" si="66"/>
        <v>XXX</v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/>
      <c r="D48" s="19" t="s">
        <v>31</v>
      </c>
      <c r="E48" s="23"/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0</v>
      </c>
      <c r="M48" s="19" t="str">
        <f t="shared" si="70"/>
        <v>0</v>
      </c>
      <c r="N48" s="19" t="str">
        <f t="shared" si="71"/>
        <v>0</v>
      </c>
      <c r="O48" s="19" t="str">
        <f t="shared" si="72"/>
        <v>0</v>
      </c>
      <c r="P48" s="19" t="str">
        <f t="shared" si="73"/>
        <v>0</v>
      </c>
      <c r="Q48" s="19" t="str">
        <f t="shared" si="74"/>
        <v>0</v>
      </c>
      <c r="R48" s="36" t="str">
        <f t="shared" si="75"/>
        <v>0</v>
      </c>
      <c r="S48" s="2"/>
      <c r="T48" s="32" t="str">
        <f t="shared" si="66"/>
        <v>XXX</v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/>
      <c r="D49" s="19" t="s">
        <v>31</v>
      </c>
      <c r="E49" s="23"/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0</v>
      </c>
      <c r="N49" s="38" t="str">
        <f t="shared" si="71"/>
        <v>0</v>
      </c>
      <c r="O49" s="38" t="str">
        <f t="shared" si="72"/>
        <v>0</v>
      </c>
      <c r="P49" s="38" t="str">
        <f t="shared" si="73"/>
        <v>0</v>
      </c>
      <c r="Q49" s="38" t="str">
        <f t="shared" si="74"/>
        <v>0</v>
      </c>
      <c r="R49" s="39" t="str">
        <f t="shared" si="75"/>
        <v>0</v>
      </c>
      <c r="S49" s="2"/>
      <c r="T49" s="32" t="str">
        <f t="shared" si="66"/>
        <v>XXX</v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/>
      <c r="D50" s="38" t="s">
        <v>31</v>
      </c>
      <c r="E50" s="42"/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>XXX</v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/>
      <c r="D53" s="19" t="s">
        <v>31</v>
      </c>
      <c r="E53" s="23"/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>XXX</v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/>
      <c r="D54" s="19" t="s">
        <v>31</v>
      </c>
      <c r="E54" s="23"/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0</v>
      </c>
      <c r="M54" s="19" t="str">
        <f t="shared" ref="M54:M57" si="83">N54-O54</f>
        <v>0</v>
      </c>
      <c r="N54" s="19" t="str">
        <f t="shared" ref="N54:N57" si="84">SUM(INDIRECT($AC54),INDIRECT($AD54),INDIRECT($AE54))</f>
        <v>0</v>
      </c>
      <c r="O54" s="19" t="str">
        <f t="shared" ref="O54:O57" si="85">SUM(INDIRECT($AF54),INDIRECT($AG54),INDIRECT($AH54))</f>
        <v>0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0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>XXX</v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/>
      <c r="D55" s="19" t="s">
        <v>31</v>
      </c>
      <c r="E55" s="23"/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0</v>
      </c>
      <c r="M55" s="19" t="str">
        <f t="shared" si="83"/>
        <v>0</v>
      </c>
      <c r="N55" s="19" t="str">
        <f t="shared" si="84"/>
        <v>0</v>
      </c>
      <c r="O55" s="19" t="str">
        <f t="shared" si="85"/>
        <v>0</v>
      </c>
      <c r="P55" s="19" t="str">
        <f t="shared" si="86"/>
        <v>0</v>
      </c>
      <c r="Q55" s="19" t="str">
        <f t="shared" si="87"/>
        <v>0</v>
      </c>
      <c r="R55" s="36" t="str">
        <f t="shared" si="88"/>
        <v>0</v>
      </c>
      <c r="S55" s="2"/>
      <c r="T55" s="32" t="str">
        <f t="shared" si="79"/>
        <v>XXX</v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/>
      <c r="D56" s="19" t="s">
        <v>31</v>
      </c>
      <c r="E56" s="23"/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0</v>
      </c>
      <c r="M56" s="19" t="str">
        <f t="shared" si="83"/>
        <v>0</v>
      </c>
      <c r="N56" s="19" t="str">
        <f t="shared" si="84"/>
        <v>0</v>
      </c>
      <c r="O56" s="19" t="str">
        <f t="shared" si="85"/>
        <v>0</v>
      </c>
      <c r="P56" s="19" t="str">
        <f t="shared" si="86"/>
        <v>0</v>
      </c>
      <c r="Q56" s="19" t="str">
        <f t="shared" si="87"/>
        <v>0</v>
      </c>
      <c r="R56" s="36" t="str">
        <f t="shared" si="88"/>
        <v>0</v>
      </c>
      <c r="S56" s="2"/>
      <c r="T56" s="32" t="str">
        <f t="shared" si="79"/>
        <v>XXX</v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/>
      <c r="D57" s="19" t="s">
        <v>31</v>
      </c>
      <c r="E57" s="23"/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0</v>
      </c>
      <c r="M57" s="38" t="str">
        <f t="shared" si="83"/>
        <v>0</v>
      </c>
      <c r="N57" s="38" t="str">
        <f t="shared" si="84"/>
        <v>0</v>
      </c>
      <c r="O57" s="38" t="str">
        <f t="shared" si="85"/>
        <v>0</v>
      </c>
      <c r="P57" s="38" t="str">
        <f t="shared" si="86"/>
        <v>0</v>
      </c>
      <c r="Q57" s="38" t="str">
        <f t="shared" si="87"/>
        <v>0</v>
      </c>
      <c r="R57" s="39" t="str">
        <f t="shared" si="88"/>
        <v>0</v>
      </c>
      <c r="S57" s="2"/>
      <c r="T57" s="32" t="str">
        <f t="shared" si="79"/>
        <v>XXX</v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/>
      <c r="D58" s="38" t="s">
        <v>31</v>
      </c>
      <c r="E58" s="42"/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>XXX</v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/>
      <c r="D61" s="19" t="s">
        <v>31</v>
      </c>
      <c r="E61" s="23"/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>XXX</v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/>
      <c r="D62" s="19" t="s">
        <v>31</v>
      </c>
      <c r="E62" s="23"/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0</v>
      </c>
      <c r="M62" s="19" t="str">
        <f t="shared" ref="M62:M65" si="96">N62-O62</f>
        <v>0</v>
      </c>
      <c r="N62" s="19" t="str">
        <f t="shared" ref="N62:N65" si="97">SUM(INDIRECT($AC62),INDIRECT($AD62),INDIRECT($AE62))</f>
        <v>0</v>
      </c>
      <c r="O62" s="19" t="str">
        <f t="shared" ref="O62:O65" si="98">SUM(INDIRECT($AF62),INDIRECT($AG62),INDIRECT($AH62))</f>
        <v>0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0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0</v>
      </c>
      <c r="S62" s="31"/>
      <c r="T62" s="32" t="str">
        <f t="shared" si="92"/>
        <v>XXX</v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/>
      <c r="D63" s="19" t="s">
        <v>31</v>
      </c>
      <c r="E63" s="23"/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0</v>
      </c>
      <c r="N63" s="19" t="str">
        <f t="shared" si="97"/>
        <v>0</v>
      </c>
      <c r="O63" s="19" t="str">
        <f t="shared" si="98"/>
        <v>0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0</v>
      </c>
      <c r="S63" s="2"/>
      <c r="T63" s="32" t="str">
        <f t="shared" si="92"/>
        <v>XXX</v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/>
      <c r="D64" s="19" t="s">
        <v>31</v>
      </c>
      <c r="E64" s="23"/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0</v>
      </c>
      <c r="M64" s="19" t="str">
        <f t="shared" si="96"/>
        <v>0</v>
      </c>
      <c r="N64" s="19" t="str">
        <f t="shared" si="97"/>
        <v>0</v>
      </c>
      <c r="O64" s="19" t="str">
        <f t="shared" si="98"/>
        <v>0</v>
      </c>
      <c r="P64" s="19" t="str">
        <f t="shared" si="99"/>
        <v>0</v>
      </c>
      <c r="Q64" s="19" t="str">
        <f t="shared" si="100"/>
        <v>0</v>
      </c>
      <c r="R64" s="36" t="str">
        <f t="shared" si="101"/>
        <v>0</v>
      </c>
      <c r="S64" s="2"/>
      <c r="T64" s="32" t="str">
        <f t="shared" si="92"/>
        <v>XXX</v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/>
      <c r="D65" s="19" t="s">
        <v>31</v>
      </c>
      <c r="E65" s="23"/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0</v>
      </c>
      <c r="M65" s="38" t="str">
        <f t="shared" si="96"/>
        <v>0</v>
      </c>
      <c r="N65" s="38" t="str">
        <f t="shared" si="97"/>
        <v>0</v>
      </c>
      <c r="O65" s="38" t="str">
        <f t="shared" si="98"/>
        <v>0</v>
      </c>
      <c r="P65" s="38" t="str">
        <f t="shared" si="99"/>
        <v>0</v>
      </c>
      <c r="Q65" s="38" t="str">
        <f t="shared" si="100"/>
        <v>0</v>
      </c>
      <c r="R65" s="39" t="str">
        <f t="shared" si="101"/>
        <v>0</v>
      </c>
      <c r="S65" s="2"/>
      <c r="T65" s="32" t="str">
        <f t="shared" si="92"/>
        <v>XXX</v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/>
      <c r="D66" s="38" t="s">
        <v>31</v>
      </c>
      <c r="E66" s="42"/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>XXX</v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/>
      <c r="D69" s="19" t="s">
        <v>31</v>
      </c>
      <c r="E69" s="23"/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>XXX</v>
      </c>
      <c r="U69" s="19" t="str">
        <f t="shared" ref="U69:U74" si="106">SUM(Y69,Z69,AA69, AB69)</f>
        <v>0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0</v>
      </c>
      <c r="AA69" s="33" t="str">
        <f>IF(AND(ISNUMBER(RESULTADOS!C69),ISNUMBER(RESULTADOS!E69),ISNUMBER(C69),ISNUMBER(E69),AND(Z69=1,OR(C69=RESULTADOS!C69,E69=RESULTADOS!E69))),1,0)</f>
        <v>0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/>
      <c r="D70" s="19" t="s">
        <v>31</v>
      </c>
      <c r="E70" s="23"/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0</v>
      </c>
      <c r="M70" s="19" t="str">
        <f t="shared" ref="M70:M73" si="109">N70-O70</f>
        <v>0</v>
      </c>
      <c r="N70" s="19" t="str">
        <f t="shared" ref="N70:N73" si="110">SUM(INDIRECT($AC70),INDIRECT($AD70),INDIRECT($AE70))</f>
        <v>0</v>
      </c>
      <c r="O70" s="19" t="str">
        <f t="shared" ref="O70:O73" si="111">SUM(INDIRECT($AF70),INDIRECT($AG70),INDIRECT($AH70))</f>
        <v>0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0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>XXX</v>
      </c>
      <c r="U70" s="19" t="str">
        <f t="shared" si="106"/>
        <v>0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0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/>
      <c r="D71" s="19" t="s">
        <v>31</v>
      </c>
      <c r="E71" s="23"/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0</v>
      </c>
      <c r="N71" s="19" t="str">
        <f t="shared" si="110"/>
        <v>0</v>
      </c>
      <c r="O71" s="19" t="str">
        <f t="shared" si="111"/>
        <v>0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0</v>
      </c>
      <c r="S71" s="2"/>
      <c r="T71" s="32" t="str">
        <f t="shared" si="105"/>
        <v>XXX</v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/>
      <c r="D72" s="19" t="s">
        <v>31</v>
      </c>
      <c r="E72" s="23"/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0</v>
      </c>
      <c r="M72" s="19" t="str">
        <f t="shared" si="109"/>
        <v>0</v>
      </c>
      <c r="N72" s="19" t="str">
        <f t="shared" si="110"/>
        <v>0</v>
      </c>
      <c r="O72" s="19" t="str">
        <f t="shared" si="111"/>
        <v>0</v>
      </c>
      <c r="P72" s="19" t="str">
        <f t="shared" si="112"/>
        <v>0</v>
      </c>
      <c r="Q72" s="19" t="str">
        <f t="shared" si="113"/>
        <v>0</v>
      </c>
      <c r="R72" s="36" t="str">
        <f t="shared" si="114"/>
        <v>0</v>
      </c>
      <c r="S72" s="2"/>
      <c r="T72" s="32" t="str">
        <f t="shared" si="105"/>
        <v>XXX</v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/>
      <c r="D73" s="19" t="s">
        <v>31</v>
      </c>
      <c r="E73" s="23"/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0</v>
      </c>
      <c r="M73" s="38" t="str">
        <f t="shared" si="109"/>
        <v>0</v>
      </c>
      <c r="N73" s="38" t="str">
        <f t="shared" si="110"/>
        <v>0</v>
      </c>
      <c r="O73" s="38" t="str">
        <f t="shared" si="111"/>
        <v>0</v>
      </c>
      <c r="P73" s="38" t="str">
        <f t="shared" si="112"/>
        <v>0</v>
      </c>
      <c r="Q73" s="38" t="str">
        <f t="shared" si="113"/>
        <v>0</v>
      </c>
      <c r="R73" s="39" t="str">
        <f t="shared" si="114"/>
        <v>0</v>
      </c>
      <c r="S73" s="2"/>
      <c r="T73" s="32" t="str">
        <f t="shared" si="105"/>
        <v>XXX</v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/>
      <c r="D74" s="38" t="s">
        <v>31</v>
      </c>
      <c r="E74" s="42"/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>XXX</v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/>
      <c r="D77" s="19" t="s">
        <v>31</v>
      </c>
      <c r="E77" s="23"/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>XXX</v>
      </c>
      <c r="U77" s="19" t="str">
        <f t="shared" ref="U77:U82" si="119">SUM(Y77,Z77,AA77, AB77)</f>
        <v>0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0</v>
      </c>
      <c r="AA77" s="33" t="str">
        <f>IF(AND(ISNUMBER(RESULTADOS!C77),ISNUMBER(RESULTADOS!E77),ISNUMBER(C77),ISNUMBER(E77),AND(Z77=1,OR(C77=RESULTADOS!C77,E77=RESULTADOS!E77))),1,0)</f>
        <v>0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/>
      <c r="D78" s="19" t="s">
        <v>31</v>
      </c>
      <c r="E78" s="23"/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0</v>
      </c>
      <c r="M78" s="19" t="str">
        <f t="shared" ref="M78:M81" si="122">N78-O78</f>
        <v>0</v>
      </c>
      <c r="N78" s="19" t="str">
        <f t="shared" ref="N78:N81" si="123">SUM(INDIRECT($AC78),INDIRECT($AD78),INDIRECT($AE78))</f>
        <v>0</v>
      </c>
      <c r="O78" s="19" t="str">
        <f t="shared" ref="O78:O81" si="124">SUM(INDIRECT($AF78),INDIRECT($AG78),INDIRECT($AH78))</f>
        <v>0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0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>XXX</v>
      </c>
      <c r="U78" s="19" t="str">
        <f t="shared" si="119"/>
        <v>0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0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/>
      <c r="D79" s="19" t="s">
        <v>31</v>
      </c>
      <c r="E79" s="23"/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0</v>
      </c>
      <c r="M79" s="19" t="str">
        <f t="shared" si="122"/>
        <v>0</v>
      </c>
      <c r="N79" s="19" t="str">
        <f t="shared" si="123"/>
        <v>0</v>
      </c>
      <c r="O79" s="19" t="str">
        <f t="shared" si="124"/>
        <v>0</v>
      </c>
      <c r="P79" s="19" t="str">
        <f t="shared" si="125"/>
        <v>0</v>
      </c>
      <c r="Q79" s="19" t="str">
        <f t="shared" si="126"/>
        <v>0</v>
      </c>
      <c r="R79" s="36" t="str">
        <f t="shared" si="127"/>
        <v>0</v>
      </c>
      <c r="S79" s="2"/>
      <c r="T79" s="32" t="str">
        <f t="shared" si="118"/>
        <v>XXX</v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/>
      <c r="D80" s="19" t="s">
        <v>31</v>
      </c>
      <c r="E80" s="23"/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0</v>
      </c>
      <c r="N80" s="19" t="str">
        <f t="shared" si="123"/>
        <v>0</v>
      </c>
      <c r="O80" s="19" t="str">
        <f t="shared" si="124"/>
        <v>0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0</v>
      </c>
      <c r="S80" s="2"/>
      <c r="T80" s="32" t="str">
        <f t="shared" si="118"/>
        <v>XXX</v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/>
      <c r="D81" s="19" t="s">
        <v>31</v>
      </c>
      <c r="E81" s="23"/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0</v>
      </c>
      <c r="M81" s="38" t="str">
        <f t="shared" si="122"/>
        <v>0</v>
      </c>
      <c r="N81" s="38" t="str">
        <f t="shared" si="123"/>
        <v>0</v>
      </c>
      <c r="O81" s="38" t="str">
        <f t="shared" si="124"/>
        <v>0</v>
      </c>
      <c r="P81" s="38" t="str">
        <f t="shared" si="125"/>
        <v>0</v>
      </c>
      <c r="Q81" s="38" t="str">
        <f t="shared" si="126"/>
        <v>0</v>
      </c>
      <c r="R81" s="39" t="str">
        <f t="shared" si="127"/>
        <v>0</v>
      </c>
      <c r="S81" s="2"/>
      <c r="T81" s="32" t="str">
        <f t="shared" si="118"/>
        <v>XXX</v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/>
      <c r="D82" s="38" t="s">
        <v>31</v>
      </c>
      <c r="E82" s="42"/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>XXX</v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/>
      <c r="D85" s="19" t="s">
        <v>31</v>
      </c>
      <c r="E85" s="23"/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>XXX</v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/>
      <c r="D86" s="19" t="s">
        <v>31</v>
      </c>
      <c r="E86" s="23"/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0</v>
      </c>
      <c r="M86" s="19" t="str">
        <f t="shared" ref="M86:M89" si="135">N86-O86</f>
        <v>0</v>
      </c>
      <c r="N86" s="19" t="str">
        <f t="shared" ref="N86:N89" si="136">SUM(INDIRECT($AC86),INDIRECT($AD86),INDIRECT($AE86))</f>
        <v>0</v>
      </c>
      <c r="O86" s="19" t="str">
        <f t="shared" ref="O86:O89" si="137">SUM(INDIRECT($AF86),INDIRECT($AG86),INDIRECT($AH86))</f>
        <v>0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0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0</v>
      </c>
      <c r="S86" s="31"/>
      <c r="T86" s="32" t="str">
        <f t="shared" si="131"/>
        <v>XXX</v>
      </c>
      <c r="U86" s="19" t="str">
        <f t="shared" si="132"/>
        <v>0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0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/>
      <c r="D87" s="19" t="s">
        <v>31</v>
      </c>
      <c r="E87" s="23"/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0</v>
      </c>
      <c r="M87" s="19" t="str">
        <f t="shared" si="135"/>
        <v>0</v>
      </c>
      <c r="N87" s="19" t="str">
        <f t="shared" si="136"/>
        <v>0</v>
      </c>
      <c r="O87" s="19" t="str">
        <f t="shared" si="137"/>
        <v>0</v>
      </c>
      <c r="P87" s="19" t="str">
        <f t="shared" si="138"/>
        <v>0</v>
      </c>
      <c r="Q87" s="19" t="str">
        <f t="shared" si="139"/>
        <v>0</v>
      </c>
      <c r="R87" s="36" t="str">
        <f t="shared" si="140"/>
        <v>0</v>
      </c>
      <c r="S87" s="2"/>
      <c r="T87" s="32" t="str">
        <f t="shared" si="131"/>
        <v>XXX</v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/>
      <c r="D88" s="19" t="s">
        <v>31</v>
      </c>
      <c r="E88" s="23"/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0</v>
      </c>
      <c r="M88" s="19" t="str">
        <f t="shared" si="135"/>
        <v>0</v>
      </c>
      <c r="N88" s="19" t="str">
        <f t="shared" si="136"/>
        <v>0</v>
      </c>
      <c r="O88" s="19" t="str">
        <f t="shared" si="137"/>
        <v>0</v>
      </c>
      <c r="P88" s="19" t="str">
        <f t="shared" si="138"/>
        <v>0</v>
      </c>
      <c r="Q88" s="19" t="str">
        <f t="shared" si="139"/>
        <v>0</v>
      </c>
      <c r="R88" s="36" t="str">
        <f t="shared" si="140"/>
        <v>0</v>
      </c>
      <c r="S88" s="2"/>
      <c r="T88" s="32" t="str">
        <f t="shared" si="131"/>
        <v>XXX</v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/>
      <c r="D89" s="19" t="s">
        <v>31</v>
      </c>
      <c r="E89" s="23"/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0</v>
      </c>
      <c r="N89" s="38" t="str">
        <f t="shared" si="136"/>
        <v>0</v>
      </c>
      <c r="O89" s="38" t="str">
        <f t="shared" si="137"/>
        <v>0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0</v>
      </c>
      <c r="S89" s="2"/>
      <c r="T89" s="32" t="str">
        <f t="shared" si="131"/>
        <v>XXX</v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/>
      <c r="D90" s="38" t="s">
        <v>31</v>
      </c>
      <c r="E90" s="42"/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>XXX</v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/>
      <c r="D93" s="19" t="s">
        <v>31</v>
      </c>
      <c r="E93" s="23"/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>XXX</v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/>
      <c r="D94" s="19" t="s">
        <v>31</v>
      </c>
      <c r="E94" s="23"/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0</v>
      </c>
      <c r="M94" s="19" t="str">
        <f t="shared" ref="M94:M97" si="148">N94-O94</f>
        <v>0</v>
      </c>
      <c r="N94" s="19" t="str">
        <f t="shared" ref="N94:N97" si="149">SUM(INDIRECT($AC94),INDIRECT($AD94),INDIRECT($AE94))</f>
        <v>0</v>
      </c>
      <c r="O94" s="19" t="str">
        <f t="shared" ref="O94:O97" si="150">SUM(INDIRECT($AF94),INDIRECT($AG94),INDIRECT($AH94))</f>
        <v>0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0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0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>XXX</v>
      </c>
      <c r="U94" s="19" t="str">
        <f t="shared" si="145"/>
        <v>0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0</v>
      </c>
      <c r="AA94" s="33" t="str">
        <f>IF(AND(ISNUMBER(RESULTADOS!C94),ISNUMBER(RESULTADOS!E94),ISNUMBER(C94),ISNUMBER(E94),AND(Z94=1,OR(C94=RESULTADOS!C94,E94=RESULTADOS!E94))),1,0)</f>
        <v>0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/>
      <c r="D95" s="19" t="s">
        <v>31</v>
      </c>
      <c r="E95" s="23"/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0</v>
      </c>
      <c r="M95" s="19" t="str">
        <f t="shared" si="148"/>
        <v>0</v>
      </c>
      <c r="N95" s="19" t="str">
        <f t="shared" si="149"/>
        <v>0</v>
      </c>
      <c r="O95" s="19" t="str">
        <f t="shared" si="150"/>
        <v>0</v>
      </c>
      <c r="P95" s="19" t="str">
        <f t="shared" si="151"/>
        <v>0</v>
      </c>
      <c r="Q95" s="19" t="str">
        <f t="shared" si="152"/>
        <v>0</v>
      </c>
      <c r="R95" s="36" t="str">
        <f t="shared" si="153"/>
        <v>0</v>
      </c>
      <c r="S95" s="2"/>
      <c r="T95" s="32" t="str">
        <f t="shared" si="144"/>
        <v>XXX</v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/>
      <c r="D96" s="19" t="s">
        <v>31</v>
      </c>
      <c r="E96" s="23"/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0</v>
      </c>
      <c r="M96" s="19" t="str">
        <f t="shared" si="148"/>
        <v>0</v>
      </c>
      <c r="N96" s="19" t="str">
        <f t="shared" si="149"/>
        <v>0</v>
      </c>
      <c r="O96" s="19" t="str">
        <f t="shared" si="150"/>
        <v>0</v>
      </c>
      <c r="P96" s="19" t="str">
        <f t="shared" si="151"/>
        <v>0</v>
      </c>
      <c r="Q96" s="19" t="str">
        <f t="shared" si="152"/>
        <v>0</v>
      </c>
      <c r="R96" s="36" t="str">
        <f t="shared" si="153"/>
        <v>0</v>
      </c>
      <c r="S96" s="2"/>
      <c r="T96" s="32" t="str">
        <f t="shared" si="144"/>
        <v>XXX</v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/>
      <c r="D97" s="19" t="s">
        <v>31</v>
      </c>
      <c r="E97" s="23"/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0</v>
      </c>
      <c r="N97" s="38" t="str">
        <f t="shared" si="149"/>
        <v>0</v>
      </c>
      <c r="O97" s="38" t="str">
        <f t="shared" si="150"/>
        <v>0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0</v>
      </c>
      <c r="S97" s="2"/>
      <c r="T97" s="32" t="str">
        <f t="shared" si="144"/>
        <v>XXX</v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/>
      <c r="D98" s="38" t="s">
        <v>31</v>
      </c>
      <c r="E98" s="42"/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>XXX</v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X99" s="51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X100" s="51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X101" s="51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20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20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20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20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20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20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20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20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20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20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20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20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20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20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20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20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20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20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20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20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20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20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20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20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20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20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20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20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20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20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20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20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20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20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20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20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20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20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20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20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20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20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20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20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20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20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20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20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20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20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20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20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20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20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20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20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20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20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20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20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20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20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20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20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20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20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20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20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20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20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20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20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20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20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20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20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20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20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20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20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20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20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20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20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20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20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20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20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20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20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20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20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20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20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20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20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20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20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20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20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20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20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20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20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20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20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20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20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20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20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20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20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20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20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20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20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20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20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20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20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20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20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20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20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20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20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20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20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20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20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20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20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20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20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20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20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20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20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20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20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20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20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20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20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20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20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20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20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20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20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20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20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20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20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20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20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20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20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20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20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20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20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20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20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20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20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20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20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20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20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20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20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20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20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20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20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20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20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20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20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20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20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20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20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20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20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20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20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20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20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20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20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20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20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20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20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20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20.43"/>
    <col customWidth="1" min="3" max="3" width="2.71"/>
    <col customWidth="1" min="4" max="4" width="2.29"/>
    <col customWidth="1" min="5" max="5" width="2.86"/>
    <col customWidth="1" min="6" max="6" width="18.14"/>
    <col customWidth="1" min="7" max="7" width="3.14"/>
    <col customWidth="1" min="8" max="8" width="6.29"/>
    <col customWidth="1" min="9" max="9" width="6.0"/>
    <col customWidth="1" min="10" max="10" width="4.0"/>
    <col customWidth="1" min="11" max="11" width="16.14"/>
    <col customWidth="1" min="12" max="18" width="4.0"/>
    <col customWidth="1" min="19" max="26" width="11.43"/>
  </cols>
  <sheetData>
    <row r="1" ht="13.5" customHeight="1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U1" s="6"/>
      <c r="V1" s="6"/>
      <c r="W1" s="6"/>
      <c r="X1" s="6"/>
      <c r="Y1" s="6"/>
      <c r="Z1" s="6"/>
    </row>
    <row r="2" ht="13.5" customHeight="1">
      <c r="B2" s="54" t="s">
        <v>240</v>
      </c>
      <c r="C2" s="9"/>
      <c r="D2" s="9"/>
      <c r="E2" s="9"/>
      <c r="F2" s="10"/>
      <c r="G2" s="2"/>
      <c r="H2" s="54" t="s">
        <v>23</v>
      </c>
      <c r="I2" s="10"/>
      <c r="J2" s="2"/>
      <c r="K2" s="54" t="s">
        <v>24</v>
      </c>
      <c r="L2" s="9"/>
      <c r="M2" s="9"/>
      <c r="N2" s="9"/>
      <c r="O2" s="9"/>
      <c r="P2" s="9"/>
      <c r="Q2" s="9"/>
      <c r="R2" s="10"/>
      <c r="U2" s="6"/>
      <c r="V2" s="6"/>
      <c r="W2" s="6"/>
      <c r="X2" s="6"/>
      <c r="Y2" s="6"/>
      <c r="Z2" s="6"/>
    </row>
    <row r="3" ht="13.5" customHeight="1">
      <c r="B3" s="5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U3" s="6"/>
      <c r="V3" s="6"/>
      <c r="W3" s="6"/>
      <c r="X3" s="6"/>
      <c r="Y3" s="6"/>
      <c r="Z3" s="6"/>
    </row>
    <row r="4" ht="13.5" customHeight="1">
      <c r="B4" s="15" t="s">
        <v>27</v>
      </c>
      <c r="C4" s="9"/>
      <c r="D4" s="9"/>
      <c r="E4" s="9"/>
      <c r="F4" s="10"/>
      <c r="G4" s="19"/>
      <c r="H4" s="16" t="s">
        <v>28</v>
      </c>
      <c r="I4" s="17" t="s">
        <v>29</v>
      </c>
      <c r="J4" s="18"/>
      <c r="K4" s="28"/>
      <c r="L4" s="29" t="s">
        <v>33</v>
      </c>
      <c r="M4" s="29" t="s">
        <v>34</v>
      </c>
      <c r="N4" s="29" t="s">
        <v>35</v>
      </c>
      <c r="O4" s="29" t="s">
        <v>36</v>
      </c>
      <c r="P4" s="29" t="s">
        <v>37</v>
      </c>
      <c r="Q4" s="29" t="s">
        <v>38</v>
      </c>
      <c r="R4" s="30" t="s">
        <v>39</v>
      </c>
      <c r="U4" s="6"/>
      <c r="V4" s="6"/>
      <c r="W4" s="6"/>
      <c r="X4" s="6"/>
      <c r="Y4" s="6"/>
      <c r="Z4" s="6"/>
    </row>
    <row r="5" ht="13.5" customHeight="1">
      <c r="B5" s="21" t="str">
        <f>APOSTAS!B5</f>
        <v>México</v>
      </c>
      <c r="C5" s="22">
        <v>2.0</v>
      </c>
      <c r="D5" s="19" t="str">
        <f>APOSTAS!D5</f>
        <v>x</v>
      </c>
      <c r="E5" s="23">
        <v>0.0</v>
      </c>
      <c r="F5" s="24" t="str">
        <f>APOSTAS!F5</f>
        <v>África do Sul</v>
      </c>
      <c r="H5" s="25">
        <v>46184.0</v>
      </c>
      <c r="I5" s="26">
        <v>0.666666666666667</v>
      </c>
      <c r="J5" s="27"/>
      <c r="K5" s="35" t="str">
        <f>APOSTAS!K6</f>
        <v>Coreia do Sul</v>
      </c>
      <c r="L5" s="19" t="str">
        <f t="shared" ref="L5:L8" si="2">SUM(IF(AND(ISNUMBER(INDIRECT($U5)),INDIRECT($U5)&gt;INDIRECT($X5)),3,IF(AND(ISNUMBER(INDIRECT($U5)),INDIRECT($U5)=INDIRECT($X5)),1,0)),IF(AND(ISNUMBER(INDIRECT($V5)),INDIRECT($V5)&gt;INDIRECT($Y5)),3,IF(AND(ISNUMBER(INDIRECT($V5)),INDIRECT($V5)=INDIRECT($Y5)),1,0)),IF(AND(ISNUMBER(INDIRECT($W5)),INDIRECT($W5)&gt;INDIRECT($Z5)),3,IF(AND(ISNUMBER(INDIRECT($W5)),INDIRECT($W5)=INDIRECT($Z5)),1,0)))</f>
        <v>3</v>
      </c>
      <c r="M5" s="19" t="str">
        <f t="shared" ref="M5:M8" si="3">N5-O5</f>
        <v>1</v>
      </c>
      <c r="N5" s="19" t="str">
        <f t="shared" ref="N5:N8" si="4">SUM(INDIRECT($U5),INDIRECT($V5),INDIRECT($W5))</f>
        <v>2</v>
      </c>
      <c r="O5" s="19" t="str">
        <f t="shared" ref="O5:O8" si="5">SUM(INDIRECT($X5),INDIRECT($Y5),INDIRECT($Z5))</f>
        <v>1</v>
      </c>
      <c r="P5" s="19" t="str">
        <f t="shared" ref="P5:P8" si="6">SUM(IF(AND(ISNUMBER(INDIRECT($U5)),INDIRECT($U5)&gt;INDIRECT($X5)),1,0),IF(AND(ISNUMBER(INDIRECT($V5)),INDIRECT($V5)&gt;INDIRECT($Y5)),1,0),IF(AND(ISNUMBER(INDIRECT($W5)),INDIRECT($W5)&gt;INDIRECT($Z5)),1,0))</f>
        <v>1</v>
      </c>
      <c r="Q5" s="19" t="str">
        <f t="shared" ref="Q5:Q8" si="7">SUM(IF(AND(ISNUMBER(INDIRECT($U5)),INDIRECT($U5)=INDIRECT($X5)),1,0),IF(AND(ISNUMBER(INDIRECT($V5)),INDIRECT($V5)=INDIRECT($Y5)),1,0),IF(AND(ISNUMBER(INDIRECT($W5)),INDIRECT($W5)=INDIRECT($Z5)),1,0))</f>
        <v>0</v>
      </c>
      <c r="R5" s="36" t="str">
        <f t="shared" ref="R5:R8" si="8">SUM(IF(AND(ISNUMBER(INDIRECT($U5)),INDIRECT($U5)&lt;INDIRECT($X5)),1,0),IF(AND(ISNUMBER(INDIRECT($V5)),INDIRECT($V5)&lt;INDIRECT($Y5)),1,0),IF(AND(ISNUMBER(INDIRECT($W5)),INDIRECT($W5)&lt;INDIRECT($Z5)),1,0))</f>
        <v>0</v>
      </c>
      <c r="U5" s="6" t="s">
        <v>42</v>
      </c>
      <c r="V5" s="6" t="s">
        <v>43</v>
      </c>
      <c r="W5" s="6" t="s">
        <v>44</v>
      </c>
      <c r="X5" s="6" t="str">
        <f t="shared" ref="X5:Z5" si="1">IF(ISNUMBER(FIND("C", U5, 1)), SUBSTITUTE(U5, "C", "E"), SUBSTITUTE(U5, "E", "C"))</f>
        <v>E6</v>
      </c>
      <c r="Y5" s="6" t="str">
        <f t="shared" si="1"/>
        <v>C8</v>
      </c>
      <c r="Z5" s="6" t="str">
        <f t="shared" si="1"/>
        <v>C9</v>
      </c>
    </row>
    <row r="6" ht="13.5" customHeight="1">
      <c r="B6" s="21" t="str">
        <f>APOSTAS!B6</f>
        <v>Coreia do Sul</v>
      </c>
      <c r="C6" s="22">
        <v>2.0</v>
      </c>
      <c r="D6" s="19" t="str">
        <f>APOSTAS!D6</f>
        <v>x</v>
      </c>
      <c r="E6" s="23">
        <v>1.0</v>
      </c>
      <c r="F6" s="34" t="str">
        <f>APOSTAS!F6</f>
        <v>República Tcheca</v>
      </c>
      <c r="H6" s="25">
        <v>46184.0</v>
      </c>
      <c r="I6" s="26">
        <v>0.958333333333333</v>
      </c>
      <c r="J6" s="27"/>
      <c r="K6" s="35" t="str">
        <f>APOSTAS!K7</f>
        <v>México</v>
      </c>
      <c r="L6" s="19" t="str">
        <f t="shared" si="2"/>
        <v>3</v>
      </c>
      <c r="M6" s="19" t="str">
        <f t="shared" si="3"/>
        <v>2</v>
      </c>
      <c r="N6" s="19" t="str">
        <f t="shared" si="4"/>
        <v>2</v>
      </c>
      <c r="O6" s="19" t="str">
        <f t="shared" si="5"/>
        <v>0</v>
      </c>
      <c r="P6" s="19" t="str">
        <f t="shared" si="6"/>
        <v>1</v>
      </c>
      <c r="Q6" s="19" t="str">
        <f t="shared" si="7"/>
        <v>0</v>
      </c>
      <c r="R6" s="36" t="str">
        <f t="shared" si="8"/>
        <v>0</v>
      </c>
      <c r="U6" s="6" t="s">
        <v>45</v>
      </c>
      <c r="V6" s="6" t="s">
        <v>46</v>
      </c>
      <c r="W6" s="6" t="s">
        <v>47</v>
      </c>
      <c r="X6" s="6" t="str">
        <f t="shared" ref="X6:Z6" si="9">IF(ISNUMBER(FIND("C", U6, 1)), SUBSTITUTE(U6, "C", "E"), SUBSTITUTE(U6, "E", "C"))</f>
        <v>E5</v>
      </c>
      <c r="Y6" s="6" t="str">
        <f t="shared" si="9"/>
        <v>E8</v>
      </c>
      <c r="Z6" s="6" t="str">
        <f t="shared" si="9"/>
        <v>C10</v>
      </c>
    </row>
    <row r="7" ht="12.75" customHeight="1">
      <c r="B7" s="21" t="str">
        <f>APOSTAS!B7</f>
        <v>República Tcheca</v>
      </c>
      <c r="C7" s="22"/>
      <c r="D7" s="19" t="str">
        <f>APOSTAS!D7</f>
        <v>x</v>
      </c>
      <c r="E7" s="23"/>
      <c r="F7" s="34" t="str">
        <f>APOSTAS!F7</f>
        <v>África do Sul</v>
      </c>
      <c r="H7" s="25">
        <v>46191.0</v>
      </c>
      <c r="I7" s="26">
        <v>0.541666666666667</v>
      </c>
      <c r="J7" s="27"/>
      <c r="K7" s="35" t="str">
        <f>APOSTAS!K8</f>
        <v>República Tcheca</v>
      </c>
      <c r="L7" s="19" t="str">
        <f t="shared" si="2"/>
        <v>0</v>
      </c>
      <c r="M7" s="19" t="str">
        <f t="shared" si="3"/>
        <v>-1</v>
      </c>
      <c r="N7" s="19" t="str">
        <f t="shared" si="4"/>
        <v>1</v>
      </c>
      <c r="O7" s="19" t="str">
        <f t="shared" si="5"/>
        <v>2</v>
      </c>
      <c r="P7" s="19" t="str">
        <f t="shared" si="6"/>
        <v>0</v>
      </c>
      <c r="Q7" s="19" t="str">
        <f t="shared" si="7"/>
        <v>0</v>
      </c>
      <c r="R7" s="36" t="str">
        <f t="shared" si="8"/>
        <v>1</v>
      </c>
      <c r="U7" s="6" t="s">
        <v>48</v>
      </c>
      <c r="V7" s="6" t="s">
        <v>49</v>
      </c>
      <c r="W7" s="6" t="s">
        <v>50</v>
      </c>
      <c r="X7" s="6" t="str">
        <f t="shared" ref="X7:Z7" si="10">IF(ISNUMBER(FIND("C", U7, 1)), SUBSTITUTE(U7, "C", "E"), SUBSTITUTE(U7, "E", "C"))</f>
        <v>C6</v>
      </c>
      <c r="Y7" s="6" t="str">
        <f t="shared" si="10"/>
        <v>E7</v>
      </c>
      <c r="Z7" s="6" t="str">
        <f t="shared" si="10"/>
        <v>E10</v>
      </c>
    </row>
    <row r="8" ht="12.75" customHeight="1">
      <c r="B8" s="21" t="str">
        <f>APOSTAS!B8</f>
        <v>México</v>
      </c>
      <c r="C8" s="22"/>
      <c r="D8" s="19" t="str">
        <f>APOSTAS!D8</f>
        <v>x</v>
      </c>
      <c r="E8" s="23"/>
      <c r="F8" s="34" t="str">
        <f>APOSTAS!F8</f>
        <v>Coreia do Sul</v>
      </c>
      <c r="H8" s="25">
        <v>46191.0</v>
      </c>
      <c r="I8" s="26">
        <v>0.916666666666667</v>
      </c>
      <c r="J8" s="27"/>
      <c r="K8" s="37" t="str">
        <f>APOSTAS!K9</f>
        <v>África do Sul</v>
      </c>
      <c r="L8" s="38" t="str">
        <f t="shared" si="2"/>
        <v>0</v>
      </c>
      <c r="M8" s="38" t="str">
        <f t="shared" si="3"/>
        <v>-2</v>
      </c>
      <c r="N8" s="38" t="str">
        <f t="shared" si="4"/>
        <v>0</v>
      </c>
      <c r="O8" s="38" t="str">
        <f t="shared" si="5"/>
        <v>2</v>
      </c>
      <c r="P8" s="38" t="str">
        <f t="shared" si="6"/>
        <v>0</v>
      </c>
      <c r="Q8" s="38" t="str">
        <f t="shared" si="7"/>
        <v>0</v>
      </c>
      <c r="R8" s="39" t="str">
        <f t="shared" si="8"/>
        <v>1</v>
      </c>
      <c r="U8" s="6" t="s">
        <v>51</v>
      </c>
      <c r="V8" s="6" t="s">
        <v>52</v>
      </c>
      <c r="W8" s="6" t="s">
        <v>53</v>
      </c>
      <c r="X8" s="6" t="str">
        <f t="shared" ref="X8:Z8" si="11">IF(ISNUMBER(FIND("C", U8, 1)), SUBSTITUTE(U8, "C", "E"), SUBSTITUTE(U8, "E", "C"))</f>
        <v>C5</v>
      </c>
      <c r="Y8" s="6" t="str">
        <f t="shared" si="11"/>
        <v>C7</v>
      </c>
      <c r="Z8" s="6" t="str">
        <f t="shared" si="11"/>
        <v>E9</v>
      </c>
    </row>
    <row r="9" ht="12.75" customHeight="1">
      <c r="B9" s="21" t="str">
        <f>APOSTAS!B9</f>
        <v>África do Sul</v>
      </c>
      <c r="C9" s="22"/>
      <c r="D9" s="19" t="str">
        <f>APOSTAS!D9</f>
        <v>x</v>
      </c>
      <c r="E9" s="23"/>
      <c r="F9" s="34" t="str">
        <f>APOSTAS!F9</f>
        <v>Coreia do Sul</v>
      </c>
      <c r="H9" s="25">
        <v>46197.0</v>
      </c>
      <c r="I9" s="26">
        <v>0.916666666666667</v>
      </c>
      <c r="J9" s="27"/>
      <c r="K9" s="31"/>
      <c r="U9" s="6"/>
      <c r="V9" s="6"/>
      <c r="W9" s="6"/>
      <c r="X9" s="6"/>
      <c r="Y9" s="6"/>
      <c r="Z9" s="6"/>
    </row>
    <row r="10" ht="13.5" customHeight="1">
      <c r="B10" s="40" t="str">
        <f>APOSTAS!B10</f>
        <v>República Tcheca</v>
      </c>
      <c r="C10" s="41"/>
      <c r="D10" s="38" t="str">
        <f>APOSTAS!D10</f>
        <v>x</v>
      </c>
      <c r="E10" s="42"/>
      <c r="F10" s="43" t="str">
        <f>APOSTAS!F10</f>
        <v>México</v>
      </c>
      <c r="H10" s="44">
        <v>46197.0</v>
      </c>
      <c r="I10" s="45">
        <v>0.916666666666667</v>
      </c>
      <c r="J10" s="27"/>
      <c r="K10" s="2"/>
      <c r="L10" s="2"/>
      <c r="M10" s="2"/>
      <c r="N10" s="2"/>
      <c r="O10" s="2"/>
      <c r="P10" s="2"/>
      <c r="Q10" s="2"/>
      <c r="R10" s="2"/>
      <c r="U10" s="6"/>
      <c r="V10" s="6"/>
      <c r="W10" s="6"/>
      <c r="X10" s="6"/>
      <c r="Y10" s="6"/>
      <c r="Z10" s="6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U11" s="6"/>
      <c r="V11" s="6"/>
      <c r="W11" s="6"/>
      <c r="X11" s="6"/>
      <c r="Y11" s="6"/>
      <c r="Z11" s="6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47"/>
      <c r="L12" s="29" t="s">
        <v>33</v>
      </c>
      <c r="M12" s="29" t="s">
        <v>34</v>
      </c>
      <c r="N12" s="29" t="s">
        <v>35</v>
      </c>
      <c r="O12" s="29" t="s">
        <v>36</v>
      </c>
      <c r="P12" s="29" t="s">
        <v>37</v>
      </c>
      <c r="Q12" s="29" t="s">
        <v>38</v>
      </c>
      <c r="R12" s="30" t="s">
        <v>39</v>
      </c>
      <c r="U12" s="6"/>
      <c r="V12" s="6"/>
      <c r="W12" s="6"/>
      <c r="X12" s="6"/>
      <c r="Y12" s="6"/>
      <c r="Z12" s="6"/>
    </row>
    <row r="13" ht="13.5" customHeight="1">
      <c r="B13" s="21" t="str">
        <f>APOSTAS!B13</f>
        <v>Canadá</v>
      </c>
      <c r="C13" s="22">
        <v>1.0</v>
      </c>
      <c r="D13" s="19" t="str">
        <f>APOSTAS!D13</f>
        <v>x</v>
      </c>
      <c r="E13" s="23">
        <v>1.0</v>
      </c>
      <c r="F13" s="24" t="str">
        <f>APOSTAS!F13</f>
        <v>Bósnia</v>
      </c>
      <c r="G13" s="2"/>
      <c r="H13" s="25">
        <v>46185.0</v>
      </c>
      <c r="I13" s="26">
        <v>0.666666666666667</v>
      </c>
      <c r="J13" s="27"/>
      <c r="K13" s="35" t="str">
        <f>APOSTAS!K14</f>
        <v>Bósnia</v>
      </c>
      <c r="L13" s="19" t="str">
        <f t="shared" ref="L13:L16" si="13">SUM(IF(AND(ISNUMBER(INDIRECT($U13)),INDIRECT($U13)&gt;INDIRECT($X13)),3,IF(AND(ISNUMBER(INDIRECT($U13)),INDIRECT($U13)=INDIRECT($X13)),1,0)),IF(AND(ISNUMBER(INDIRECT($V13)),INDIRECT($V13)&gt;INDIRECT($Y13)),3,IF(AND(ISNUMBER(INDIRECT($V13)),INDIRECT($V13)=INDIRECT($Y13)),1,0)),IF(AND(ISNUMBER(INDIRECT($W13)),INDIRECT($W13)&gt;INDIRECT($Z13)),3,IF(AND(ISNUMBER(INDIRECT($W13)),INDIRECT($W13)=INDIRECT($Z13)),1,0)))</f>
        <v>1</v>
      </c>
      <c r="M13" s="19" t="str">
        <f t="shared" ref="M13:M16" si="14">N13-O13</f>
        <v>0</v>
      </c>
      <c r="N13" s="19" t="str">
        <f t="shared" ref="N13:N16" si="15">SUM(INDIRECT($U13),INDIRECT($V13),INDIRECT($W13))</f>
        <v>1</v>
      </c>
      <c r="O13" s="19" t="str">
        <f t="shared" ref="O13:O16" si="16">SUM(INDIRECT($X13),INDIRECT($Y13),INDIRECT($Z13))</f>
        <v>1</v>
      </c>
      <c r="P13" s="19" t="str">
        <f t="shared" ref="P13:P16" si="17">SUM(IF(AND(ISNUMBER(INDIRECT($U13)),INDIRECT($U13)&gt;INDIRECT($X13)),1,0),IF(AND(ISNUMBER(INDIRECT($V13)),INDIRECT($V13)&gt;INDIRECT($Y13)),1,0),IF(AND(ISNUMBER(INDIRECT($W13)),INDIRECT($W13)&gt;INDIRECT($Z13)),1,0))</f>
        <v>0</v>
      </c>
      <c r="Q13" s="19" t="str">
        <f t="shared" ref="Q13:Q16" si="18">SUM(IF(AND(ISNUMBER(INDIRECT($U13)),INDIRECT($U13)=INDIRECT($X13)),1,0),IF(AND(ISNUMBER(INDIRECT($V13)),INDIRECT($V13)=INDIRECT($Y13)),1,0),IF(AND(ISNUMBER(INDIRECT($W13)),INDIRECT($W13)=INDIRECT($Z13)),1,0))</f>
        <v>1</v>
      </c>
      <c r="R13" s="36" t="str">
        <f t="shared" ref="R13:R16" si="19">SUM(IF(AND(ISNUMBER(INDIRECT($U13)),INDIRECT($U13)&lt;INDIRECT($X13)),1,0),IF(AND(ISNUMBER(INDIRECT($V13)),INDIRECT($V13)&lt;INDIRECT($Y13)),1,0),IF(AND(ISNUMBER(INDIRECT($W13)),INDIRECT($W13)&lt;INDIRECT($Z13)),1,0))</f>
        <v>0</v>
      </c>
      <c r="U13" s="6" t="s">
        <v>59</v>
      </c>
      <c r="V13" s="6" t="s">
        <v>60</v>
      </c>
      <c r="W13" s="6" t="s">
        <v>61</v>
      </c>
      <c r="X13" s="6" t="str">
        <f t="shared" ref="X13:Z13" si="12">IF(ISNUMBER(FIND("C", U13, 1)), SUBSTITUTE(U13, "C", "E"), SUBSTITUTE(U13, "E", "C"))</f>
        <v>C13</v>
      </c>
      <c r="Y13" s="6" t="str">
        <f t="shared" si="12"/>
        <v>C15</v>
      </c>
      <c r="Z13" s="6" t="str">
        <f t="shared" si="12"/>
        <v>E18</v>
      </c>
    </row>
    <row r="14" ht="13.5" customHeight="1">
      <c r="B14" s="21" t="str">
        <f>APOSTAS!B14</f>
        <v>Catar</v>
      </c>
      <c r="C14" s="22">
        <v>1.0</v>
      </c>
      <c r="D14" s="19" t="str">
        <f>APOSTAS!D14</f>
        <v>x</v>
      </c>
      <c r="E14" s="23">
        <v>1.0</v>
      </c>
      <c r="F14" s="34" t="str">
        <f>APOSTAS!F14</f>
        <v>Suíça</v>
      </c>
      <c r="G14" s="2"/>
      <c r="H14" s="25">
        <v>46186.0</v>
      </c>
      <c r="I14" s="26">
        <v>0.666666666666667</v>
      </c>
      <c r="J14" s="27"/>
      <c r="K14" s="35" t="str">
        <f>APOSTAS!K15</f>
        <v>Canadá</v>
      </c>
      <c r="L14" s="19" t="str">
        <f t="shared" si="13"/>
        <v>1</v>
      </c>
      <c r="M14" s="19" t="str">
        <f t="shared" si="14"/>
        <v>0</v>
      </c>
      <c r="N14" s="19" t="str">
        <f t="shared" si="15"/>
        <v>1</v>
      </c>
      <c r="O14" s="19" t="str">
        <f t="shared" si="16"/>
        <v>1</v>
      </c>
      <c r="P14" s="19" t="str">
        <f t="shared" si="17"/>
        <v>0</v>
      </c>
      <c r="Q14" s="19" t="str">
        <f t="shared" si="18"/>
        <v>1</v>
      </c>
      <c r="R14" s="36" t="str">
        <f t="shared" si="19"/>
        <v>0</v>
      </c>
      <c r="U14" s="6" t="s">
        <v>62</v>
      </c>
      <c r="V14" s="6" t="s">
        <v>63</v>
      </c>
      <c r="W14" s="6" t="s">
        <v>64</v>
      </c>
      <c r="X14" s="6" t="str">
        <f t="shared" ref="X14:Z14" si="20">IF(ISNUMBER(FIND("C", U14, 1)), SUBSTITUTE(U14, "C", "E"), SUBSTITUTE(U14, "E", "C"))</f>
        <v>E13</v>
      </c>
      <c r="Y14" s="6" t="str">
        <f t="shared" si="20"/>
        <v>E16</v>
      </c>
      <c r="Z14" s="6" t="str">
        <f t="shared" si="20"/>
        <v>C17</v>
      </c>
    </row>
    <row r="15" ht="12.75" customHeight="1">
      <c r="B15" s="21" t="str">
        <f>APOSTAS!B15</f>
        <v>Suíça</v>
      </c>
      <c r="C15" s="22"/>
      <c r="D15" s="19" t="str">
        <f>APOSTAS!D15</f>
        <v>x</v>
      </c>
      <c r="E15" s="23"/>
      <c r="F15" s="34" t="str">
        <f>APOSTAS!F15</f>
        <v>Bósnia</v>
      </c>
      <c r="G15" s="2"/>
      <c r="H15" s="25">
        <v>46191.0</v>
      </c>
      <c r="I15" s="26">
        <v>0.666666666666667</v>
      </c>
      <c r="J15" s="27"/>
      <c r="K15" s="35" t="str">
        <f>APOSTAS!K16</f>
        <v>Catar</v>
      </c>
      <c r="L15" s="19" t="str">
        <f t="shared" si="13"/>
        <v>1</v>
      </c>
      <c r="M15" s="19" t="str">
        <f t="shared" si="14"/>
        <v>0</v>
      </c>
      <c r="N15" s="19" t="str">
        <f t="shared" si="15"/>
        <v>1</v>
      </c>
      <c r="O15" s="19" t="str">
        <f t="shared" si="16"/>
        <v>1</v>
      </c>
      <c r="P15" s="19" t="str">
        <f t="shared" si="17"/>
        <v>0</v>
      </c>
      <c r="Q15" s="19" t="str">
        <f t="shared" si="18"/>
        <v>1</v>
      </c>
      <c r="R15" s="36" t="str">
        <f t="shared" si="19"/>
        <v>0</v>
      </c>
      <c r="U15" s="6" t="s">
        <v>65</v>
      </c>
      <c r="V15" s="6" t="s">
        <v>66</v>
      </c>
      <c r="W15" s="6" t="s">
        <v>67</v>
      </c>
      <c r="X15" s="6" t="str">
        <f t="shared" ref="X15:Z15" si="21">IF(ISNUMBER(FIND("C", U15, 1)), SUBSTITUTE(U15, "C", "E"), SUBSTITUTE(U15, "E", "C"))</f>
        <v>E14</v>
      </c>
      <c r="Y15" s="6" t="str">
        <f t="shared" si="21"/>
        <v>C16</v>
      </c>
      <c r="Z15" s="6" t="str">
        <f t="shared" si="21"/>
        <v>C18</v>
      </c>
    </row>
    <row r="16" ht="12.75" customHeight="1">
      <c r="B16" s="21" t="str">
        <f>APOSTAS!B16</f>
        <v>Canadá</v>
      </c>
      <c r="C16" s="22"/>
      <c r="D16" s="19" t="str">
        <f>APOSTAS!D16</f>
        <v>x</v>
      </c>
      <c r="E16" s="23"/>
      <c r="F16" s="34" t="str">
        <f>APOSTAS!F16</f>
        <v>Catar</v>
      </c>
      <c r="G16" s="2"/>
      <c r="H16" s="25">
        <v>46191.0</v>
      </c>
      <c r="I16" s="26">
        <v>0.791666666666667</v>
      </c>
      <c r="J16" s="27"/>
      <c r="K16" s="37" t="str">
        <f>APOSTAS!K17</f>
        <v>Suíça</v>
      </c>
      <c r="L16" s="38" t="str">
        <f t="shared" si="13"/>
        <v>1</v>
      </c>
      <c r="M16" s="38" t="str">
        <f t="shared" si="14"/>
        <v>0</v>
      </c>
      <c r="N16" s="38" t="str">
        <f t="shared" si="15"/>
        <v>1</v>
      </c>
      <c r="O16" s="38" t="str">
        <f t="shared" si="16"/>
        <v>1</v>
      </c>
      <c r="P16" s="38" t="str">
        <f t="shared" si="17"/>
        <v>0</v>
      </c>
      <c r="Q16" s="38" t="str">
        <f t="shared" si="18"/>
        <v>1</v>
      </c>
      <c r="R16" s="39" t="str">
        <f t="shared" si="19"/>
        <v>0</v>
      </c>
      <c r="U16" s="6" t="s">
        <v>68</v>
      </c>
      <c r="V16" s="6" t="s">
        <v>69</v>
      </c>
      <c r="W16" s="6" t="s">
        <v>70</v>
      </c>
      <c r="X16" s="6" t="str">
        <f t="shared" ref="X16:Z16" si="22">IF(ISNUMBER(FIND("C", U16, 1)), SUBSTITUTE(U16, "C", "E"), SUBSTITUTE(U16, "E", "C"))</f>
        <v>C14</v>
      </c>
      <c r="Y16" s="6" t="str">
        <f t="shared" si="22"/>
        <v>E15</v>
      </c>
      <c r="Z16" s="6" t="str">
        <f t="shared" si="22"/>
        <v>E17</v>
      </c>
    </row>
    <row r="17" ht="12.75" customHeight="1">
      <c r="B17" s="21" t="str">
        <f>APOSTAS!B17</f>
        <v>Suíça</v>
      </c>
      <c r="C17" s="22"/>
      <c r="D17" s="19" t="str">
        <f>APOSTAS!D17</f>
        <v>x</v>
      </c>
      <c r="E17" s="23"/>
      <c r="F17" s="34" t="str">
        <f>APOSTAS!F17</f>
        <v>Canadá</v>
      </c>
      <c r="G17" s="2"/>
      <c r="H17" s="25">
        <v>46197.0</v>
      </c>
      <c r="I17" s="26">
        <v>0.666666666666667</v>
      </c>
      <c r="J17" s="27"/>
      <c r="K17" s="31"/>
      <c r="U17" s="6"/>
      <c r="V17" s="6"/>
      <c r="W17" s="6"/>
      <c r="X17" s="6"/>
      <c r="Y17" s="6"/>
      <c r="Z17" s="6"/>
    </row>
    <row r="18" ht="13.5" customHeight="1">
      <c r="B18" s="40" t="str">
        <f>APOSTAS!B18</f>
        <v>Bósnia</v>
      </c>
      <c r="C18" s="41"/>
      <c r="D18" s="38" t="str">
        <f>APOSTAS!D18</f>
        <v>x</v>
      </c>
      <c r="E18" s="42"/>
      <c r="F18" s="43" t="str">
        <f>APOSTAS!F18</f>
        <v>Catar</v>
      </c>
      <c r="G18" s="2"/>
      <c r="H18" s="44">
        <v>46197.0</v>
      </c>
      <c r="I18" s="45">
        <v>0.666666666666667</v>
      </c>
      <c r="J18" s="27"/>
      <c r="K18" s="2"/>
      <c r="L18" s="2"/>
      <c r="M18" s="2"/>
      <c r="N18" s="2"/>
      <c r="O18" s="2"/>
      <c r="P18" s="2"/>
      <c r="Q18" s="2"/>
      <c r="R18" s="2"/>
      <c r="U18" s="6"/>
      <c r="V18" s="6"/>
      <c r="W18" s="6"/>
      <c r="X18" s="6"/>
      <c r="Y18" s="6"/>
      <c r="Z18" s="6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U19" s="6"/>
      <c r="V19" s="6"/>
      <c r="W19" s="6"/>
      <c r="X19" s="6"/>
      <c r="Y19" s="6"/>
      <c r="Z19" s="6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47"/>
      <c r="L20" s="29" t="s">
        <v>33</v>
      </c>
      <c r="M20" s="29" t="s">
        <v>34</v>
      </c>
      <c r="N20" s="29" t="s">
        <v>35</v>
      </c>
      <c r="O20" s="29" t="s">
        <v>36</v>
      </c>
      <c r="P20" s="29" t="s">
        <v>37</v>
      </c>
      <c r="Q20" s="29" t="s">
        <v>38</v>
      </c>
      <c r="R20" s="30" t="s">
        <v>39</v>
      </c>
      <c r="U20" s="6"/>
      <c r="V20" s="6"/>
      <c r="W20" s="6"/>
      <c r="X20" s="6"/>
      <c r="Y20" s="6"/>
      <c r="Z20" s="6"/>
    </row>
    <row r="21" ht="13.5" customHeight="1">
      <c r="B21" s="21" t="str">
        <f>APOSTAS!B21</f>
        <v>Brasil</v>
      </c>
      <c r="C21" s="22">
        <v>1.0</v>
      </c>
      <c r="D21" s="19" t="str">
        <f>APOSTAS!D21</f>
        <v>x</v>
      </c>
      <c r="E21" s="23">
        <v>1.0</v>
      </c>
      <c r="F21" s="24" t="str">
        <f>APOSTAS!F21</f>
        <v>Marrocos</v>
      </c>
      <c r="G21" s="2"/>
      <c r="H21" s="25">
        <v>46186.0</v>
      </c>
      <c r="I21" s="26">
        <v>0.791666666666667</v>
      </c>
      <c r="J21" s="27"/>
      <c r="K21" s="35" t="str">
        <f>APOSTAS!K22</f>
        <v>Brasil</v>
      </c>
      <c r="L21" s="19" t="str">
        <f t="shared" ref="L21:L24" si="24">SUM(IF(AND(ISNUMBER(INDIRECT($U21)),INDIRECT($U21)&gt;INDIRECT($X21)),3,IF(AND(ISNUMBER(INDIRECT($U21)),INDIRECT($U21)=INDIRECT($X21)),1,0)),IF(AND(ISNUMBER(INDIRECT($V21)),INDIRECT($V21)&gt;INDIRECT($Y21)),3,IF(AND(ISNUMBER(INDIRECT($V21)),INDIRECT($V21)=INDIRECT($Y21)),1,0)),IF(AND(ISNUMBER(INDIRECT($W21)),INDIRECT($W21)&gt;INDIRECT($Z21)),3,IF(AND(ISNUMBER(INDIRECT($W21)),INDIRECT($W21)=INDIRECT($Z21)),1,0)))</f>
        <v>1</v>
      </c>
      <c r="M21" s="46" t="str">
        <f t="shared" ref="M21:M24" si="25">N21-O21</f>
        <v>0</v>
      </c>
      <c r="N21" s="46" t="str">
        <f>SUM(C21,C23,C26)</f>
        <v>1</v>
      </c>
      <c r="O21" s="46" t="str">
        <f>SUM(E21,E23,E26)</f>
        <v>1</v>
      </c>
      <c r="P21" s="46" t="str">
        <f>SUM(IF(AND(ISNUMBER(C21),C21&gt;E21),1,0),IF(AND(ISNUMBER(C23),C23&gt;E23),1,0),IF(AND(ISNUMBER(C26),C26&gt;E26),1,0))</f>
        <v>0</v>
      </c>
      <c r="Q21" s="46" t="str">
        <f>SUM(IF(AND(ISNUMBER(C21),C21=E21),1,0),IF(AND(ISNUMBER(C23),C23=E23),1,0),IF(AND(ISNUMBER(C26),C26=E26),1,0))</f>
        <v>1</v>
      </c>
      <c r="R21" s="34" t="str">
        <f>SUM(IF(AND(ISNUMBER(C21),C21&lt;E21),1,0),IF(AND(ISNUMBER(C23),C23&lt;E23),1,0),IF(AND(ISNUMBER(C26),C26&lt;E26),1,0))</f>
        <v>0</v>
      </c>
      <c r="U21" s="6" t="s">
        <v>76</v>
      </c>
      <c r="V21" s="6" t="s">
        <v>77</v>
      </c>
      <c r="W21" s="6" t="s">
        <v>78</v>
      </c>
      <c r="X21" s="6" t="str">
        <f t="shared" ref="X21:Z21" si="23">IF(ISNUMBER(FIND("C", U21, 1)), SUBSTITUTE(U21, "C", "E"), SUBSTITUTE(U21, "E", "C"))</f>
        <v>E21</v>
      </c>
      <c r="Y21" s="6" t="str">
        <f t="shared" si="23"/>
        <v>E24</v>
      </c>
      <c r="Z21" s="6" t="str">
        <f t="shared" si="23"/>
        <v>C26</v>
      </c>
    </row>
    <row r="22" ht="13.5" customHeight="1">
      <c r="B22" s="21" t="str">
        <f>APOSTAS!B22</f>
        <v>Haiti</v>
      </c>
      <c r="C22" s="22">
        <v>0.0</v>
      </c>
      <c r="D22" s="19" t="str">
        <f>APOSTAS!D22</f>
        <v>x</v>
      </c>
      <c r="E22" s="23">
        <v>1.0</v>
      </c>
      <c r="F22" s="34" t="str">
        <f>APOSTAS!F22</f>
        <v>Escócia</v>
      </c>
      <c r="G22" s="2"/>
      <c r="H22" s="25">
        <v>46186.0</v>
      </c>
      <c r="I22" s="26">
        <v>0.916666666666667</v>
      </c>
      <c r="J22" s="27"/>
      <c r="K22" s="35" t="str">
        <f>APOSTAS!K23</f>
        <v>Escócia</v>
      </c>
      <c r="L22" s="19" t="str">
        <f t="shared" si="24"/>
        <v>3</v>
      </c>
      <c r="M22" s="46" t="str">
        <f t="shared" si="25"/>
        <v>0</v>
      </c>
      <c r="N22" s="46" t="str">
        <f>SUM(E21,C24,C25)</f>
        <v>1</v>
      </c>
      <c r="O22" s="46" t="str">
        <f>SUM(C21,E24,E25)</f>
        <v>1</v>
      </c>
      <c r="P22" s="46" t="str">
        <f>SUM(IF(AND(ISNUMBER(E21),E21&gt;C21),1,0),IF(AND(ISNUMBER(C24),C24&gt;E24),1,0),IF(AND(ISNUMBER(C25),C25&gt;E25),1,0))</f>
        <v>0</v>
      </c>
      <c r="Q22" s="46" t="str">
        <f>SUM(IF(AND(ISNUMBER(E21),E21=C21),1,0),IF(AND(ISNUMBER(C24),C24=E24),1,0),IF(AND(ISNUMBER(C25),C25=E25),1,0))</f>
        <v>1</v>
      </c>
      <c r="R22" s="34" t="str">
        <f>SUM(IF(AND(ISNUMBER(E21),E21&lt;C21),1,0),IF(AND(ISNUMBER(C24),C24&lt;E24),1,0),IF(AND(ISNUMBER(C25),C25&lt;E25),1,0))</f>
        <v>0</v>
      </c>
      <c r="U22" s="6" t="s">
        <v>79</v>
      </c>
      <c r="V22" s="6" t="s">
        <v>80</v>
      </c>
      <c r="W22" s="6" t="s">
        <v>81</v>
      </c>
      <c r="X22" s="6" t="str">
        <f t="shared" ref="X22:Z22" si="26">IF(ISNUMBER(FIND("C", U22, 1)), SUBSTITUTE(U22, "C", "E"), SUBSTITUTE(U22, "E", "C"))</f>
        <v>C22</v>
      </c>
      <c r="Y22" s="6" t="str">
        <f t="shared" si="26"/>
        <v>E23</v>
      </c>
      <c r="Z22" s="6" t="str">
        <f t="shared" si="26"/>
        <v>E26</v>
      </c>
    </row>
    <row r="23" ht="12.75" customHeight="1">
      <c r="B23" s="21" t="str">
        <f>APOSTAS!B23</f>
        <v>Escócia</v>
      </c>
      <c r="C23" s="22"/>
      <c r="D23" s="19" t="str">
        <f>APOSTAS!D23</f>
        <v>x</v>
      </c>
      <c r="E23" s="23"/>
      <c r="F23" s="34" t="str">
        <f>APOSTAS!F23</f>
        <v>Marrocos</v>
      </c>
      <c r="G23" s="2"/>
      <c r="H23" s="25">
        <v>46192.0</v>
      </c>
      <c r="I23" s="26">
        <v>0.791666666666667</v>
      </c>
      <c r="J23" s="27"/>
      <c r="K23" s="35" t="str">
        <f>APOSTAS!K24</f>
        <v>Haiti</v>
      </c>
      <c r="L23" s="19" t="str">
        <f t="shared" si="24"/>
        <v>0</v>
      </c>
      <c r="M23" s="46" t="str">
        <f t="shared" si="25"/>
        <v>-1</v>
      </c>
      <c r="N23" s="46" t="str">
        <f>SUM(C22,E23,E25)</f>
        <v>0</v>
      </c>
      <c r="O23" s="46" t="str">
        <f>SUM(E22,C23,C25)</f>
        <v>1</v>
      </c>
      <c r="P23" s="46" t="str">
        <f>SUM(IF(AND(ISNUMBER(C22),C22&gt;E22),1,0),IF(AND(ISNUMBER(E23),E23&gt;C23),1,0),IF(AND(ISNUMBER(E25),E25&gt;C25),1,0))</f>
        <v>0</v>
      </c>
      <c r="Q23" s="46" t="str">
        <f>SUM(IF(AND(ISNUMBER(C22),C22=E22),1,0),IF(AND(ISNUMBER(E23),E23=C23),1,0),IF(AND(ISNUMBER(E25),E25=C25),1,0))</f>
        <v>0</v>
      </c>
      <c r="R23" s="34" t="str">
        <f>SUM(IF(AND(ISNUMBER(C22),C22&lt;E22),1,0),IF(AND(ISNUMBER(E23),E23&lt;C23),1,0),IF(AND(ISNUMBER(E25),E25&lt;C25),1,0))</f>
        <v>1</v>
      </c>
      <c r="U23" s="6" t="s">
        <v>82</v>
      </c>
      <c r="V23" s="6" t="s">
        <v>83</v>
      </c>
      <c r="W23" s="6" t="s">
        <v>84</v>
      </c>
      <c r="X23" s="6" t="str">
        <f t="shared" ref="X23:Z23" si="27">IF(ISNUMBER(FIND("C", U23, 1)), SUBSTITUTE(U23, "C", "E"), SUBSTITUTE(U23, "E", "C"))</f>
        <v>E22</v>
      </c>
      <c r="Y23" s="6" t="str">
        <f t="shared" si="27"/>
        <v>C24</v>
      </c>
      <c r="Z23" s="6" t="str">
        <f t="shared" si="27"/>
        <v>C25</v>
      </c>
    </row>
    <row r="24" ht="12.75" customHeight="1">
      <c r="B24" s="21" t="str">
        <f>APOSTAS!B24</f>
        <v>Brasil</v>
      </c>
      <c r="C24" s="22"/>
      <c r="D24" s="19" t="str">
        <f>APOSTAS!D24</f>
        <v>x</v>
      </c>
      <c r="E24" s="23"/>
      <c r="F24" s="34" t="str">
        <f>APOSTAS!F24</f>
        <v>Haiti</v>
      </c>
      <c r="G24" s="2"/>
      <c r="H24" s="25">
        <v>46192.0</v>
      </c>
      <c r="I24" s="26">
        <v>0.895833333333333</v>
      </c>
      <c r="J24" s="27"/>
      <c r="K24" s="37" t="str">
        <f>APOSTAS!K25</f>
        <v>Marrocos</v>
      </c>
      <c r="L24" s="38" t="str">
        <f t="shared" si="24"/>
        <v>1</v>
      </c>
      <c r="M24" s="56" t="str">
        <f t="shared" si="25"/>
        <v>1</v>
      </c>
      <c r="N24" s="56" t="str">
        <f>SUM(E22,E24,E26)</f>
        <v>1</v>
      </c>
      <c r="O24" s="56" t="str">
        <f>SUM(C22,C24,C26)</f>
        <v>0</v>
      </c>
      <c r="P24" s="56" t="str">
        <f>SUM(IF(AND(ISNUMBER(E22),E22&gt;C22),1,0),IF(AND(ISNUMBER(E24),E24&gt;C24),1,0),IF(AND(ISNUMBER(E26),E26&gt;C26),1,0))</f>
        <v>1</v>
      </c>
      <c r="Q24" s="56" t="str">
        <f>SUM(IF(AND(ISNUMBER(E22),E22=C22),1,0),IF(AND(ISNUMBER(E24),E24=C24),1,0),IF(AND(ISNUMBER(E26),E26=C26),1,0))</f>
        <v>0</v>
      </c>
      <c r="R24" s="43" t="str">
        <f>SUM(IF(AND(ISNUMBER(E22),E22&lt;C22),1,0),IF(AND(ISNUMBER(E24),E24&lt;C24),1,0),IF(AND(ISNUMBER(E26),E26&lt;C26),1,0))</f>
        <v>0</v>
      </c>
      <c r="U24" s="6" t="s">
        <v>85</v>
      </c>
      <c r="V24" s="6" t="s">
        <v>86</v>
      </c>
      <c r="W24" s="6" t="s">
        <v>87</v>
      </c>
      <c r="X24" s="6" t="str">
        <f t="shared" ref="X24:Z24" si="28">IF(ISNUMBER(FIND("C", U24, 1)), SUBSTITUTE(U24, "C", "E"), SUBSTITUTE(U24, "E", "C"))</f>
        <v>C21</v>
      </c>
      <c r="Y24" s="6" t="str">
        <f t="shared" si="28"/>
        <v>C23</v>
      </c>
      <c r="Z24" s="6" t="str">
        <f t="shared" si="28"/>
        <v>E25</v>
      </c>
    </row>
    <row r="25" ht="12.75" customHeight="1">
      <c r="B25" s="21" t="str">
        <f>APOSTAS!B25</f>
        <v>Marrocos</v>
      </c>
      <c r="C25" s="22"/>
      <c r="D25" s="19" t="str">
        <f>APOSTAS!D25</f>
        <v>x</v>
      </c>
      <c r="E25" s="23"/>
      <c r="F25" s="34" t="str">
        <f>APOSTAS!F25</f>
        <v>Haiti</v>
      </c>
      <c r="G25" s="2"/>
      <c r="H25" s="25">
        <v>46197.0</v>
      </c>
      <c r="I25" s="26">
        <v>0.791666666666667</v>
      </c>
      <c r="J25" s="27"/>
      <c r="K25" s="46"/>
      <c r="U25" s="6"/>
      <c r="V25" s="6"/>
      <c r="W25" s="6"/>
      <c r="X25" s="6"/>
      <c r="Y25" s="6"/>
      <c r="Z25" s="6"/>
    </row>
    <row r="26" ht="13.5" customHeight="1">
      <c r="B26" s="40" t="str">
        <f>APOSTAS!B26</f>
        <v>Escócia</v>
      </c>
      <c r="C26" s="41"/>
      <c r="D26" s="38" t="str">
        <f>APOSTAS!D26</f>
        <v>x</v>
      </c>
      <c r="E26" s="42"/>
      <c r="F26" s="43" t="str">
        <f>APOSTAS!F26</f>
        <v>Brasil</v>
      </c>
      <c r="G26" s="2"/>
      <c r="H26" s="44">
        <v>46197.0</v>
      </c>
      <c r="I26" s="45">
        <v>0.791666666666667</v>
      </c>
      <c r="J26" s="27"/>
      <c r="K26" s="2"/>
      <c r="L26" s="2"/>
      <c r="M26" s="2"/>
      <c r="N26" s="2"/>
      <c r="O26" s="2"/>
      <c r="P26" s="2"/>
      <c r="Q26" s="2"/>
      <c r="R26" s="2"/>
      <c r="U26" s="6"/>
      <c r="V26" s="6"/>
      <c r="W26" s="6"/>
      <c r="X26" s="6"/>
      <c r="Y26" s="6"/>
      <c r="Z26" s="6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U27" s="6"/>
      <c r="V27" s="6"/>
      <c r="W27" s="6"/>
      <c r="X27" s="6"/>
      <c r="Y27" s="6"/>
      <c r="Z27" s="6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8"/>
      <c r="L28" s="29" t="s">
        <v>33</v>
      </c>
      <c r="M28" s="29" t="s">
        <v>34</v>
      </c>
      <c r="N28" s="29" t="s">
        <v>35</v>
      </c>
      <c r="O28" s="29" t="s">
        <v>36</v>
      </c>
      <c r="P28" s="29" t="s">
        <v>37</v>
      </c>
      <c r="Q28" s="29" t="s">
        <v>38</v>
      </c>
      <c r="R28" s="30" t="s">
        <v>39</v>
      </c>
      <c r="U28" s="6"/>
      <c r="V28" s="6"/>
      <c r="W28" s="6"/>
      <c r="X28" s="6"/>
      <c r="Y28" s="6"/>
      <c r="Z28" s="6"/>
    </row>
    <row r="29" ht="13.5" customHeight="1">
      <c r="B29" s="21" t="str">
        <f>APOSTAS!B29</f>
        <v>Estados Unidos</v>
      </c>
      <c r="C29" s="22">
        <v>4.0</v>
      </c>
      <c r="D29" s="19" t="str">
        <f>APOSTAS!D29</f>
        <v>x</v>
      </c>
      <c r="E29" s="23">
        <v>1.0</v>
      </c>
      <c r="F29" s="24" t="str">
        <f>APOSTAS!F29</f>
        <v>Paraguai</v>
      </c>
      <c r="G29" s="2"/>
      <c r="H29" s="25">
        <v>46185.0</v>
      </c>
      <c r="I29" s="26">
        <v>0.916666666666667</v>
      </c>
      <c r="J29" s="27"/>
      <c r="K29" s="35" t="str">
        <f>APOSTAS!K30</f>
        <v>Austrália</v>
      </c>
      <c r="L29" s="19" t="str">
        <f t="shared" ref="L29:L32" si="30">SUM(IF(AND(ISNUMBER(INDIRECT($U29)),INDIRECT($U29)&gt;INDIRECT($X29)),3,IF(AND(ISNUMBER(INDIRECT($U29)),INDIRECT($U29)=INDIRECT($X29)),1,0)),IF(AND(ISNUMBER(INDIRECT($V29)),INDIRECT($V29)&gt;INDIRECT($Y29)),3,IF(AND(ISNUMBER(INDIRECT($V29)),INDIRECT($V29)=INDIRECT($Y29)),1,0)),IF(AND(ISNUMBER(INDIRECT($W29)),INDIRECT($W29)&gt;INDIRECT($Z29)),3,IF(AND(ISNUMBER(INDIRECT($W29)),INDIRECT($W29)=INDIRECT($Z29)),1,0)))</f>
        <v>3</v>
      </c>
      <c r="M29" s="19" t="str">
        <f t="shared" ref="M29:M32" si="31">N29-O29</f>
        <v>2</v>
      </c>
      <c r="N29" s="19" t="str">
        <f t="shared" ref="N29:N32" si="32">SUM(INDIRECT($U29),INDIRECT($V29),INDIRECT($W29))</f>
        <v>2</v>
      </c>
      <c r="O29" s="19" t="str">
        <f t="shared" ref="O29:O32" si="33">SUM(INDIRECT($X29),INDIRECT($Y29),INDIRECT($Z29))</f>
        <v>0</v>
      </c>
      <c r="P29" s="19" t="str">
        <f t="shared" ref="P29:P32" si="34">SUM(IF(AND(ISNUMBER(INDIRECT($U29)),INDIRECT($U29)&gt;INDIRECT($X29)),1,0),IF(AND(ISNUMBER(INDIRECT($V29)),INDIRECT($V29)&gt;INDIRECT($Y29)),1,0),IF(AND(ISNUMBER(INDIRECT($W29)),INDIRECT($W29)&gt;INDIRECT($Z29)),1,0))</f>
        <v>1</v>
      </c>
      <c r="Q29" s="19" t="str">
        <f t="shared" ref="Q29:Q32" si="35">SUM(IF(AND(ISNUMBER(INDIRECT($U29)),INDIRECT($U29)=INDIRECT($X29)),1,0),IF(AND(ISNUMBER(INDIRECT($V29)),INDIRECT($V29)=INDIRECT($Y29)),1,0),IF(AND(ISNUMBER(INDIRECT($W29)),INDIRECT($W29)=INDIRECT($Z29)),1,0))</f>
        <v>0</v>
      </c>
      <c r="R29" s="36" t="str">
        <f t="shared" ref="R29:R32" si="36">SUM(IF(AND(ISNUMBER(INDIRECT($U29)),INDIRECT($U29)&lt;INDIRECT($X29)),1,0),IF(AND(ISNUMBER(INDIRECT($V29)),INDIRECT($V29)&lt;INDIRECT($Y29)),1,0),IF(AND(ISNUMBER(INDIRECT($W29)),INDIRECT($W29)&lt;INDIRECT($Z29)),1,0))</f>
        <v>0</v>
      </c>
      <c r="U29" s="6" t="s">
        <v>93</v>
      </c>
      <c r="V29" s="6" t="s">
        <v>94</v>
      </c>
      <c r="W29" s="6" t="s">
        <v>95</v>
      </c>
      <c r="X29" s="6" t="str">
        <f t="shared" ref="X29:Z29" si="29">IF(ISNUMBER(FIND("C", U29, 1)), SUBSTITUTE(U29, "C", "E"), SUBSTITUTE(U29, "E", "C"))</f>
        <v>E30</v>
      </c>
      <c r="Y29" s="6" t="str">
        <f t="shared" si="29"/>
        <v>C31</v>
      </c>
      <c r="Z29" s="6" t="str">
        <f t="shared" si="29"/>
        <v>C34</v>
      </c>
    </row>
    <row r="30" ht="13.5" customHeight="1">
      <c r="B30" s="21" t="str">
        <f>APOSTAS!B30</f>
        <v>Austrália</v>
      </c>
      <c r="C30" s="22">
        <v>2.0</v>
      </c>
      <c r="D30" s="19" t="str">
        <f>APOSTAS!D30</f>
        <v>x</v>
      </c>
      <c r="E30" s="23">
        <v>0.0</v>
      </c>
      <c r="F30" s="34" t="str">
        <f>APOSTAS!F30</f>
        <v>Turquia</v>
      </c>
      <c r="G30" s="2"/>
      <c r="H30" s="25">
        <v>46187.0</v>
      </c>
      <c r="I30" s="26">
        <v>0.0416666666666667</v>
      </c>
      <c r="J30" s="27"/>
      <c r="K30" s="35" t="str">
        <f>APOSTAS!K31</f>
        <v>Estados Unidos</v>
      </c>
      <c r="L30" s="19" t="str">
        <f t="shared" si="30"/>
        <v>3</v>
      </c>
      <c r="M30" s="19" t="str">
        <f t="shared" si="31"/>
        <v>3</v>
      </c>
      <c r="N30" s="19" t="str">
        <f t="shared" si="32"/>
        <v>4</v>
      </c>
      <c r="O30" s="19" t="str">
        <f t="shared" si="33"/>
        <v>1</v>
      </c>
      <c r="P30" s="19" t="str">
        <f t="shared" si="34"/>
        <v>1</v>
      </c>
      <c r="Q30" s="19" t="str">
        <f t="shared" si="35"/>
        <v>0</v>
      </c>
      <c r="R30" s="36" t="str">
        <f t="shared" si="36"/>
        <v>0</v>
      </c>
      <c r="U30" s="6" t="s">
        <v>96</v>
      </c>
      <c r="V30" s="6" t="s">
        <v>97</v>
      </c>
      <c r="W30" s="6" t="s">
        <v>98</v>
      </c>
      <c r="X30" s="6" t="str">
        <f t="shared" ref="X30:Z30" si="37">IF(ISNUMBER(FIND("C", U30, 1)), SUBSTITUTE(U30, "C", "E"), SUBSTITUTE(U30, "E", "C"))</f>
        <v>E29</v>
      </c>
      <c r="Y30" s="6" t="str">
        <f t="shared" si="37"/>
        <v>E31</v>
      </c>
      <c r="Z30" s="6" t="str">
        <f t="shared" si="37"/>
        <v>C33</v>
      </c>
    </row>
    <row r="31" ht="12.75" customHeight="1">
      <c r="B31" s="21" t="str">
        <f>APOSTAS!B31</f>
        <v>Estados Unidos</v>
      </c>
      <c r="C31" s="22"/>
      <c r="D31" s="19" t="str">
        <f>APOSTAS!D31</f>
        <v>x</v>
      </c>
      <c r="E31" s="23"/>
      <c r="F31" s="34" t="str">
        <f>APOSTAS!F31</f>
        <v>Austrália</v>
      </c>
      <c r="G31" s="2"/>
      <c r="H31" s="25">
        <v>46192.0</v>
      </c>
      <c r="I31" s="26">
        <v>0.666666666666667</v>
      </c>
      <c r="J31" s="27"/>
      <c r="K31" s="35" t="str">
        <f>APOSTAS!K32</f>
        <v>Paraguai</v>
      </c>
      <c r="L31" s="19" t="str">
        <f t="shared" si="30"/>
        <v>0</v>
      </c>
      <c r="M31" s="19" t="str">
        <f t="shared" si="31"/>
        <v>-3</v>
      </c>
      <c r="N31" s="19" t="str">
        <f t="shared" si="32"/>
        <v>1</v>
      </c>
      <c r="O31" s="19" t="str">
        <f t="shared" si="33"/>
        <v>4</v>
      </c>
      <c r="P31" s="19" t="str">
        <f t="shared" si="34"/>
        <v>0</v>
      </c>
      <c r="Q31" s="19" t="str">
        <f t="shared" si="35"/>
        <v>0</v>
      </c>
      <c r="R31" s="36" t="str">
        <f t="shared" si="36"/>
        <v>1</v>
      </c>
      <c r="U31" s="6" t="s">
        <v>99</v>
      </c>
      <c r="V31" s="6" t="s">
        <v>100</v>
      </c>
      <c r="W31" s="6" t="s">
        <v>95</v>
      </c>
      <c r="X31" s="6" t="str">
        <f t="shared" ref="X31:Z31" si="38">IF(ISNUMBER(FIND("C", U31, 1)), SUBSTITUTE(U31, "C", "E"), SUBSTITUTE(U31, "E", "C"))</f>
        <v>C29</v>
      </c>
      <c r="Y31" s="6" t="str">
        <f t="shared" si="38"/>
        <v>C32</v>
      </c>
      <c r="Z31" s="6" t="str">
        <f t="shared" si="38"/>
        <v>C34</v>
      </c>
    </row>
    <row r="32" ht="12.75" customHeight="1">
      <c r="B32" s="21" t="str">
        <f>APOSTAS!B32</f>
        <v>Turquia</v>
      </c>
      <c r="C32" s="22"/>
      <c r="D32" s="19" t="str">
        <f>APOSTAS!D32</f>
        <v>x</v>
      </c>
      <c r="E32" s="23"/>
      <c r="F32" s="34" t="str">
        <f>APOSTAS!F32</f>
        <v>Paraguai</v>
      </c>
      <c r="G32" s="2"/>
      <c r="H32" s="25">
        <v>46193.0</v>
      </c>
      <c r="I32" s="26">
        <v>0.0416666666666667</v>
      </c>
      <c r="J32" s="27"/>
      <c r="K32" s="37" t="str">
        <f>APOSTAS!K33</f>
        <v>Turquia</v>
      </c>
      <c r="L32" s="38" t="str">
        <f t="shared" si="30"/>
        <v>0</v>
      </c>
      <c r="M32" s="38" t="str">
        <f t="shared" si="31"/>
        <v>-2</v>
      </c>
      <c r="N32" s="38" t="str">
        <f t="shared" si="32"/>
        <v>0</v>
      </c>
      <c r="O32" s="38" t="str">
        <f t="shared" si="33"/>
        <v>2</v>
      </c>
      <c r="P32" s="38" t="str">
        <f t="shared" si="34"/>
        <v>0</v>
      </c>
      <c r="Q32" s="38" t="str">
        <f t="shared" si="35"/>
        <v>0</v>
      </c>
      <c r="R32" s="39" t="str">
        <f t="shared" si="36"/>
        <v>1</v>
      </c>
      <c r="U32" s="6" t="s">
        <v>101</v>
      </c>
      <c r="V32" s="6" t="s">
        <v>102</v>
      </c>
      <c r="W32" s="6" t="s">
        <v>103</v>
      </c>
      <c r="X32" s="6" t="str">
        <f t="shared" ref="X32:Z32" si="39">IF(ISNUMBER(FIND("C", U32, 1)), SUBSTITUTE(U32, "C", "E"), SUBSTITUTE(U32, "E", "C"))</f>
        <v>C30</v>
      </c>
      <c r="Y32" s="6" t="str">
        <f t="shared" si="39"/>
        <v>E32</v>
      </c>
      <c r="Z32" s="6" t="str">
        <f t="shared" si="39"/>
        <v>E33</v>
      </c>
    </row>
    <row r="33" ht="12.75" customHeight="1">
      <c r="B33" s="21" t="str">
        <f>APOSTAS!B33</f>
        <v>Turquia</v>
      </c>
      <c r="C33" s="22"/>
      <c r="D33" s="19" t="str">
        <f>APOSTAS!D33</f>
        <v>x</v>
      </c>
      <c r="E33" s="23"/>
      <c r="F33" s="34" t="str">
        <f>APOSTAS!F33</f>
        <v>Estados Unidos</v>
      </c>
      <c r="G33" s="2"/>
      <c r="H33" s="25">
        <v>46198.0</v>
      </c>
      <c r="I33" s="26">
        <v>0.958333333333333</v>
      </c>
      <c r="J33" s="27"/>
      <c r="K33" s="46"/>
      <c r="U33" s="6"/>
      <c r="V33" s="6"/>
      <c r="W33" s="6"/>
      <c r="X33" s="6"/>
      <c r="Y33" s="6"/>
      <c r="Z33" s="6"/>
    </row>
    <row r="34" ht="13.5" customHeight="1">
      <c r="B34" s="40" t="str">
        <f>APOSTAS!B34</f>
        <v>Paraguai</v>
      </c>
      <c r="C34" s="41"/>
      <c r="D34" s="38" t="str">
        <f>APOSTAS!D34</f>
        <v>x</v>
      </c>
      <c r="E34" s="42"/>
      <c r="F34" s="43" t="str">
        <f>APOSTAS!F34</f>
        <v>Austrália</v>
      </c>
      <c r="G34" s="2"/>
      <c r="H34" s="44">
        <v>46198.0</v>
      </c>
      <c r="I34" s="45">
        <v>0.958333333333333</v>
      </c>
      <c r="J34" s="27"/>
      <c r="K34" s="2"/>
      <c r="L34" s="2"/>
      <c r="M34" s="2"/>
      <c r="N34" s="2"/>
      <c r="O34" s="2"/>
      <c r="P34" s="2"/>
      <c r="Q34" s="2"/>
      <c r="R34" s="2"/>
      <c r="U34" s="6"/>
      <c r="V34" s="6"/>
      <c r="W34" s="6"/>
      <c r="X34" s="6"/>
      <c r="Y34" s="6"/>
      <c r="Z34" s="6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U35" s="6"/>
      <c r="V35" s="6"/>
      <c r="W35" s="6"/>
      <c r="X35" s="6"/>
      <c r="Y35" s="6"/>
      <c r="Z35" s="6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8"/>
      <c r="L36" s="29" t="s">
        <v>33</v>
      </c>
      <c r="M36" s="29" t="s">
        <v>34</v>
      </c>
      <c r="N36" s="29" t="s">
        <v>35</v>
      </c>
      <c r="O36" s="29" t="s">
        <v>36</v>
      </c>
      <c r="P36" s="29" t="s">
        <v>37</v>
      </c>
      <c r="Q36" s="29" t="s">
        <v>38</v>
      </c>
      <c r="R36" s="30" t="s">
        <v>39</v>
      </c>
      <c r="U36" s="6"/>
      <c r="V36" s="6"/>
      <c r="W36" s="6"/>
      <c r="X36" s="6"/>
      <c r="Y36" s="6"/>
      <c r="Z36" s="6"/>
    </row>
    <row r="37" ht="13.5" customHeight="1">
      <c r="B37" s="21" t="str">
        <f>APOSTAS!B37</f>
        <v>Alemanha</v>
      </c>
      <c r="C37" s="22">
        <v>7.0</v>
      </c>
      <c r="D37" s="19" t="str">
        <f>APOSTAS!D37</f>
        <v>x</v>
      </c>
      <c r="E37" s="23">
        <v>1.0</v>
      </c>
      <c r="F37" s="24" t="str">
        <f>APOSTAS!F37</f>
        <v>Curaçao</v>
      </c>
      <c r="G37" s="2"/>
      <c r="H37" s="25">
        <v>46187.0</v>
      </c>
      <c r="I37" s="26">
        <v>0.583333333333333</v>
      </c>
      <c r="J37" s="27"/>
      <c r="K37" s="35" t="str">
        <f>APOSTAS!K38</f>
        <v>Alemanha</v>
      </c>
      <c r="L37" s="19" t="str">
        <f t="shared" ref="L37:L40" si="41">SUM(IF(AND(ISNUMBER(INDIRECT($U37)),INDIRECT($U37)&gt;INDIRECT($X37)),3,IF(AND(ISNUMBER(INDIRECT($U37)),INDIRECT($U37)=INDIRECT($X37)),1,0)),IF(AND(ISNUMBER(INDIRECT($V37)),INDIRECT($V37)&gt;INDIRECT($Y37)),3,IF(AND(ISNUMBER(INDIRECT($V37)),INDIRECT($V37)=INDIRECT($Y37)),1,0)),IF(AND(ISNUMBER(INDIRECT($W37)),INDIRECT($W37)&gt;INDIRECT($Z37)),3,IF(AND(ISNUMBER(INDIRECT($W37)),INDIRECT($W37)=INDIRECT($Z37)),1,0)))</f>
        <v>3</v>
      </c>
      <c r="M37" s="19" t="str">
        <f t="shared" ref="M37:M40" si="42">N37-O37</f>
        <v>6</v>
      </c>
      <c r="N37" s="19" t="str">
        <f t="shared" ref="N37:N40" si="43">SUM(INDIRECT($U37),INDIRECT($V37),INDIRECT($W37))</f>
        <v>7</v>
      </c>
      <c r="O37" s="19" t="str">
        <f t="shared" ref="O37:O40" si="44">SUM(INDIRECT($X37),INDIRECT($Y37),INDIRECT($Z37))</f>
        <v>1</v>
      </c>
      <c r="P37" s="19" t="str">
        <f t="shared" ref="P37:P40" si="45">SUM(IF(AND(ISNUMBER(INDIRECT($U37)),INDIRECT($U37)&gt;INDIRECT($X37)),1,0),IF(AND(ISNUMBER(INDIRECT($V37)),INDIRECT($V37)&gt;INDIRECT($Y37)),1,0),IF(AND(ISNUMBER(INDIRECT($W37)),INDIRECT($W37)&gt;INDIRECT($Z37)),1,0))</f>
        <v>1</v>
      </c>
      <c r="Q37" s="19" t="str">
        <f t="shared" ref="Q37:Q40" si="46">SUM(IF(AND(ISNUMBER(INDIRECT($U37)),INDIRECT($U37)=INDIRECT($X37)),1,0),IF(AND(ISNUMBER(INDIRECT($V37)),INDIRECT($V37)=INDIRECT($Y37)),1,0),IF(AND(ISNUMBER(INDIRECT($W37)),INDIRECT($W37)=INDIRECT($Z37)),1,0))</f>
        <v>0</v>
      </c>
      <c r="R37" s="36" t="str">
        <f t="shared" ref="R37:R40" si="47">SUM(IF(AND(ISNUMBER(INDIRECT($U37)),INDIRECT($U37)&lt;INDIRECT($X37)),1,0),IF(AND(ISNUMBER(INDIRECT($V37)),INDIRECT($V37)&lt;INDIRECT($Y37)),1,0),IF(AND(ISNUMBER(INDIRECT($W37)),INDIRECT($W37)&lt;INDIRECT($Z37)),1,0))</f>
        <v>0</v>
      </c>
      <c r="U37" s="6" t="s">
        <v>109</v>
      </c>
      <c r="V37" s="6" t="s">
        <v>110</v>
      </c>
      <c r="W37" s="6" t="s">
        <v>111</v>
      </c>
      <c r="X37" s="6" t="str">
        <f t="shared" ref="X37:Z37" si="40">IF(ISNUMBER(FIND("C", U37, 1)), SUBSTITUTE(U37, "C", "E"), SUBSTITUTE(U37, "E", "C"))</f>
        <v>E37</v>
      </c>
      <c r="Y37" s="6" t="str">
        <f t="shared" si="40"/>
        <v>E39</v>
      </c>
      <c r="Z37" s="6" t="str">
        <f t="shared" si="40"/>
        <v>C41</v>
      </c>
    </row>
    <row r="38" ht="13.5" customHeight="1">
      <c r="B38" s="21" t="str">
        <f>APOSTAS!B38</f>
        <v>Costa do Marfim</v>
      </c>
      <c r="C38" s="22">
        <v>1.0</v>
      </c>
      <c r="D38" s="19" t="str">
        <f>APOSTAS!D38</f>
        <v>x</v>
      </c>
      <c r="E38" s="23">
        <v>0.0</v>
      </c>
      <c r="F38" s="34" t="str">
        <f>APOSTAS!F38</f>
        <v>Equador</v>
      </c>
      <c r="G38" s="2"/>
      <c r="H38" s="25">
        <v>46187.0</v>
      </c>
      <c r="I38" s="26">
        <v>0.833333333333333</v>
      </c>
      <c r="J38" s="27"/>
      <c r="K38" s="35" t="str">
        <f>APOSTAS!K39</f>
        <v>Costa do Marfim</v>
      </c>
      <c r="L38" s="19" t="str">
        <f t="shared" si="41"/>
        <v>3</v>
      </c>
      <c r="M38" s="19" t="str">
        <f t="shared" si="42"/>
        <v>1</v>
      </c>
      <c r="N38" s="19" t="str">
        <f t="shared" si="43"/>
        <v>1</v>
      </c>
      <c r="O38" s="19" t="str">
        <f t="shared" si="44"/>
        <v>0</v>
      </c>
      <c r="P38" s="19" t="str">
        <f t="shared" si="45"/>
        <v>1</v>
      </c>
      <c r="Q38" s="19" t="str">
        <f t="shared" si="46"/>
        <v>0</v>
      </c>
      <c r="R38" s="36" t="str">
        <f t="shared" si="47"/>
        <v>0</v>
      </c>
      <c r="U38" s="6" t="s">
        <v>112</v>
      </c>
      <c r="V38" s="6" t="s">
        <v>113</v>
      </c>
      <c r="W38" s="6" t="s">
        <v>114</v>
      </c>
      <c r="X38" s="6" t="str">
        <f t="shared" ref="X38:Z38" si="48">IF(ISNUMBER(FIND("C", U38, 1)), SUBSTITUTE(U38, "C", "E"), SUBSTITUTE(U38, "E", "C"))</f>
        <v>E38</v>
      </c>
      <c r="Y38" s="6" t="str">
        <f t="shared" si="48"/>
        <v>C39</v>
      </c>
      <c r="Z38" s="6" t="str">
        <f t="shared" si="48"/>
        <v>C42</v>
      </c>
    </row>
    <row r="39" ht="12.75" customHeight="1">
      <c r="B39" s="21" t="str">
        <f>APOSTAS!B39</f>
        <v>Alemanha</v>
      </c>
      <c r="C39" s="22"/>
      <c r="D39" s="19" t="str">
        <f>APOSTAS!D39</f>
        <v>x</v>
      </c>
      <c r="E39" s="23"/>
      <c r="F39" s="34" t="str">
        <f>APOSTAS!F39</f>
        <v>Costa do Marfim</v>
      </c>
      <c r="G39" s="2"/>
      <c r="H39" s="25">
        <v>46193.0</v>
      </c>
      <c r="I39" s="26">
        <v>0.708333333333333</v>
      </c>
      <c r="J39" s="27"/>
      <c r="K39" s="35" t="str">
        <f>APOSTAS!K40</f>
        <v>Curaçao</v>
      </c>
      <c r="L39" s="19" t="str">
        <f t="shared" si="41"/>
        <v>0</v>
      </c>
      <c r="M39" s="19" t="str">
        <f t="shared" si="42"/>
        <v>-6</v>
      </c>
      <c r="N39" s="19" t="str">
        <f t="shared" si="43"/>
        <v>1</v>
      </c>
      <c r="O39" s="19" t="str">
        <f t="shared" si="44"/>
        <v>7</v>
      </c>
      <c r="P39" s="19" t="str">
        <f t="shared" si="45"/>
        <v>0</v>
      </c>
      <c r="Q39" s="19" t="str">
        <f t="shared" si="46"/>
        <v>0</v>
      </c>
      <c r="R39" s="36" t="str">
        <f t="shared" si="47"/>
        <v>1</v>
      </c>
      <c r="U39" s="6" t="s">
        <v>115</v>
      </c>
      <c r="V39" s="6" t="s">
        <v>116</v>
      </c>
      <c r="W39" s="6" t="s">
        <v>117</v>
      </c>
      <c r="X39" s="6" t="str">
        <f t="shared" ref="X39:Z39" si="49">IF(ISNUMBER(FIND("C", U39, 1)), SUBSTITUTE(U39, "C", "E"), SUBSTITUTE(U39, "E", "C"))</f>
        <v>C37</v>
      </c>
      <c r="Y39" s="6" t="str">
        <f t="shared" si="49"/>
        <v>C40</v>
      </c>
      <c r="Z39" s="6" t="str">
        <f t="shared" si="49"/>
        <v>E42</v>
      </c>
    </row>
    <row r="40" ht="12.75" customHeight="1">
      <c r="B40" s="21" t="str">
        <f>APOSTAS!B40</f>
        <v>Equador</v>
      </c>
      <c r="C40" s="22"/>
      <c r="D40" s="19" t="str">
        <f>APOSTAS!D40</f>
        <v>x</v>
      </c>
      <c r="E40" s="23"/>
      <c r="F40" s="34" t="str">
        <f>APOSTAS!F40</f>
        <v>Curaçao</v>
      </c>
      <c r="G40" s="2"/>
      <c r="H40" s="25">
        <v>46193.0</v>
      </c>
      <c r="I40" s="26">
        <v>0.875</v>
      </c>
      <c r="J40" s="27"/>
      <c r="K40" s="37" t="str">
        <f>APOSTAS!K41</f>
        <v>Equador</v>
      </c>
      <c r="L40" s="38" t="str">
        <f t="shared" si="41"/>
        <v>0</v>
      </c>
      <c r="M40" s="38" t="str">
        <f t="shared" si="42"/>
        <v>-1</v>
      </c>
      <c r="N40" s="38" t="str">
        <f t="shared" si="43"/>
        <v>0</v>
      </c>
      <c r="O40" s="38" t="str">
        <f t="shared" si="44"/>
        <v>1</v>
      </c>
      <c r="P40" s="38" t="str">
        <f t="shared" si="45"/>
        <v>0</v>
      </c>
      <c r="Q40" s="38" t="str">
        <f t="shared" si="46"/>
        <v>0</v>
      </c>
      <c r="R40" s="39" t="str">
        <f t="shared" si="47"/>
        <v>1</v>
      </c>
      <c r="U40" s="6" t="s">
        <v>118</v>
      </c>
      <c r="V40" s="6" t="s">
        <v>119</v>
      </c>
      <c r="W40" s="6" t="s">
        <v>120</v>
      </c>
      <c r="X40" s="6" t="str">
        <f t="shared" ref="X40:Z40" si="50">IF(ISNUMBER(FIND("C", U40, 1)), SUBSTITUTE(U40, "C", "E"), SUBSTITUTE(U40, "E", "C"))</f>
        <v>C38</v>
      </c>
      <c r="Y40" s="6" t="str">
        <f t="shared" si="50"/>
        <v>E40</v>
      </c>
      <c r="Z40" s="6" t="str">
        <f t="shared" si="50"/>
        <v>E41</v>
      </c>
    </row>
    <row r="41" ht="12.75" customHeight="1">
      <c r="B41" s="21" t="str">
        <f>APOSTAS!B41</f>
        <v>Equador</v>
      </c>
      <c r="C41" s="22"/>
      <c r="D41" s="19" t="str">
        <f>APOSTAS!D41</f>
        <v>x</v>
      </c>
      <c r="E41" s="23"/>
      <c r="F41" s="34" t="str">
        <f>APOSTAS!F41</f>
        <v>Alemanha</v>
      </c>
      <c r="G41" s="2"/>
      <c r="H41" s="25">
        <v>46198.0</v>
      </c>
      <c r="I41" s="26">
        <v>0.708333333333333</v>
      </c>
      <c r="J41" s="27"/>
      <c r="K41" s="46"/>
      <c r="U41" s="6"/>
      <c r="V41" s="6"/>
      <c r="W41" s="6"/>
      <c r="X41" s="6"/>
      <c r="Y41" s="6"/>
      <c r="Z41" s="6"/>
    </row>
    <row r="42" ht="13.5" customHeight="1">
      <c r="B42" s="40" t="str">
        <f>APOSTAS!B42</f>
        <v>Curaçao</v>
      </c>
      <c r="C42" s="41"/>
      <c r="D42" s="38" t="str">
        <f>APOSTAS!D42</f>
        <v>x</v>
      </c>
      <c r="E42" s="42"/>
      <c r="F42" s="43" t="str">
        <f>APOSTAS!F42</f>
        <v>Costa do Marfim</v>
      </c>
      <c r="G42" s="2"/>
      <c r="H42" s="44">
        <v>46198.0</v>
      </c>
      <c r="I42" s="45">
        <v>0.708333333333333</v>
      </c>
      <c r="J42" s="27"/>
      <c r="K42" s="2"/>
      <c r="L42" s="2"/>
      <c r="M42" s="2"/>
      <c r="N42" s="2"/>
      <c r="O42" s="2"/>
      <c r="P42" s="2"/>
      <c r="Q42" s="2"/>
      <c r="R42" s="2"/>
      <c r="U42" s="6"/>
      <c r="V42" s="6"/>
      <c r="W42" s="6"/>
      <c r="X42" s="6"/>
      <c r="Y42" s="6"/>
      <c r="Z42" s="6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U43" s="6"/>
      <c r="V43" s="6"/>
      <c r="W43" s="6"/>
      <c r="X43" s="6"/>
      <c r="Y43" s="6"/>
      <c r="Z43" s="6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8"/>
      <c r="L44" s="29" t="s">
        <v>33</v>
      </c>
      <c r="M44" s="29" t="s">
        <v>34</v>
      </c>
      <c r="N44" s="29" t="s">
        <v>35</v>
      </c>
      <c r="O44" s="29" t="s">
        <v>36</v>
      </c>
      <c r="P44" s="29" t="s">
        <v>37</v>
      </c>
      <c r="Q44" s="29" t="s">
        <v>38</v>
      </c>
      <c r="R44" s="30" t="s">
        <v>39</v>
      </c>
      <c r="U44" s="6"/>
      <c r="V44" s="6"/>
      <c r="W44" s="6"/>
      <c r="X44" s="6"/>
      <c r="Y44" s="6"/>
      <c r="Z44" s="6"/>
    </row>
    <row r="45" ht="13.5" customHeight="1">
      <c r="B45" s="21" t="str">
        <f>APOSTAS!B45</f>
        <v>Holanda</v>
      </c>
      <c r="C45" s="22">
        <v>2.0</v>
      </c>
      <c r="D45" s="19" t="str">
        <f>APOSTAS!D45</f>
        <v>x</v>
      </c>
      <c r="E45" s="23">
        <v>2.0</v>
      </c>
      <c r="F45" s="24" t="str">
        <f>APOSTAS!F45</f>
        <v>Japão</v>
      </c>
      <c r="G45" s="2"/>
      <c r="H45" s="25">
        <v>46187.0</v>
      </c>
      <c r="I45" s="26">
        <v>0.708333333333333</v>
      </c>
      <c r="J45" s="27"/>
      <c r="K45" s="35" t="str">
        <f>APOSTAS!K46</f>
        <v>Holanda</v>
      </c>
      <c r="L45" s="19" t="str">
        <f t="shared" ref="L45:L48" si="52">SUM(IF(AND(ISNUMBER(INDIRECT($U45)),INDIRECT($U45)&gt;INDIRECT($X45)),3,IF(AND(ISNUMBER(INDIRECT($U45)),INDIRECT($U45)=INDIRECT($X45)),1,0)),IF(AND(ISNUMBER(INDIRECT($V45)),INDIRECT($V45)&gt;INDIRECT($Y45)),3,IF(AND(ISNUMBER(INDIRECT($V45)),INDIRECT($V45)=INDIRECT($Y45)),1,0)),IF(AND(ISNUMBER(INDIRECT($W45)),INDIRECT($W45)&gt;INDIRECT($Z45)),3,IF(AND(ISNUMBER(INDIRECT($W45)),INDIRECT($W45)=INDIRECT($Z45)),1,0)))</f>
        <v>1</v>
      </c>
      <c r="M45" s="19" t="str">
        <f t="shared" ref="M45:M48" si="53">N45-O45</f>
        <v>0</v>
      </c>
      <c r="N45" s="19" t="str">
        <f t="shared" ref="N45:N48" si="54">SUM(INDIRECT($U45),INDIRECT($V45),INDIRECT($W45))</f>
        <v>2</v>
      </c>
      <c r="O45" s="19" t="str">
        <f t="shared" ref="O45:O48" si="55">SUM(INDIRECT($X45),INDIRECT($Y45),INDIRECT($Z45))</f>
        <v>2</v>
      </c>
      <c r="P45" s="19" t="str">
        <f t="shared" ref="P45:P48" si="56">SUM(IF(AND(ISNUMBER(INDIRECT($U45)),INDIRECT($U45)&gt;INDIRECT($X45)),1,0),IF(AND(ISNUMBER(INDIRECT($V45)),INDIRECT($V45)&gt;INDIRECT($Y45)),1,0),IF(AND(ISNUMBER(INDIRECT($W45)),INDIRECT($W45)&gt;INDIRECT($Z45)),1,0))</f>
        <v>0</v>
      </c>
      <c r="Q45" s="19" t="str">
        <f t="shared" ref="Q45:Q48" si="57">SUM(IF(AND(ISNUMBER(INDIRECT($U45)),INDIRECT($U45)=INDIRECT($X45)),1,0),IF(AND(ISNUMBER(INDIRECT($V45)),INDIRECT($V45)=INDIRECT($Y45)),1,0),IF(AND(ISNUMBER(INDIRECT($W45)),INDIRECT($W45)=INDIRECT($Z45)),1,0))</f>
        <v>1</v>
      </c>
      <c r="R45" s="36" t="str">
        <f t="shared" ref="R45:R48" si="58">SUM(IF(AND(ISNUMBER(INDIRECT($U45)),INDIRECT($U45)&lt;INDIRECT($X45)),1,0),IF(AND(ISNUMBER(INDIRECT($V45)),INDIRECT($V45)&lt;INDIRECT($Y45)),1,0),IF(AND(ISNUMBER(INDIRECT($W45)),INDIRECT($W45)&lt;INDIRECT($Z45)),1,0))</f>
        <v>0</v>
      </c>
      <c r="U45" s="6" t="s">
        <v>126</v>
      </c>
      <c r="V45" s="6" t="s">
        <v>127</v>
      </c>
      <c r="W45" s="6" t="s">
        <v>128</v>
      </c>
      <c r="X45" s="6" t="str">
        <f t="shared" ref="X45:Z45" si="51">IF(ISNUMBER(FIND("C", U45, 1)), SUBSTITUTE(U45, "C", "E"), SUBSTITUTE(U45, "E", "C"))</f>
        <v>E45</v>
      </c>
      <c r="Y45" s="6" t="str">
        <f t="shared" si="51"/>
        <v>E47</v>
      </c>
      <c r="Z45" s="6" t="str">
        <f t="shared" si="51"/>
        <v>C49</v>
      </c>
    </row>
    <row r="46" ht="13.5" customHeight="1">
      <c r="B46" s="21" t="str">
        <f>APOSTAS!B46</f>
        <v>Suécia</v>
      </c>
      <c r="C46" s="22">
        <v>5.0</v>
      </c>
      <c r="D46" s="19" t="str">
        <f>APOSTAS!D46</f>
        <v>x</v>
      </c>
      <c r="E46" s="23">
        <v>1.0</v>
      </c>
      <c r="F46" s="34" t="str">
        <f>APOSTAS!F46</f>
        <v>Tunísia</v>
      </c>
      <c r="G46" s="2"/>
      <c r="H46" s="25">
        <v>46187.0</v>
      </c>
      <c r="I46" s="26">
        <v>0.958333333333333</v>
      </c>
      <c r="J46" s="27"/>
      <c r="K46" s="35" t="str">
        <f>APOSTAS!K47</f>
        <v>Japão</v>
      </c>
      <c r="L46" s="19" t="str">
        <f t="shared" si="52"/>
        <v>1</v>
      </c>
      <c r="M46" s="19" t="str">
        <f t="shared" si="53"/>
        <v>0</v>
      </c>
      <c r="N46" s="19" t="str">
        <f t="shared" si="54"/>
        <v>2</v>
      </c>
      <c r="O46" s="19" t="str">
        <f t="shared" si="55"/>
        <v>2</v>
      </c>
      <c r="P46" s="19" t="str">
        <f t="shared" si="56"/>
        <v>0</v>
      </c>
      <c r="Q46" s="19" t="str">
        <f t="shared" si="57"/>
        <v>1</v>
      </c>
      <c r="R46" s="36" t="str">
        <f t="shared" si="58"/>
        <v>0</v>
      </c>
      <c r="U46" s="6" t="s">
        <v>129</v>
      </c>
      <c r="V46" s="6" t="s">
        <v>130</v>
      </c>
      <c r="W46" s="6" t="s">
        <v>131</v>
      </c>
      <c r="X46" s="6" t="str">
        <f t="shared" ref="X46:Z46" si="59">IF(ISNUMBER(FIND("C", U46, 1)), SUBSTITUTE(U46, "C", "E"), SUBSTITUTE(U46, "E", "C"))</f>
        <v>C45</v>
      </c>
      <c r="Y46" s="6" t="str">
        <f t="shared" si="59"/>
        <v>C48</v>
      </c>
      <c r="Z46" s="6" t="str">
        <f t="shared" si="59"/>
        <v>E50</v>
      </c>
    </row>
    <row r="47" ht="12.75" customHeight="1">
      <c r="B47" s="21" t="str">
        <f>APOSTAS!B47</f>
        <v>Holanda</v>
      </c>
      <c r="C47" s="22"/>
      <c r="D47" s="19" t="str">
        <f>APOSTAS!D47</f>
        <v>x</v>
      </c>
      <c r="E47" s="23"/>
      <c r="F47" s="34" t="str">
        <f>APOSTAS!F47</f>
        <v>Suécia</v>
      </c>
      <c r="G47" s="2"/>
      <c r="H47" s="25">
        <v>46193.0</v>
      </c>
      <c r="I47" s="26">
        <v>0.583333333333333</v>
      </c>
      <c r="J47" s="27"/>
      <c r="K47" s="35" t="str">
        <f>APOSTAS!K48</f>
        <v>Suécia</v>
      </c>
      <c r="L47" s="19" t="str">
        <f t="shared" si="52"/>
        <v>3</v>
      </c>
      <c r="M47" s="19" t="str">
        <f t="shared" si="53"/>
        <v>4</v>
      </c>
      <c r="N47" s="19" t="str">
        <f t="shared" si="54"/>
        <v>5</v>
      </c>
      <c r="O47" s="19" t="str">
        <f t="shared" si="55"/>
        <v>1</v>
      </c>
      <c r="P47" s="19" t="str">
        <f t="shared" si="56"/>
        <v>1</v>
      </c>
      <c r="Q47" s="19" t="str">
        <f t="shared" si="57"/>
        <v>0</v>
      </c>
      <c r="R47" s="36" t="str">
        <f t="shared" si="58"/>
        <v>0</v>
      </c>
      <c r="U47" s="6" t="s">
        <v>132</v>
      </c>
      <c r="V47" s="6" t="s">
        <v>133</v>
      </c>
      <c r="W47" s="6" t="s">
        <v>134</v>
      </c>
      <c r="X47" s="6" t="str">
        <f t="shared" ref="X47:Z47" si="60">IF(ISNUMBER(FIND("C", U47, 1)), SUBSTITUTE(U47, "C", "E"), SUBSTITUTE(U47, "E", "C"))</f>
        <v>E46</v>
      </c>
      <c r="Y47" s="6" t="str">
        <f t="shared" si="60"/>
        <v>C47</v>
      </c>
      <c r="Z47" s="6" t="str">
        <f t="shared" si="60"/>
        <v>C50</v>
      </c>
    </row>
    <row r="48" ht="12.75" customHeight="1">
      <c r="B48" s="21" t="str">
        <f>APOSTAS!B48</f>
        <v>Tunísia</v>
      </c>
      <c r="C48" s="22"/>
      <c r="D48" s="19" t="str">
        <f>APOSTAS!D48</f>
        <v>x</v>
      </c>
      <c r="E48" s="23"/>
      <c r="F48" s="34" t="str">
        <f>APOSTAS!F48</f>
        <v>Japão</v>
      </c>
      <c r="G48" s="2"/>
      <c r="H48" s="25">
        <v>46194.0</v>
      </c>
      <c r="I48" s="26">
        <v>0.0416666666666667</v>
      </c>
      <c r="J48" s="27"/>
      <c r="K48" s="37" t="str">
        <f>APOSTAS!K49</f>
        <v>Tunísia</v>
      </c>
      <c r="L48" s="38" t="str">
        <f t="shared" si="52"/>
        <v>0</v>
      </c>
      <c r="M48" s="38" t="str">
        <f t="shared" si="53"/>
        <v>-4</v>
      </c>
      <c r="N48" s="38" t="str">
        <f t="shared" si="54"/>
        <v>1</v>
      </c>
      <c r="O48" s="38" t="str">
        <f t="shared" si="55"/>
        <v>5</v>
      </c>
      <c r="P48" s="38" t="str">
        <f t="shared" si="56"/>
        <v>0</v>
      </c>
      <c r="Q48" s="38" t="str">
        <f t="shared" si="57"/>
        <v>0</v>
      </c>
      <c r="R48" s="39" t="str">
        <f t="shared" si="58"/>
        <v>1</v>
      </c>
      <c r="U48" s="6" t="s">
        <v>135</v>
      </c>
      <c r="V48" s="6" t="s">
        <v>136</v>
      </c>
      <c r="W48" s="6" t="s">
        <v>137</v>
      </c>
      <c r="X48" s="6" t="str">
        <f t="shared" ref="X48:Z48" si="61">IF(ISNUMBER(FIND("C", U48, 1)), SUBSTITUTE(U48, "C", "E"), SUBSTITUTE(U48, "E", "C"))</f>
        <v>C46</v>
      </c>
      <c r="Y48" s="6" t="str">
        <f t="shared" si="61"/>
        <v>E48</v>
      </c>
      <c r="Z48" s="6" t="str">
        <f t="shared" si="61"/>
        <v>E49</v>
      </c>
    </row>
    <row r="49" ht="12.75" customHeight="1">
      <c r="B49" s="21" t="str">
        <f>APOSTAS!B49</f>
        <v>Tunísia</v>
      </c>
      <c r="C49" s="22"/>
      <c r="D49" s="19" t="str">
        <f>APOSTAS!D49</f>
        <v>x</v>
      </c>
      <c r="E49" s="23"/>
      <c r="F49" s="34" t="str">
        <f>APOSTAS!F49</f>
        <v>Holanda</v>
      </c>
      <c r="G49" s="2"/>
      <c r="H49" s="25">
        <v>46198.0</v>
      </c>
      <c r="I49" s="26">
        <v>0.833333333333333</v>
      </c>
      <c r="J49" s="27"/>
      <c r="K49" s="46"/>
      <c r="U49" s="6"/>
      <c r="V49" s="6"/>
      <c r="W49" s="6"/>
      <c r="X49" s="6"/>
      <c r="Y49" s="6"/>
      <c r="Z49" s="6"/>
    </row>
    <row r="50" ht="13.5" customHeight="1">
      <c r="B50" s="40" t="str">
        <f>APOSTAS!B50</f>
        <v>Japão</v>
      </c>
      <c r="C50" s="41"/>
      <c r="D50" s="38" t="str">
        <f>APOSTAS!D50</f>
        <v>x</v>
      </c>
      <c r="E50" s="42"/>
      <c r="F50" s="43" t="str">
        <f>APOSTAS!F50</f>
        <v>Suécia</v>
      </c>
      <c r="G50" s="2"/>
      <c r="H50" s="44">
        <v>46198.0</v>
      </c>
      <c r="I50" s="45">
        <v>0.833333333333333</v>
      </c>
      <c r="J50" s="27"/>
      <c r="K50" s="2"/>
      <c r="L50" s="2"/>
      <c r="M50" s="2"/>
      <c r="N50" s="2"/>
      <c r="O50" s="2"/>
      <c r="P50" s="2"/>
      <c r="Q50" s="2"/>
      <c r="R50" s="2"/>
      <c r="U50" s="6"/>
      <c r="V50" s="6"/>
      <c r="W50" s="6"/>
      <c r="X50" s="6"/>
      <c r="Y50" s="6"/>
      <c r="Z50" s="6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U51" s="6"/>
      <c r="V51" s="6"/>
      <c r="W51" s="6"/>
      <c r="X51" s="6"/>
      <c r="Y51" s="6"/>
      <c r="Z51" s="6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8"/>
      <c r="L52" s="29" t="s">
        <v>33</v>
      </c>
      <c r="M52" s="29" t="s">
        <v>34</v>
      </c>
      <c r="N52" s="29" t="s">
        <v>35</v>
      </c>
      <c r="O52" s="29" t="s">
        <v>36</v>
      </c>
      <c r="P52" s="29" t="s">
        <v>37</v>
      </c>
      <c r="Q52" s="29" t="s">
        <v>38</v>
      </c>
      <c r="R52" s="30" t="s">
        <v>39</v>
      </c>
      <c r="U52" s="6"/>
      <c r="V52" s="6"/>
      <c r="W52" s="6"/>
      <c r="X52" s="6"/>
      <c r="Y52" s="6"/>
      <c r="Z52" s="6"/>
    </row>
    <row r="53" ht="13.5" customHeight="1">
      <c r="B53" s="21" t="str">
        <f>APOSTAS!B53</f>
        <v>Bélgica</v>
      </c>
      <c r="C53" s="22">
        <v>1.0</v>
      </c>
      <c r="D53" s="19" t="str">
        <f>APOSTAS!D53</f>
        <v>x</v>
      </c>
      <c r="E53" s="23">
        <v>1.0</v>
      </c>
      <c r="F53" s="24" t="str">
        <f>APOSTAS!F53</f>
        <v>Egito</v>
      </c>
      <c r="G53" s="2"/>
      <c r="H53" s="25">
        <v>46188.0</v>
      </c>
      <c r="I53" s="26">
        <v>0.666666666666667</v>
      </c>
      <c r="J53" s="27"/>
      <c r="K53" s="35" t="str">
        <f>APOSTAS!K54</f>
        <v>Bélgica</v>
      </c>
      <c r="L53" s="19" t="str">
        <f t="shared" ref="L53:L56" si="63">SUM(IF(AND(ISNUMBER(INDIRECT($U53)),INDIRECT($U53)&gt;INDIRECT($X53)),3,IF(AND(ISNUMBER(INDIRECT($U53)),INDIRECT($U53)=INDIRECT($X53)),1,0)),IF(AND(ISNUMBER(INDIRECT($V53)),INDIRECT($V53)&gt;INDIRECT($Y53)),3,IF(AND(ISNUMBER(INDIRECT($V53)),INDIRECT($V53)=INDIRECT($Y53)),1,0)),IF(AND(ISNUMBER(INDIRECT($W53)),INDIRECT($W53)&gt;INDIRECT($Z53)),3,IF(AND(ISNUMBER(INDIRECT($W53)),INDIRECT($W53)=INDIRECT($Z53)),1,0)))</f>
        <v>1</v>
      </c>
      <c r="M53" s="19" t="str">
        <f t="shared" ref="M53:M56" si="64">N53-O53</f>
        <v>0</v>
      </c>
      <c r="N53" s="19" t="str">
        <f t="shared" ref="N53:N56" si="65">SUM(INDIRECT($U53),INDIRECT($V53),INDIRECT($W53))</f>
        <v>1</v>
      </c>
      <c r="O53" s="19" t="str">
        <f t="shared" ref="O53:O56" si="66">SUM(INDIRECT($X53),INDIRECT($Y53),INDIRECT($Z53))</f>
        <v>1</v>
      </c>
      <c r="P53" s="19" t="str">
        <f t="shared" ref="P53:P56" si="67">SUM(IF(AND(ISNUMBER(INDIRECT($U53)),INDIRECT($U53)&gt;INDIRECT($X53)),1,0),IF(AND(ISNUMBER(INDIRECT($V53)),INDIRECT($V53)&gt;INDIRECT($Y53)),1,0),IF(AND(ISNUMBER(INDIRECT($W53)),INDIRECT($W53)&gt;INDIRECT($Z53)),1,0))</f>
        <v>0</v>
      </c>
      <c r="Q53" s="19" t="str">
        <f t="shared" ref="Q53:Q56" si="68">SUM(IF(AND(ISNUMBER(INDIRECT($U53)),INDIRECT($U53)=INDIRECT($X53)),1,0),IF(AND(ISNUMBER(INDIRECT($V53)),INDIRECT($V53)=INDIRECT($Y53)),1,0),IF(AND(ISNUMBER(INDIRECT($W53)),INDIRECT($W53)=INDIRECT($Z53)),1,0))</f>
        <v>1</v>
      </c>
      <c r="R53" s="36" t="str">
        <f t="shared" ref="R53:R56" si="69">SUM(IF(AND(ISNUMBER(INDIRECT($U53)),INDIRECT($U53)&lt;INDIRECT($X53)),1,0),IF(AND(ISNUMBER(INDIRECT($V53)),INDIRECT($V53)&lt;INDIRECT($Y53)),1,0),IF(AND(ISNUMBER(INDIRECT($W53)),INDIRECT($W53)&lt;INDIRECT($Z53)),1,0))</f>
        <v>0</v>
      </c>
      <c r="U53" s="6" t="s">
        <v>143</v>
      </c>
      <c r="V53" s="6" t="s">
        <v>144</v>
      </c>
      <c r="W53" s="6" t="s">
        <v>145</v>
      </c>
      <c r="X53" s="6" t="str">
        <f t="shared" ref="X53:Z53" si="62">IF(ISNUMBER(FIND("C", U53, 1)), SUBSTITUTE(U53, "C", "E"), SUBSTITUTE(U53, "E", "C"))</f>
        <v>E53</v>
      </c>
      <c r="Y53" s="6" t="str">
        <f t="shared" si="62"/>
        <v>E55</v>
      </c>
      <c r="Z53" s="6" t="str">
        <f t="shared" si="62"/>
        <v>C58</v>
      </c>
    </row>
    <row r="54" ht="13.5" customHeight="1">
      <c r="B54" s="21" t="str">
        <f>APOSTAS!B54</f>
        <v>Irã</v>
      </c>
      <c r="C54" s="22">
        <v>2.0</v>
      </c>
      <c r="D54" s="19" t="str">
        <f>APOSTAS!D54</f>
        <v>x</v>
      </c>
      <c r="E54" s="23">
        <v>2.0</v>
      </c>
      <c r="F54" s="34" t="str">
        <f>APOSTAS!F54</f>
        <v>Nova Zelândia</v>
      </c>
      <c r="G54" s="2"/>
      <c r="H54" s="25">
        <v>46188.0</v>
      </c>
      <c r="I54" s="26">
        <v>0.916666666666667</v>
      </c>
      <c r="J54" s="27"/>
      <c r="K54" s="35" t="str">
        <f>APOSTAS!K55</f>
        <v>Egito</v>
      </c>
      <c r="L54" s="19" t="str">
        <f t="shared" si="63"/>
        <v>1</v>
      </c>
      <c r="M54" s="19" t="str">
        <f t="shared" si="64"/>
        <v>0</v>
      </c>
      <c r="N54" s="19" t="str">
        <f t="shared" si="65"/>
        <v>1</v>
      </c>
      <c r="O54" s="19" t="str">
        <f t="shared" si="66"/>
        <v>1</v>
      </c>
      <c r="P54" s="19" t="str">
        <f t="shared" si="67"/>
        <v>0</v>
      </c>
      <c r="Q54" s="19" t="str">
        <f t="shared" si="68"/>
        <v>1</v>
      </c>
      <c r="R54" s="36" t="str">
        <f t="shared" si="69"/>
        <v>0</v>
      </c>
      <c r="U54" s="6" t="s">
        <v>146</v>
      </c>
      <c r="V54" s="6" t="s">
        <v>147</v>
      </c>
      <c r="W54" s="6" t="s">
        <v>148</v>
      </c>
      <c r="X54" s="6" t="str">
        <f t="shared" ref="X54:Z54" si="70">IF(ISNUMBER(FIND("C", U54, 1)), SUBSTITUTE(U54, "C", "E"), SUBSTITUTE(U54, "E", "C"))</f>
        <v>C53</v>
      </c>
      <c r="Y54" s="6" t="str">
        <f t="shared" si="70"/>
        <v>C56</v>
      </c>
      <c r="Z54" s="6" t="str">
        <f t="shared" si="70"/>
        <v>E57</v>
      </c>
    </row>
    <row r="55" ht="12.75" customHeight="1">
      <c r="B55" s="21" t="str">
        <f>APOSTAS!B55</f>
        <v>Bélgica</v>
      </c>
      <c r="C55" s="22"/>
      <c r="D55" s="19" t="str">
        <f>APOSTAS!D55</f>
        <v>x</v>
      </c>
      <c r="E55" s="23"/>
      <c r="F55" s="34" t="str">
        <f>APOSTAS!F55</f>
        <v>Irã</v>
      </c>
      <c r="G55" s="2"/>
      <c r="H55" s="25">
        <v>46194.0</v>
      </c>
      <c r="I55" s="26">
        <v>0.666666666666667</v>
      </c>
      <c r="J55" s="27"/>
      <c r="K55" s="35" t="str">
        <f>APOSTAS!K56</f>
        <v>Irã</v>
      </c>
      <c r="L55" s="19" t="str">
        <f t="shared" si="63"/>
        <v>1</v>
      </c>
      <c r="M55" s="19" t="str">
        <f t="shared" si="64"/>
        <v>0</v>
      </c>
      <c r="N55" s="19" t="str">
        <f t="shared" si="65"/>
        <v>2</v>
      </c>
      <c r="O55" s="19" t="str">
        <f t="shared" si="66"/>
        <v>2</v>
      </c>
      <c r="P55" s="19" t="str">
        <f t="shared" si="67"/>
        <v>0</v>
      </c>
      <c r="Q55" s="19" t="str">
        <f t="shared" si="68"/>
        <v>1</v>
      </c>
      <c r="R55" s="36" t="str">
        <f t="shared" si="69"/>
        <v>0</v>
      </c>
      <c r="U55" s="6" t="s">
        <v>149</v>
      </c>
      <c r="V55" s="6" t="s">
        <v>150</v>
      </c>
      <c r="W55" s="6" t="s">
        <v>151</v>
      </c>
      <c r="X55" s="6" t="str">
        <f t="shared" ref="X55:Z55" si="71">IF(ISNUMBER(FIND("C", U55, 1)), SUBSTITUTE(U55, "C", "E"), SUBSTITUTE(U55, "E", "C"))</f>
        <v>E54</v>
      </c>
      <c r="Y55" s="6" t="str">
        <f t="shared" si="71"/>
        <v>C55</v>
      </c>
      <c r="Z55" s="6" t="str">
        <f t="shared" si="71"/>
        <v>C57</v>
      </c>
    </row>
    <row r="56" ht="12.75" customHeight="1">
      <c r="B56" s="21" t="str">
        <f>APOSTAS!B56</f>
        <v>Nova Zelândia</v>
      </c>
      <c r="C56" s="22"/>
      <c r="D56" s="19" t="str">
        <f>APOSTAS!D56</f>
        <v>x</v>
      </c>
      <c r="E56" s="23"/>
      <c r="F56" s="34" t="str">
        <f>APOSTAS!F56</f>
        <v>Egito</v>
      </c>
      <c r="G56" s="2"/>
      <c r="H56" s="25">
        <v>46194.0</v>
      </c>
      <c r="I56" s="26">
        <v>0.916666666666667</v>
      </c>
      <c r="J56" s="27"/>
      <c r="K56" s="37" t="str">
        <f>APOSTAS!K57</f>
        <v>Nova Zelândia</v>
      </c>
      <c r="L56" s="38" t="str">
        <f t="shared" si="63"/>
        <v>1</v>
      </c>
      <c r="M56" s="38" t="str">
        <f t="shared" si="64"/>
        <v>0</v>
      </c>
      <c r="N56" s="38" t="str">
        <f t="shared" si="65"/>
        <v>2</v>
      </c>
      <c r="O56" s="38" t="str">
        <f t="shared" si="66"/>
        <v>2</v>
      </c>
      <c r="P56" s="38" t="str">
        <f t="shared" si="67"/>
        <v>0</v>
      </c>
      <c r="Q56" s="38" t="str">
        <f t="shared" si="68"/>
        <v>1</v>
      </c>
      <c r="R56" s="39" t="str">
        <f t="shared" si="69"/>
        <v>0</v>
      </c>
      <c r="U56" s="6" t="s">
        <v>152</v>
      </c>
      <c r="V56" s="6" t="s">
        <v>153</v>
      </c>
      <c r="W56" s="6" t="s">
        <v>154</v>
      </c>
      <c r="X56" s="6" t="str">
        <f t="shared" ref="X56:Z56" si="72">IF(ISNUMBER(FIND("C", U56, 1)), SUBSTITUTE(U56, "C", "E"), SUBSTITUTE(U56, "E", "C"))</f>
        <v>C54</v>
      </c>
      <c r="Y56" s="6" t="str">
        <f t="shared" si="72"/>
        <v>E56</v>
      </c>
      <c r="Z56" s="6" t="str">
        <f t="shared" si="72"/>
        <v>E58</v>
      </c>
    </row>
    <row r="57" ht="12.75" customHeight="1">
      <c r="B57" s="21" t="str">
        <f>APOSTAS!B57</f>
        <v>Egito</v>
      </c>
      <c r="C57" s="22"/>
      <c r="D57" s="19" t="str">
        <f>APOSTAS!D57</f>
        <v>x</v>
      </c>
      <c r="E57" s="23"/>
      <c r="F57" s="34" t="str">
        <f>APOSTAS!F57</f>
        <v>Irã</v>
      </c>
      <c r="G57" s="2"/>
      <c r="H57" s="25">
        <v>46200.0</v>
      </c>
      <c r="I57" s="26">
        <v>0.0</v>
      </c>
      <c r="J57" s="27"/>
      <c r="K57" s="46"/>
      <c r="U57" s="6"/>
      <c r="V57" s="6"/>
      <c r="W57" s="6"/>
      <c r="X57" s="6"/>
      <c r="Y57" s="6"/>
      <c r="Z57" s="6"/>
    </row>
    <row r="58" ht="13.5" customHeight="1">
      <c r="B58" s="40" t="str">
        <f>APOSTAS!B58</f>
        <v>Nova Zelândia</v>
      </c>
      <c r="C58" s="41"/>
      <c r="D58" s="38" t="str">
        <f>APOSTAS!D58</f>
        <v>x</v>
      </c>
      <c r="E58" s="42"/>
      <c r="F58" s="43" t="str">
        <f>APOSTAS!F58</f>
        <v>Bélgica</v>
      </c>
      <c r="G58" s="2"/>
      <c r="H58" s="44">
        <v>46200.0</v>
      </c>
      <c r="I58" s="45">
        <v>0.0</v>
      </c>
      <c r="J58" s="27"/>
      <c r="K58" s="2"/>
      <c r="L58" s="2"/>
      <c r="M58" s="2"/>
      <c r="N58" s="2"/>
      <c r="O58" s="2"/>
      <c r="P58" s="2"/>
      <c r="Q58" s="2"/>
      <c r="R58" s="2"/>
      <c r="U58" s="6"/>
      <c r="V58" s="6"/>
      <c r="W58" s="6"/>
      <c r="X58" s="6"/>
      <c r="Y58" s="6"/>
      <c r="Z58" s="6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U59" s="6"/>
      <c r="V59" s="6"/>
      <c r="W59" s="6"/>
      <c r="X59" s="6"/>
      <c r="Y59" s="6"/>
      <c r="Z59" s="6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8"/>
      <c r="L60" s="29" t="s">
        <v>33</v>
      </c>
      <c r="M60" s="29" t="s">
        <v>34</v>
      </c>
      <c r="N60" s="29" t="s">
        <v>35</v>
      </c>
      <c r="O60" s="29" t="s">
        <v>36</v>
      </c>
      <c r="P60" s="29" t="s">
        <v>37</v>
      </c>
      <c r="Q60" s="29" t="s">
        <v>38</v>
      </c>
      <c r="R60" s="30" t="s">
        <v>39</v>
      </c>
      <c r="U60" s="6"/>
      <c r="V60" s="6"/>
      <c r="W60" s="6"/>
      <c r="X60" s="6"/>
      <c r="Y60" s="6"/>
      <c r="Z60" s="6"/>
    </row>
    <row r="61" ht="13.5" customHeight="1">
      <c r="B61" s="21" t="str">
        <f>APOSTAS!B61</f>
        <v>Espanha</v>
      </c>
      <c r="C61" s="22">
        <v>0.0</v>
      </c>
      <c r="D61" s="19" t="str">
        <f>APOSTAS!D61</f>
        <v>x</v>
      </c>
      <c r="E61" s="23">
        <v>0.0</v>
      </c>
      <c r="F61" s="24" t="str">
        <f>APOSTAS!F61</f>
        <v>Cabo Verde</v>
      </c>
      <c r="G61" s="2"/>
      <c r="H61" s="25">
        <v>46188.0</v>
      </c>
      <c r="I61" s="26">
        <v>0.541666666666667</v>
      </c>
      <c r="J61" s="27"/>
      <c r="K61" s="35" t="str">
        <f>APOSTAS!K62</f>
        <v>Arábia Saudita</v>
      </c>
      <c r="L61" s="19" t="str">
        <f t="shared" ref="L61:L64" si="74">SUM(IF(AND(ISNUMBER(INDIRECT($U61)),INDIRECT($U61)&gt;INDIRECT($X61)),3,IF(AND(ISNUMBER(INDIRECT($U61)),INDIRECT($U61)=INDIRECT($X61)),1,0)),IF(AND(ISNUMBER(INDIRECT($V61)),INDIRECT($V61)&gt;INDIRECT($Y61)),3,IF(AND(ISNUMBER(INDIRECT($V61)),INDIRECT($V61)=INDIRECT($Y61)),1,0)),IF(AND(ISNUMBER(INDIRECT($W61)),INDIRECT($W61)&gt;INDIRECT($Z61)),3,IF(AND(ISNUMBER(INDIRECT($W61)),INDIRECT($W61)=INDIRECT($Z61)),1,0)))</f>
        <v>1</v>
      </c>
      <c r="M61" s="19" t="str">
        <f t="shared" ref="M61:M64" si="75">N61-O61</f>
        <v>0</v>
      </c>
      <c r="N61" s="19" t="str">
        <f t="shared" ref="N61:N64" si="76">SUM(INDIRECT($U61),INDIRECT($V61),INDIRECT($W61))</f>
        <v>1</v>
      </c>
      <c r="O61" s="19" t="str">
        <f t="shared" ref="O61:O64" si="77">SUM(INDIRECT($X61),INDIRECT($Y61),INDIRECT($Z61))</f>
        <v>1</v>
      </c>
      <c r="P61" s="19" t="str">
        <f t="shared" ref="P61:P64" si="78">SUM(IF(AND(ISNUMBER(INDIRECT($U61)),INDIRECT($U61)&gt;INDIRECT($X61)),1,0),IF(AND(ISNUMBER(INDIRECT($V61)),INDIRECT($V61)&gt;INDIRECT($Y61)),1,0),IF(AND(ISNUMBER(INDIRECT($W61)),INDIRECT($W61)&gt;INDIRECT($Z61)),1,0))</f>
        <v>0</v>
      </c>
      <c r="Q61" s="19" t="str">
        <f t="shared" ref="Q61:Q64" si="79">SUM(IF(AND(ISNUMBER(INDIRECT($U61)),INDIRECT($U61)=INDIRECT($X61)),1,0),IF(AND(ISNUMBER(INDIRECT($V61)),INDIRECT($V61)=INDIRECT($Y61)),1,0),IF(AND(ISNUMBER(INDIRECT($W61)),INDIRECT($W61)=INDIRECT($Z61)),1,0))</f>
        <v>1</v>
      </c>
      <c r="R61" s="36" t="str">
        <f t="shared" ref="R61:R64" si="80">SUM(IF(AND(ISNUMBER(INDIRECT($U61)),INDIRECT($U61)&lt;INDIRECT($X61)),1,0),IF(AND(ISNUMBER(INDIRECT($V61)),INDIRECT($V61)&lt;INDIRECT($Y61)),1,0),IF(AND(ISNUMBER(INDIRECT($W61)),INDIRECT($W61)&lt;INDIRECT($Z61)),1,0))</f>
        <v>0</v>
      </c>
      <c r="U61" s="6" t="s">
        <v>160</v>
      </c>
      <c r="V61" s="6" t="s">
        <v>161</v>
      </c>
      <c r="W61" s="6" t="s">
        <v>162</v>
      </c>
      <c r="X61" s="6" t="str">
        <f t="shared" ref="X61:Z61" si="73">IF(ISNUMBER(FIND("C", U61, 1)), SUBSTITUTE(U61, "C", "E"), SUBSTITUTE(U61, "E", "C"))</f>
        <v>E62</v>
      </c>
      <c r="Y61" s="6" t="str">
        <f t="shared" si="73"/>
        <v>C63</v>
      </c>
      <c r="Z61" s="6" t="str">
        <f t="shared" si="73"/>
        <v>C65</v>
      </c>
    </row>
    <row r="62" ht="13.5" customHeight="1">
      <c r="B62" s="21" t="str">
        <f>APOSTAS!B62</f>
        <v>Arábia Saudita</v>
      </c>
      <c r="C62" s="22">
        <v>1.0</v>
      </c>
      <c r="D62" s="19" t="str">
        <f>APOSTAS!D62</f>
        <v>x</v>
      </c>
      <c r="E62" s="23">
        <v>1.0</v>
      </c>
      <c r="F62" s="34" t="str">
        <f>APOSTAS!F62</f>
        <v>Uruguai</v>
      </c>
      <c r="G62" s="2"/>
      <c r="H62" s="25">
        <v>46188.0</v>
      </c>
      <c r="I62" s="26">
        <v>0.791666666666667</v>
      </c>
      <c r="J62" s="27"/>
      <c r="K62" s="35" t="str">
        <f>APOSTAS!K63</f>
        <v>Cabo Verde</v>
      </c>
      <c r="L62" s="19" t="str">
        <f t="shared" si="74"/>
        <v>1</v>
      </c>
      <c r="M62" s="19" t="str">
        <f t="shared" si="75"/>
        <v>0</v>
      </c>
      <c r="N62" s="19" t="str">
        <f t="shared" si="76"/>
        <v>0</v>
      </c>
      <c r="O62" s="19" t="str">
        <f t="shared" si="77"/>
        <v>0</v>
      </c>
      <c r="P62" s="19" t="str">
        <f t="shared" si="78"/>
        <v>0</v>
      </c>
      <c r="Q62" s="19" t="str">
        <f t="shared" si="79"/>
        <v>1</v>
      </c>
      <c r="R62" s="36" t="str">
        <f t="shared" si="80"/>
        <v>0</v>
      </c>
      <c r="U62" s="6" t="s">
        <v>163</v>
      </c>
      <c r="V62" s="6" t="s">
        <v>164</v>
      </c>
      <c r="W62" s="6" t="s">
        <v>165</v>
      </c>
      <c r="X62" s="6" t="str">
        <f t="shared" ref="X62:Z62" si="81">IF(ISNUMBER(FIND("C", U62, 1)), SUBSTITUTE(U62, "C", "E"), SUBSTITUTE(U62, "E", "C"))</f>
        <v>C61</v>
      </c>
      <c r="Y62" s="6" t="str">
        <f t="shared" si="81"/>
        <v>C64</v>
      </c>
      <c r="Z62" s="6" t="str">
        <f t="shared" si="81"/>
        <v>E65</v>
      </c>
    </row>
    <row r="63" ht="12.75" customHeight="1">
      <c r="B63" s="21" t="str">
        <f>APOSTAS!B63</f>
        <v>Espanha</v>
      </c>
      <c r="C63" s="22"/>
      <c r="D63" s="19" t="str">
        <f>APOSTAS!D63</f>
        <v>x</v>
      </c>
      <c r="E63" s="23"/>
      <c r="F63" s="34" t="str">
        <f>APOSTAS!F63</f>
        <v>Arábia Saudita</v>
      </c>
      <c r="G63" s="2"/>
      <c r="H63" s="25">
        <v>46194.0</v>
      </c>
      <c r="I63" s="26">
        <v>0.541666666666667</v>
      </c>
      <c r="J63" s="27"/>
      <c r="K63" s="35" t="str">
        <f>APOSTAS!K64</f>
        <v>Espanha</v>
      </c>
      <c r="L63" s="19" t="str">
        <f t="shared" si="74"/>
        <v>1</v>
      </c>
      <c r="M63" s="19" t="str">
        <f t="shared" si="75"/>
        <v>0</v>
      </c>
      <c r="N63" s="19" t="str">
        <f t="shared" si="76"/>
        <v>0</v>
      </c>
      <c r="O63" s="19" t="str">
        <f t="shared" si="77"/>
        <v>0</v>
      </c>
      <c r="P63" s="19" t="str">
        <f t="shared" si="78"/>
        <v>0</v>
      </c>
      <c r="Q63" s="19" t="str">
        <f t="shared" si="79"/>
        <v>1</v>
      </c>
      <c r="R63" s="36" t="str">
        <f t="shared" si="80"/>
        <v>0</v>
      </c>
      <c r="U63" s="6" t="s">
        <v>166</v>
      </c>
      <c r="V63" s="6" t="s">
        <v>167</v>
      </c>
      <c r="W63" s="6" t="s">
        <v>168</v>
      </c>
      <c r="X63" s="6" t="str">
        <f t="shared" ref="X63:Z63" si="82">IF(ISNUMBER(FIND("C", U63, 1)), SUBSTITUTE(U63, "C", "E"), SUBSTITUTE(U63, "E", "C"))</f>
        <v>E61</v>
      </c>
      <c r="Y63" s="6" t="str">
        <f t="shared" si="82"/>
        <v>E63</v>
      </c>
      <c r="Z63" s="6" t="str">
        <f t="shared" si="82"/>
        <v>C66</v>
      </c>
    </row>
    <row r="64" ht="12.75" customHeight="1">
      <c r="B64" s="21" t="str">
        <f>APOSTAS!B64</f>
        <v>Uruguai</v>
      </c>
      <c r="C64" s="22"/>
      <c r="D64" s="19" t="str">
        <f>APOSTAS!D64</f>
        <v>x</v>
      </c>
      <c r="E64" s="23"/>
      <c r="F64" s="34" t="str">
        <f>APOSTAS!F64</f>
        <v>Cabo Verde</v>
      </c>
      <c r="G64" s="2"/>
      <c r="H64" s="25">
        <v>46194.0</v>
      </c>
      <c r="I64" s="26">
        <v>0.791666666666667</v>
      </c>
      <c r="J64" s="27"/>
      <c r="K64" s="37" t="str">
        <f>APOSTAS!K65</f>
        <v>Uruguai</v>
      </c>
      <c r="L64" s="38" t="str">
        <f t="shared" si="74"/>
        <v>1</v>
      </c>
      <c r="M64" s="38" t="str">
        <f t="shared" si="75"/>
        <v>0</v>
      </c>
      <c r="N64" s="38" t="str">
        <f t="shared" si="76"/>
        <v>1</v>
      </c>
      <c r="O64" s="38" t="str">
        <f t="shared" si="77"/>
        <v>1</v>
      </c>
      <c r="P64" s="38" t="str">
        <f t="shared" si="78"/>
        <v>0</v>
      </c>
      <c r="Q64" s="38" t="str">
        <f t="shared" si="79"/>
        <v>1</v>
      </c>
      <c r="R64" s="39" t="str">
        <f t="shared" si="80"/>
        <v>0</v>
      </c>
      <c r="U64" s="6" t="s">
        <v>169</v>
      </c>
      <c r="V64" s="6" t="s">
        <v>170</v>
      </c>
      <c r="W64" s="6" t="s">
        <v>171</v>
      </c>
      <c r="X64" s="6" t="str">
        <f t="shared" ref="X64:Z64" si="83">IF(ISNUMBER(FIND("C", U64, 1)), SUBSTITUTE(U64, "C", "E"), SUBSTITUTE(U64, "E", "C"))</f>
        <v>C62</v>
      </c>
      <c r="Y64" s="6" t="str">
        <f t="shared" si="83"/>
        <v>E64</v>
      </c>
      <c r="Z64" s="6" t="str">
        <f t="shared" si="83"/>
        <v>E66</v>
      </c>
    </row>
    <row r="65" ht="12.75" customHeight="1">
      <c r="B65" s="21" t="str">
        <f>APOSTAS!B65</f>
        <v>Cabo Verde</v>
      </c>
      <c r="C65" s="22"/>
      <c r="D65" s="19" t="str">
        <f>APOSTAS!D65</f>
        <v>x</v>
      </c>
      <c r="E65" s="23"/>
      <c r="F65" s="34" t="str">
        <f>APOSTAS!F65</f>
        <v>Arábia Saudita</v>
      </c>
      <c r="G65" s="2"/>
      <c r="H65" s="25">
        <v>46199.0</v>
      </c>
      <c r="I65" s="26">
        <v>0.875</v>
      </c>
      <c r="J65" s="27"/>
      <c r="K65" s="46"/>
      <c r="U65" s="6"/>
      <c r="V65" s="6"/>
      <c r="W65" s="6"/>
      <c r="X65" s="6"/>
      <c r="Y65" s="6"/>
      <c r="Z65" s="6"/>
    </row>
    <row r="66" ht="13.5" customHeight="1">
      <c r="B66" s="40" t="str">
        <f>APOSTAS!B66</f>
        <v>Uruguai</v>
      </c>
      <c r="C66" s="41"/>
      <c r="D66" s="38" t="str">
        <f>APOSTAS!D66</f>
        <v>x</v>
      </c>
      <c r="E66" s="42"/>
      <c r="F66" s="43" t="str">
        <f>APOSTAS!F66</f>
        <v>Espanha</v>
      </c>
      <c r="G66" s="2"/>
      <c r="H66" s="44">
        <v>46199.0</v>
      </c>
      <c r="I66" s="45">
        <v>0.875</v>
      </c>
      <c r="J66" s="27"/>
      <c r="K66" s="2"/>
      <c r="L66" s="2"/>
      <c r="M66" s="2"/>
      <c r="N66" s="2"/>
      <c r="O66" s="2"/>
      <c r="P66" s="2"/>
      <c r="Q66" s="2"/>
      <c r="R66" s="2"/>
      <c r="U66" s="6"/>
      <c r="V66" s="6"/>
      <c r="W66" s="6"/>
      <c r="X66" s="6"/>
      <c r="Y66" s="6"/>
      <c r="Z66" s="6"/>
    </row>
    <row r="67" ht="14.25" customHeight="1">
      <c r="U67" s="6"/>
      <c r="V67" s="6"/>
      <c r="W67" s="6"/>
      <c r="X67" s="6"/>
      <c r="Y67" s="6"/>
      <c r="Z67" s="6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8"/>
      <c r="L68" s="29" t="s">
        <v>33</v>
      </c>
      <c r="M68" s="29" t="s">
        <v>34</v>
      </c>
      <c r="N68" s="29" t="s">
        <v>35</v>
      </c>
      <c r="O68" s="29" t="s">
        <v>36</v>
      </c>
      <c r="P68" s="29" t="s">
        <v>37</v>
      </c>
      <c r="Q68" s="29" t="s">
        <v>38</v>
      </c>
      <c r="R68" s="30" t="s">
        <v>39</v>
      </c>
      <c r="U68" s="6"/>
      <c r="V68" s="6"/>
      <c r="W68" s="6"/>
      <c r="X68" s="6"/>
      <c r="Y68" s="6"/>
      <c r="Z68" s="6"/>
    </row>
    <row r="69" ht="12.75" customHeight="1">
      <c r="B69" s="21" t="str">
        <f>APOSTAS!B69</f>
        <v>França</v>
      </c>
      <c r="C69" s="22">
        <v>3.0</v>
      </c>
      <c r="D69" s="19" t="str">
        <f>APOSTAS!D69</f>
        <v>x</v>
      </c>
      <c r="E69" s="23">
        <v>1.0</v>
      </c>
      <c r="F69" s="24" t="str">
        <f>APOSTAS!F69</f>
        <v>Senegal</v>
      </c>
      <c r="G69" s="2"/>
      <c r="H69" s="25">
        <v>46189.0</v>
      </c>
      <c r="I69" s="26">
        <v>0.666666666666667</v>
      </c>
      <c r="J69" s="27"/>
      <c r="K69" s="35" t="str">
        <f>APOSTAS!K70</f>
        <v>França</v>
      </c>
      <c r="L69" s="19" t="str">
        <f t="shared" ref="L69:L72" si="85">SUM(IF(AND(ISNUMBER(INDIRECT($U69)),INDIRECT($U69)&gt;INDIRECT($X69)),3,IF(AND(ISNUMBER(INDIRECT($U69)),INDIRECT($U69)=INDIRECT($X69)),1,0)),IF(AND(ISNUMBER(INDIRECT($V69)),INDIRECT($V69)&gt;INDIRECT($Y69)),3,IF(AND(ISNUMBER(INDIRECT($V69)),INDIRECT($V69)=INDIRECT($Y69)),1,0)),IF(AND(ISNUMBER(INDIRECT($W69)),INDIRECT($W69)&gt;INDIRECT($Z69)),3,IF(AND(ISNUMBER(INDIRECT($W69)),INDIRECT($W69)=INDIRECT($Z69)),1,0)))</f>
        <v>3</v>
      </c>
      <c r="M69" s="19" t="str">
        <f t="shared" ref="M69:M72" si="86">N69-O69</f>
        <v>2</v>
      </c>
      <c r="N69" s="19" t="str">
        <f t="shared" ref="N69:N72" si="87">SUM(INDIRECT($U69),INDIRECT($V69),INDIRECT($W69))</f>
        <v>3</v>
      </c>
      <c r="O69" s="19" t="str">
        <f t="shared" ref="O69:O72" si="88">SUM(INDIRECT($X69),INDIRECT($Y69),INDIRECT($Z69))</f>
        <v>1</v>
      </c>
      <c r="P69" s="19" t="str">
        <f t="shared" ref="P69:P72" si="89">SUM(IF(AND(ISNUMBER(INDIRECT($U69)),INDIRECT($U69)&gt;INDIRECT($X69)),1,0),IF(AND(ISNUMBER(INDIRECT($V69)),INDIRECT($V69)&gt;INDIRECT($Y69)),1,0),IF(AND(ISNUMBER(INDIRECT($W69)),INDIRECT($W69)&gt;INDIRECT($Z69)),1,0))</f>
        <v>1</v>
      </c>
      <c r="Q69" s="19" t="str">
        <f t="shared" ref="Q69:Q72" si="90">SUM(IF(AND(ISNUMBER(INDIRECT($U69)),INDIRECT($U69)=INDIRECT($X69)),1,0),IF(AND(ISNUMBER(INDIRECT($V69)),INDIRECT($V69)=INDIRECT($Y69)),1,0),IF(AND(ISNUMBER(INDIRECT($W69)),INDIRECT($W69)=INDIRECT($Z69)),1,0))</f>
        <v>0</v>
      </c>
      <c r="R69" s="36" t="str">
        <f t="shared" ref="R69:R72" si="91">SUM(IF(AND(ISNUMBER(INDIRECT($U69)),INDIRECT($U69)&lt;INDIRECT($X69)),1,0),IF(AND(ISNUMBER(INDIRECT($V69)),INDIRECT($V69)&lt;INDIRECT($Y69)),1,0),IF(AND(ISNUMBER(INDIRECT($W69)),INDIRECT($W69)&lt;INDIRECT($Z69)),1,0))</f>
        <v>0</v>
      </c>
      <c r="U69" s="6" t="s">
        <v>177</v>
      </c>
      <c r="V69" s="6" t="s">
        <v>178</v>
      </c>
      <c r="W69" s="6" t="s">
        <v>179</v>
      </c>
      <c r="X69" s="6" t="str">
        <f t="shared" ref="X69:Z69" si="84">IF(ISNUMBER(FIND("C", U69, 1)), SUBSTITUTE(U69, "C", "E"), SUBSTITUTE(U69, "E", "C"))</f>
        <v>E69</v>
      </c>
      <c r="Y69" s="6" t="str">
        <f t="shared" si="84"/>
        <v>E71</v>
      </c>
      <c r="Z69" s="6" t="str">
        <f t="shared" si="84"/>
        <v>C74</v>
      </c>
    </row>
    <row r="70" ht="12.75" customHeight="1">
      <c r="B70" s="21" t="str">
        <f>APOSTAS!B70</f>
        <v>Iraque</v>
      </c>
      <c r="C70" s="22">
        <v>1.0</v>
      </c>
      <c r="D70" s="19" t="str">
        <f>APOSTAS!D70</f>
        <v>x</v>
      </c>
      <c r="E70" s="23">
        <v>4.0</v>
      </c>
      <c r="F70" s="34" t="str">
        <f>APOSTAS!F70</f>
        <v>Noruega</v>
      </c>
      <c r="G70" s="2"/>
      <c r="H70" s="25">
        <v>46189.0</v>
      </c>
      <c r="I70" s="26">
        <v>0.791666666666667</v>
      </c>
      <c r="J70" s="27"/>
      <c r="K70" s="35" t="str">
        <f>APOSTAS!K71</f>
        <v>Iraque</v>
      </c>
      <c r="L70" s="19" t="str">
        <f t="shared" si="85"/>
        <v>0</v>
      </c>
      <c r="M70" s="19" t="str">
        <f t="shared" si="86"/>
        <v>-3</v>
      </c>
      <c r="N70" s="19" t="str">
        <f t="shared" si="87"/>
        <v>1</v>
      </c>
      <c r="O70" s="19" t="str">
        <f t="shared" si="88"/>
        <v>4</v>
      </c>
      <c r="P70" s="19" t="str">
        <f t="shared" si="89"/>
        <v>0</v>
      </c>
      <c r="Q70" s="19" t="str">
        <f t="shared" si="90"/>
        <v>0</v>
      </c>
      <c r="R70" s="36" t="str">
        <f t="shared" si="91"/>
        <v>1</v>
      </c>
      <c r="U70" s="6" t="s">
        <v>180</v>
      </c>
      <c r="V70" s="6" t="s">
        <v>181</v>
      </c>
      <c r="W70" s="6" t="s">
        <v>182</v>
      </c>
      <c r="X70" s="6" t="str">
        <f t="shared" ref="X70:Z70" si="92">IF(ISNUMBER(FIND("C", U70, 1)), SUBSTITUTE(U70, "C", "E"), SUBSTITUTE(U70, "E", "C"))</f>
        <v>E70</v>
      </c>
      <c r="Y70" s="6" t="str">
        <f t="shared" si="92"/>
        <v>C71</v>
      </c>
      <c r="Z70" s="6" t="str">
        <f t="shared" si="92"/>
        <v>C73</v>
      </c>
    </row>
    <row r="71" ht="12.75" customHeight="1">
      <c r="B71" s="21" t="str">
        <f>APOSTAS!B71</f>
        <v>França</v>
      </c>
      <c r="C71" s="22"/>
      <c r="D71" s="19" t="str">
        <f>APOSTAS!D71</f>
        <v>x</v>
      </c>
      <c r="E71" s="23"/>
      <c r="F71" s="34" t="str">
        <f>APOSTAS!F71</f>
        <v>Iraque</v>
      </c>
      <c r="G71" s="2"/>
      <c r="H71" s="25">
        <v>46195.0</v>
      </c>
      <c r="I71" s="26">
        <v>0.75</v>
      </c>
      <c r="J71" s="27"/>
      <c r="K71" s="35" t="str">
        <f>APOSTAS!K72</f>
        <v>Noruega</v>
      </c>
      <c r="L71" s="19" t="str">
        <f t="shared" si="85"/>
        <v>3</v>
      </c>
      <c r="M71" s="19" t="str">
        <f t="shared" si="86"/>
        <v>3</v>
      </c>
      <c r="N71" s="19" t="str">
        <f t="shared" si="87"/>
        <v>4</v>
      </c>
      <c r="O71" s="19" t="str">
        <f t="shared" si="88"/>
        <v>1</v>
      </c>
      <c r="P71" s="19" t="str">
        <f t="shared" si="89"/>
        <v>1</v>
      </c>
      <c r="Q71" s="19" t="str">
        <f t="shared" si="90"/>
        <v>0</v>
      </c>
      <c r="R71" s="36" t="str">
        <f t="shared" si="91"/>
        <v>0</v>
      </c>
      <c r="U71" s="6" t="s">
        <v>183</v>
      </c>
      <c r="V71" s="6" t="s">
        <v>184</v>
      </c>
      <c r="W71" s="6" t="s">
        <v>185</v>
      </c>
      <c r="X71" s="6" t="str">
        <f t="shared" ref="X71:Z71" si="93">IF(ISNUMBER(FIND("C", U71, 1)), SUBSTITUTE(U71, "C", "E"), SUBSTITUTE(U71, "E", "C"))</f>
        <v>C70</v>
      </c>
      <c r="Y71" s="6" t="str">
        <f t="shared" si="93"/>
        <v>E72</v>
      </c>
      <c r="Z71" s="6" t="str">
        <f t="shared" si="93"/>
        <v>E74</v>
      </c>
    </row>
    <row r="72" ht="12.75" customHeight="1">
      <c r="B72" s="21" t="str">
        <f>APOSTAS!B72</f>
        <v>Noruega</v>
      </c>
      <c r="C72" s="22"/>
      <c r="D72" s="19" t="str">
        <f>APOSTAS!D72</f>
        <v>x</v>
      </c>
      <c r="E72" s="23"/>
      <c r="F72" s="34" t="str">
        <f>APOSTAS!F72</f>
        <v>Senegal</v>
      </c>
      <c r="G72" s="2"/>
      <c r="H72" s="25">
        <v>46195.0</v>
      </c>
      <c r="I72" s="26">
        <v>0.875</v>
      </c>
      <c r="J72" s="27"/>
      <c r="K72" s="37" t="str">
        <f>APOSTAS!K73</f>
        <v>Senegal</v>
      </c>
      <c r="L72" s="38" t="str">
        <f t="shared" si="85"/>
        <v>0</v>
      </c>
      <c r="M72" s="38" t="str">
        <f t="shared" si="86"/>
        <v>-2</v>
      </c>
      <c r="N72" s="38" t="str">
        <f t="shared" si="87"/>
        <v>1</v>
      </c>
      <c r="O72" s="38" t="str">
        <f t="shared" si="88"/>
        <v>3</v>
      </c>
      <c r="P72" s="38" t="str">
        <f t="shared" si="89"/>
        <v>0</v>
      </c>
      <c r="Q72" s="38" t="str">
        <f t="shared" si="90"/>
        <v>0</v>
      </c>
      <c r="R72" s="39" t="str">
        <f t="shared" si="91"/>
        <v>1</v>
      </c>
      <c r="U72" s="6" t="s">
        <v>186</v>
      </c>
      <c r="V72" s="6" t="s">
        <v>187</v>
      </c>
      <c r="W72" s="6" t="s">
        <v>188</v>
      </c>
      <c r="X72" s="6" t="str">
        <f t="shared" ref="X72:Z72" si="94">IF(ISNUMBER(FIND("C", U72, 1)), SUBSTITUTE(U72, "C", "E"), SUBSTITUTE(U72, "E", "C"))</f>
        <v>C69</v>
      </c>
      <c r="Y72" s="6" t="str">
        <f t="shared" si="94"/>
        <v>C72</v>
      </c>
      <c r="Z72" s="6" t="str">
        <f t="shared" si="94"/>
        <v>E73</v>
      </c>
    </row>
    <row r="73" ht="12.75" customHeight="1">
      <c r="B73" s="21" t="str">
        <f>APOSTAS!B73</f>
        <v>Senegal</v>
      </c>
      <c r="C73" s="22"/>
      <c r="D73" s="19" t="str">
        <f>APOSTAS!D73</f>
        <v>x</v>
      </c>
      <c r="E73" s="23"/>
      <c r="F73" s="34" t="str">
        <f>APOSTAS!F73</f>
        <v>Iraque</v>
      </c>
      <c r="G73" s="2"/>
      <c r="H73" s="25">
        <v>46199.0</v>
      </c>
      <c r="I73" s="26">
        <v>0.666666666666667</v>
      </c>
      <c r="J73" s="27"/>
      <c r="K73" s="46"/>
      <c r="U73" s="6"/>
      <c r="V73" s="6"/>
      <c r="W73" s="6"/>
      <c r="X73" s="6"/>
      <c r="Y73" s="6"/>
      <c r="Z73" s="6"/>
    </row>
    <row r="74" ht="12.75" customHeight="1">
      <c r="B74" s="40" t="str">
        <f>APOSTAS!B74</f>
        <v>Noruega</v>
      </c>
      <c r="C74" s="41"/>
      <c r="D74" s="38" t="str">
        <f>APOSTAS!D74</f>
        <v>x</v>
      </c>
      <c r="E74" s="42"/>
      <c r="F74" s="43" t="str">
        <f>APOSTAS!F74</f>
        <v>França</v>
      </c>
      <c r="G74" s="2"/>
      <c r="H74" s="44">
        <v>46199.0</v>
      </c>
      <c r="I74" s="45">
        <v>0.666666666666667</v>
      </c>
      <c r="J74" s="27"/>
      <c r="K74" s="2"/>
      <c r="L74" s="2"/>
      <c r="M74" s="2"/>
      <c r="N74" s="2"/>
      <c r="O74" s="2"/>
      <c r="P74" s="2"/>
      <c r="Q74" s="2"/>
      <c r="R74" s="2"/>
      <c r="U74" s="6"/>
      <c r="V74" s="6"/>
      <c r="W74" s="6"/>
      <c r="X74" s="6"/>
      <c r="Y74" s="6"/>
      <c r="Z74" s="6"/>
    </row>
    <row r="75" ht="12.75" customHeight="1">
      <c r="U75" s="6"/>
      <c r="V75" s="6"/>
      <c r="W75" s="6"/>
      <c r="X75" s="6"/>
      <c r="Y75" s="6"/>
      <c r="Z75" s="6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8"/>
      <c r="L76" s="29" t="s">
        <v>33</v>
      </c>
      <c r="M76" s="29" t="s">
        <v>34</v>
      </c>
      <c r="N76" s="29" t="s">
        <v>35</v>
      </c>
      <c r="O76" s="29" t="s">
        <v>36</v>
      </c>
      <c r="P76" s="29" t="s">
        <v>37</v>
      </c>
      <c r="Q76" s="29" t="s">
        <v>38</v>
      </c>
      <c r="R76" s="30" t="s">
        <v>39</v>
      </c>
      <c r="U76" s="6"/>
      <c r="V76" s="6"/>
      <c r="W76" s="6"/>
      <c r="X76" s="6"/>
      <c r="Y76" s="6"/>
      <c r="Z76" s="6"/>
    </row>
    <row r="77" ht="12.75" customHeight="1">
      <c r="B77" s="21" t="str">
        <f>APOSTAS!B77</f>
        <v>Argentina</v>
      </c>
      <c r="C77" s="22">
        <v>3.0</v>
      </c>
      <c r="D77" s="19" t="str">
        <f>APOSTAS!D77</f>
        <v>x</v>
      </c>
      <c r="E77" s="23">
        <v>0.0</v>
      </c>
      <c r="F77" s="24" t="str">
        <f>APOSTAS!F77</f>
        <v>Argélia</v>
      </c>
      <c r="G77" s="2"/>
      <c r="H77" s="25">
        <v>46189.0</v>
      </c>
      <c r="I77" s="26">
        <v>0.916666666666667</v>
      </c>
      <c r="J77" s="27"/>
      <c r="K77" s="35" t="str">
        <f>APOSTAS!K78</f>
        <v>Argentina</v>
      </c>
      <c r="L77" s="19" t="str">
        <f t="shared" ref="L77:L80" si="96">SUM(IF(AND(ISNUMBER(INDIRECT($U77)),INDIRECT($U77)&gt;INDIRECT($X77)),3,IF(AND(ISNUMBER(INDIRECT($U77)),INDIRECT($U77)=INDIRECT($X77)),1,0)),IF(AND(ISNUMBER(INDIRECT($V77)),INDIRECT($V77)&gt;INDIRECT($Y77)),3,IF(AND(ISNUMBER(INDIRECT($V77)),INDIRECT($V77)=INDIRECT($Y77)),1,0)),IF(AND(ISNUMBER(INDIRECT($W77)),INDIRECT($W77)&gt;INDIRECT($Z77)),3,IF(AND(ISNUMBER(INDIRECT($W77)),INDIRECT($W77)=INDIRECT($Z77)),1,0)))</f>
        <v>3</v>
      </c>
      <c r="M77" s="19" t="str">
        <f t="shared" ref="M77:M80" si="97">N77-O77</f>
        <v>3</v>
      </c>
      <c r="N77" s="19" t="str">
        <f t="shared" ref="N77:N80" si="98">SUM(INDIRECT($U77),INDIRECT($V77),INDIRECT($W77))</f>
        <v>3</v>
      </c>
      <c r="O77" s="19" t="str">
        <f t="shared" ref="O77:O80" si="99">SUM(INDIRECT($X77),INDIRECT($Y77),INDIRECT($Z77))</f>
        <v>0</v>
      </c>
      <c r="P77" s="19" t="str">
        <f t="shared" ref="P77:P80" si="100">SUM(IF(AND(ISNUMBER(INDIRECT($U77)),INDIRECT($U77)&gt;INDIRECT($X77)),1,0),IF(AND(ISNUMBER(INDIRECT($V77)),INDIRECT($V77)&gt;INDIRECT($Y77)),1,0),IF(AND(ISNUMBER(INDIRECT($W77)),INDIRECT($W77)&gt;INDIRECT($Z77)),1,0))</f>
        <v>1</v>
      </c>
      <c r="Q77" s="19" t="str">
        <f t="shared" ref="Q77:Q80" si="101">SUM(IF(AND(ISNUMBER(INDIRECT($U77)),INDIRECT($U77)=INDIRECT($X77)),1,0),IF(AND(ISNUMBER(INDIRECT($V77)),INDIRECT($V77)=INDIRECT($Y77)),1,0),IF(AND(ISNUMBER(INDIRECT($W77)),INDIRECT($W77)=INDIRECT($Z77)),1,0))</f>
        <v>0</v>
      </c>
      <c r="R77" s="36" t="str">
        <f t="shared" ref="R77:R80" si="102">SUM(IF(AND(ISNUMBER(INDIRECT($U77)),INDIRECT($U77)&lt;INDIRECT($X77)),1,0),IF(AND(ISNUMBER(INDIRECT($V77)),INDIRECT($V77)&lt;INDIRECT($Y77)),1,0),IF(AND(ISNUMBER(INDIRECT($W77)),INDIRECT($W77)&lt;INDIRECT($Z77)),1,0))</f>
        <v>0</v>
      </c>
      <c r="U77" s="6" t="s">
        <v>194</v>
      </c>
      <c r="V77" s="6" t="s">
        <v>195</v>
      </c>
      <c r="W77" s="6" t="s">
        <v>196</v>
      </c>
      <c r="X77" s="6" t="str">
        <f t="shared" ref="X77:Z77" si="95">IF(ISNUMBER(FIND("C", U77, 1)), SUBSTITUTE(U77, "C", "E"), SUBSTITUTE(U77, "E", "C"))</f>
        <v>E77</v>
      </c>
      <c r="Y77" s="6" t="str">
        <f t="shared" si="95"/>
        <v>E79</v>
      </c>
      <c r="Z77" s="6" t="str">
        <f t="shared" si="95"/>
        <v>C81</v>
      </c>
    </row>
    <row r="78" ht="12.75" customHeight="1">
      <c r="B78" s="21" t="str">
        <f>APOSTAS!B78</f>
        <v>Áustria</v>
      </c>
      <c r="C78" s="22">
        <v>3.0</v>
      </c>
      <c r="D78" s="19" t="str">
        <f>APOSTAS!D78</f>
        <v>x</v>
      </c>
      <c r="E78" s="23">
        <v>1.0</v>
      </c>
      <c r="F78" s="34" t="str">
        <f>APOSTAS!F78</f>
        <v>Jordânia</v>
      </c>
      <c r="G78" s="2"/>
      <c r="H78" s="25">
        <v>46190.0</v>
      </c>
      <c r="I78" s="26">
        <v>0.0416666666666667</v>
      </c>
      <c r="J78" s="27"/>
      <c r="K78" s="35" t="str">
        <f>APOSTAS!K79</f>
        <v>Argélia</v>
      </c>
      <c r="L78" s="19" t="str">
        <f t="shared" si="96"/>
        <v>0</v>
      </c>
      <c r="M78" s="19" t="str">
        <f t="shared" si="97"/>
        <v>-3</v>
      </c>
      <c r="N78" s="19" t="str">
        <f t="shared" si="98"/>
        <v>0</v>
      </c>
      <c r="O78" s="19" t="str">
        <f t="shared" si="99"/>
        <v>3</v>
      </c>
      <c r="P78" s="19" t="str">
        <f t="shared" si="100"/>
        <v>0</v>
      </c>
      <c r="Q78" s="19" t="str">
        <f t="shared" si="101"/>
        <v>0</v>
      </c>
      <c r="R78" s="36" t="str">
        <f t="shared" si="102"/>
        <v>1</v>
      </c>
      <c r="U78" s="6" t="s">
        <v>197</v>
      </c>
      <c r="V78" s="6" t="s">
        <v>198</v>
      </c>
      <c r="W78" s="6" t="s">
        <v>199</v>
      </c>
      <c r="X78" s="6" t="str">
        <f t="shared" ref="X78:Z78" si="103">IF(ISNUMBER(FIND("C", U78, 1)), SUBSTITUTE(U78, "C", "E"), SUBSTITUTE(U78, "E", "C"))</f>
        <v>C77</v>
      </c>
      <c r="Y78" s="6" t="str">
        <f t="shared" si="103"/>
        <v>C80</v>
      </c>
      <c r="Z78" s="6" t="str">
        <f t="shared" si="103"/>
        <v>E82</v>
      </c>
    </row>
    <row r="79" ht="12.75" customHeight="1">
      <c r="B79" s="21" t="str">
        <f>APOSTAS!B79</f>
        <v>Argentina</v>
      </c>
      <c r="C79" s="22"/>
      <c r="D79" s="19" t="str">
        <f>APOSTAS!D79</f>
        <v>x</v>
      </c>
      <c r="E79" s="23"/>
      <c r="F79" s="34" t="str">
        <f>APOSTAS!F79</f>
        <v>Áustria</v>
      </c>
      <c r="G79" s="2"/>
      <c r="H79" s="25">
        <v>46195.0</v>
      </c>
      <c r="I79" s="26">
        <v>0.583333333333333</v>
      </c>
      <c r="J79" s="27"/>
      <c r="K79" s="35" t="str">
        <f>APOSTAS!K80</f>
        <v>Jordânia</v>
      </c>
      <c r="L79" s="19" t="str">
        <f t="shared" si="96"/>
        <v>0</v>
      </c>
      <c r="M79" s="19" t="str">
        <f t="shared" si="97"/>
        <v>-2</v>
      </c>
      <c r="N79" s="19" t="str">
        <f t="shared" si="98"/>
        <v>1</v>
      </c>
      <c r="O79" s="19" t="str">
        <f t="shared" si="99"/>
        <v>3</v>
      </c>
      <c r="P79" s="19" t="str">
        <f t="shared" si="100"/>
        <v>0</v>
      </c>
      <c r="Q79" s="19" t="str">
        <f t="shared" si="101"/>
        <v>0</v>
      </c>
      <c r="R79" s="36" t="str">
        <f t="shared" si="102"/>
        <v>1</v>
      </c>
      <c r="U79" s="6" t="s">
        <v>200</v>
      </c>
      <c r="V79" s="6" t="s">
        <v>201</v>
      </c>
      <c r="W79" s="6" t="s">
        <v>202</v>
      </c>
      <c r="X79" s="6" t="str">
        <f t="shared" ref="X79:Z79" si="104">IF(ISNUMBER(FIND("C", U79, 1)), SUBSTITUTE(U79, "C", "E"), SUBSTITUTE(U79, "E", "C"))</f>
        <v>C78</v>
      </c>
      <c r="Y79" s="6" t="str">
        <f t="shared" si="104"/>
        <v>E80</v>
      </c>
      <c r="Z79" s="6" t="str">
        <f t="shared" si="104"/>
        <v>E81</v>
      </c>
    </row>
    <row r="80" ht="12.75" customHeight="1">
      <c r="B80" s="21" t="str">
        <f>APOSTAS!B80</f>
        <v>Jordânia</v>
      </c>
      <c r="C80" s="22"/>
      <c r="D80" s="19" t="str">
        <f>APOSTAS!D80</f>
        <v>x</v>
      </c>
      <c r="E80" s="23"/>
      <c r="F80" s="34" t="str">
        <f>APOSTAS!F80</f>
        <v>Argélia</v>
      </c>
      <c r="G80" s="2"/>
      <c r="H80" s="25">
        <v>46196.0</v>
      </c>
      <c r="I80" s="26">
        <v>0.0</v>
      </c>
      <c r="J80" s="27"/>
      <c r="K80" s="37" t="str">
        <f>APOSTAS!K81</f>
        <v>Áustria</v>
      </c>
      <c r="L80" s="38" t="str">
        <f t="shared" si="96"/>
        <v>3</v>
      </c>
      <c r="M80" s="38" t="str">
        <f t="shared" si="97"/>
        <v>2</v>
      </c>
      <c r="N80" s="38" t="str">
        <f t="shared" si="98"/>
        <v>3</v>
      </c>
      <c r="O80" s="38" t="str">
        <f t="shared" si="99"/>
        <v>1</v>
      </c>
      <c r="P80" s="38" t="str">
        <f t="shared" si="100"/>
        <v>1</v>
      </c>
      <c r="Q80" s="38" t="str">
        <f t="shared" si="101"/>
        <v>0</v>
      </c>
      <c r="R80" s="39" t="str">
        <f t="shared" si="102"/>
        <v>0</v>
      </c>
      <c r="U80" s="6" t="s">
        <v>203</v>
      </c>
      <c r="V80" s="6" t="s">
        <v>204</v>
      </c>
      <c r="W80" s="6" t="s">
        <v>205</v>
      </c>
      <c r="X80" s="6" t="str">
        <f t="shared" ref="X80:Z80" si="105">IF(ISNUMBER(FIND("C", U80, 1)), SUBSTITUTE(U80, "C", "E"), SUBSTITUTE(U80, "E", "C"))</f>
        <v>E78</v>
      </c>
      <c r="Y80" s="6" t="str">
        <f t="shared" si="105"/>
        <v>C79</v>
      </c>
      <c r="Z80" s="6" t="str">
        <f t="shared" si="105"/>
        <v>C82</v>
      </c>
    </row>
    <row r="81" ht="12.75" customHeight="1">
      <c r="B81" s="21" t="str">
        <f>APOSTAS!B81</f>
        <v>Jordânia</v>
      </c>
      <c r="C81" s="22"/>
      <c r="D81" s="19" t="str">
        <f>APOSTAS!D81</f>
        <v>x</v>
      </c>
      <c r="E81" s="23"/>
      <c r="F81" s="34" t="str">
        <f>APOSTAS!F81</f>
        <v>Argentina</v>
      </c>
      <c r="G81" s="2"/>
      <c r="H81" s="25">
        <v>46200.0</v>
      </c>
      <c r="I81" s="26">
        <v>0.958333333333333</v>
      </c>
      <c r="J81" s="27"/>
      <c r="K81" s="46"/>
      <c r="U81" s="6"/>
      <c r="V81" s="6"/>
      <c r="W81" s="6"/>
      <c r="X81" s="6"/>
      <c r="Y81" s="6"/>
      <c r="Z81" s="6"/>
    </row>
    <row r="82" ht="12.75" customHeight="1">
      <c r="B82" s="40" t="str">
        <f>APOSTAS!B82</f>
        <v>Argélia</v>
      </c>
      <c r="C82" s="41"/>
      <c r="D82" s="38" t="str">
        <f>APOSTAS!D82</f>
        <v>x</v>
      </c>
      <c r="E82" s="42"/>
      <c r="F82" s="43" t="str">
        <f>APOSTAS!F82</f>
        <v>Áustria</v>
      </c>
      <c r="G82" s="2"/>
      <c r="H82" s="44">
        <v>46200.0</v>
      </c>
      <c r="I82" s="45">
        <v>0.958333333333333</v>
      </c>
      <c r="J82" s="27"/>
      <c r="K82" s="2"/>
      <c r="L82" s="2"/>
      <c r="M82" s="2"/>
      <c r="N82" s="2"/>
      <c r="O82" s="2"/>
      <c r="P82" s="2"/>
      <c r="Q82" s="2"/>
      <c r="R82" s="2"/>
      <c r="U82" s="6"/>
      <c r="V82" s="6"/>
      <c r="W82" s="6"/>
      <c r="X82" s="6"/>
      <c r="Y82" s="6"/>
      <c r="Z82" s="6"/>
    </row>
    <row r="83" ht="12.75" customHeight="1">
      <c r="U83" s="6"/>
      <c r="V83" s="6"/>
      <c r="W83" s="6"/>
      <c r="X83" s="6"/>
      <c r="Y83" s="6"/>
      <c r="Z83" s="6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8"/>
      <c r="L84" s="29" t="s">
        <v>33</v>
      </c>
      <c r="M84" s="29" t="s">
        <v>34</v>
      </c>
      <c r="N84" s="29" t="s">
        <v>35</v>
      </c>
      <c r="O84" s="29" t="s">
        <v>36</v>
      </c>
      <c r="P84" s="29" t="s">
        <v>37</v>
      </c>
      <c r="Q84" s="29" t="s">
        <v>38</v>
      </c>
      <c r="R84" s="30" t="s">
        <v>39</v>
      </c>
      <c r="U84" s="6"/>
      <c r="V84" s="6"/>
      <c r="W84" s="6"/>
      <c r="X84" s="6"/>
      <c r="Y84" s="6"/>
      <c r="Z84" s="6"/>
    </row>
    <row r="85" ht="12.75" customHeight="1">
      <c r="B85" s="21" t="str">
        <f>APOSTAS!B85</f>
        <v>Portugal</v>
      </c>
      <c r="C85" s="22">
        <v>1.0</v>
      </c>
      <c r="D85" s="19" t="str">
        <f>APOSTAS!D85</f>
        <v>x</v>
      </c>
      <c r="E85" s="23">
        <v>1.0</v>
      </c>
      <c r="F85" s="24" t="str">
        <f>APOSTAS!F85</f>
        <v>RD Congo</v>
      </c>
      <c r="G85" s="2"/>
      <c r="H85" s="25">
        <v>46190.0</v>
      </c>
      <c r="I85" s="26">
        <v>0.583333333333333</v>
      </c>
      <c r="J85" s="27"/>
      <c r="K85" s="35" t="str">
        <f>APOSTAS!K86</f>
        <v>Colômbia</v>
      </c>
      <c r="L85" s="19" t="str">
        <f t="shared" ref="L85:L88" si="107">SUM(IF(AND(ISNUMBER(INDIRECT($U85)),INDIRECT($U85)&gt;INDIRECT($X85)),3,IF(AND(ISNUMBER(INDIRECT($U85)),INDIRECT($U85)=INDIRECT($X85)),1,0)),IF(AND(ISNUMBER(INDIRECT($V85)),INDIRECT($V85)&gt;INDIRECT($Y85)),3,IF(AND(ISNUMBER(INDIRECT($V85)),INDIRECT($V85)=INDIRECT($Y85)),1,0)),IF(AND(ISNUMBER(INDIRECT($W85)),INDIRECT($W85)&gt;INDIRECT($Z85)),3,IF(AND(ISNUMBER(INDIRECT($W85)),INDIRECT($W85)=INDIRECT($Z85)),1,0)))</f>
        <v>3</v>
      </c>
      <c r="M85" s="19" t="str">
        <f t="shared" ref="M85:M88" si="108">N85-O85</f>
        <v>2</v>
      </c>
      <c r="N85" s="19" t="str">
        <f t="shared" ref="N85:N88" si="109">SUM(INDIRECT($U85),INDIRECT($V85),INDIRECT($W85))</f>
        <v>3</v>
      </c>
      <c r="O85" s="19" t="str">
        <f t="shared" ref="O85:O88" si="110">SUM(INDIRECT($X85),INDIRECT($Y85),INDIRECT($Z85))</f>
        <v>1</v>
      </c>
      <c r="P85" s="19" t="str">
        <f t="shared" ref="P85:P88" si="111">SUM(IF(AND(ISNUMBER(INDIRECT($U85)),INDIRECT($U85)&gt;INDIRECT($X85)),1,0),IF(AND(ISNUMBER(INDIRECT($V85)),INDIRECT($V85)&gt;INDIRECT($Y85)),1,0),IF(AND(ISNUMBER(INDIRECT($W85)),INDIRECT($W85)&gt;INDIRECT($Z85)),1,0))</f>
        <v>1</v>
      </c>
      <c r="Q85" s="19" t="str">
        <f t="shared" ref="Q85:Q88" si="112">SUM(IF(AND(ISNUMBER(INDIRECT($U85)),INDIRECT($U85)=INDIRECT($X85)),1,0),IF(AND(ISNUMBER(INDIRECT($V85)),INDIRECT($V85)=INDIRECT($Y85)),1,0),IF(AND(ISNUMBER(INDIRECT($W85)),INDIRECT($W85)=INDIRECT($Z85)),1,0))</f>
        <v>0</v>
      </c>
      <c r="R85" s="36" t="str">
        <f t="shared" ref="R85:R88" si="113">SUM(IF(AND(ISNUMBER(INDIRECT($U85)),INDIRECT($U85)&lt;INDIRECT($X85)),1,0),IF(AND(ISNUMBER(INDIRECT($V85)),INDIRECT($V85)&lt;INDIRECT($Y85)),1,0),IF(AND(ISNUMBER(INDIRECT($W85)),INDIRECT($W85)&lt;INDIRECT($Z85)),1,0))</f>
        <v>0</v>
      </c>
      <c r="U85" s="6" t="s">
        <v>211</v>
      </c>
      <c r="V85" s="6" t="s">
        <v>212</v>
      </c>
      <c r="W85" s="6" t="s">
        <v>213</v>
      </c>
      <c r="X85" s="6" t="str">
        <f t="shared" ref="X85:Z85" si="106">IF(ISNUMBER(FIND("C", U85, 1)), SUBSTITUTE(U85, "C", "E"), SUBSTITUTE(U85, "E", "C"))</f>
        <v>C86</v>
      </c>
      <c r="Y85" s="6" t="str">
        <f t="shared" si="106"/>
        <v>E88</v>
      </c>
      <c r="Z85" s="6" t="str">
        <f t="shared" si="106"/>
        <v>E90</v>
      </c>
    </row>
    <row r="86" ht="12.75" customHeight="1">
      <c r="B86" s="21" t="str">
        <f>APOSTAS!B86</f>
        <v>Uzbequistão</v>
      </c>
      <c r="C86" s="57">
        <v>1.0</v>
      </c>
      <c r="D86" s="19" t="str">
        <f>APOSTAS!D86</f>
        <v>x</v>
      </c>
      <c r="E86" s="58">
        <v>3.0</v>
      </c>
      <c r="F86" s="34" t="str">
        <f>APOSTAS!F86</f>
        <v>Colômbia</v>
      </c>
      <c r="G86" s="2"/>
      <c r="H86" s="25">
        <v>46190.0</v>
      </c>
      <c r="I86" s="26">
        <v>0.958333333333333</v>
      </c>
      <c r="J86" s="27"/>
      <c r="K86" s="35" t="str">
        <f>APOSTAS!K87</f>
        <v>Portugal</v>
      </c>
      <c r="L86" s="19" t="str">
        <f t="shared" si="107"/>
        <v>1</v>
      </c>
      <c r="M86" s="19" t="str">
        <f t="shared" si="108"/>
        <v>0</v>
      </c>
      <c r="N86" s="19" t="str">
        <f t="shared" si="109"/>
        <v>1</v>
      </c>
      <c r="O86" s="19" t="str">
        <f t="shared" si="110"/>
        <v>1</v>
      </c>
      <c r="P86" s="19" t="str">
        <f t="shared" si="111"/>
        <v>0</v>
      </c>
      <c r="Q86" s="19" t="str">
        <f t="shared" si="112"/>
        <v>1</v>
      </c>
      <c r="R86" s="36" t="str">
        <f t="shared" si="113"/>
        <v>0</v>
      </c>
      <c r="U86" s="6" t="s">
        <v>214</v>
      </c>
      <c r="V86" s="6" t="s">
        <v>215</v>
      </c>
      <c r="W86" s="6" t="s">
        <v>216</v>
      </c>
      <c r="X86" s="6" t="str">
        <f t="shared" ref="X86:Z86" si="114">IF(ISNUMBER(FIND("C", U86, 1)), SUBSTITUTE(U86, "C", "E"), SUBSTITUTE(U86, "E", "C"))</f>
        <v>E85</v>
      </c>
      <c r="Y86" s="6" t="str">
        <f t="shared" si="114"/>
        <v>E87</v>
      </c>
      <c r="Z86" s="6" t="str">
        <f t="shared" si="114"/>
        <v>C90</v>
      </c>
    </row>
    <row r="87" ht="12.75" customHeight="1">
      <c r="B87" s="21" t="str">
        <f>APOSTAS!B87</f>
        <v>Portugal</v>
      </c>
      <c r="C87" s="22"/>
      <c r="D87" s="19" t="str">
        <f>APOSTAS!D87</f>
        <v>x</v>
      </c>
      <c r="E87" s="23"/>
      <c r="F87" s="34" t="str">
        <f>APOSTAS!F87</f>
        <v>Uzbequistão</v>
      </c>
      <c r="G87" s="2"/>
      <c r="H87" s="25">
        <v>46196.0</v>
      </c>
      <c r="I87" s="26">
        <v>0.583333333333333</v>
      </c>
      <c r="J87" s="27"/>
      <c r="K87" s="35" t="str">
        <f>APOSTAS!K88</f>
        <v>RD Congo</v>
      </c>
      <c r="L87" s="19" t="str">
        <f t="shared" si="107"/>
        <v>1</v>
      </c>
      <c r="M87" s="19" t="str">
        <f t="shared" si="108"/>
        <v>0</v>
      </c>
      <c r="N87" s="19" t="str">
        <f t="shared" si="109"/>
        <v>1</v>
      </c>
      <c r="O87" s="19" t="str">
        <f t="shared" si="110"/>
        <v>1</v>
      </c>
      <c r="P87" s="19" t="str">
        <f t="shared" si="111"/>
        <v>0</v>
      </c>
      <c r="Q87" s="19" t="str">
        <f t="shared" si="112"/>
        <v>1</v>
      </c>
      <c r="R87" s="36" t="str">
        <f t="shared" si="113"/>
        <v>0</v>
      </c>
      <c r="U87" s="6" t="s">
        <v>217</v>
      </c>
      <c r="V87" s="6" t="s">
        <v>218</v>
      </c>
      <c r="W87" s="6" t="s">
        <v>219</v>
      </c>
      <c r="X87" s="6" t="str">
        <f t="shared" ref="X87:Z87" si="115">IF(ISNUMBER(FIND("C", U87, 1)), SUBSTITUTE(U87, "C", "E"), SUBSTITUTE(U87, "E", "C"))</f>
        <v>C85</v>
      </c>
      <c r="Y87" s="6" t="str">
        <f t="shared" si="115"/>
        <v>C88</v>
      </c>
      <c r="Z87" s="6" t="str">
        <f t="shared" si="115"/>
        <v>E89</v>
      </c>
    </row>
    <row r="88" ht="12.75" customHeight="1">
      <c r="B88" s="21" t="str">
        <f>APOSTAS!B88</f>
        <v>Colômbia</v>
      </c>
      <c r="C88" s="22"/>
      <c r="D88" s="19" t="str">
        <f>APOSTAS!D88</f>
        <v>x</v>
      </c>
      <c r="E88" s="23"/>
      <c r="F88" s="34" t="str">
        <f>APOSTAS!F88</f>
        <v>RD Congo</v>
      </c>
      <c r="G88" s="2"/>
      <c r="H88" s="25">
        <v>46196.0</v>
      </c>
      <c r="I88" s="26">
        <v>0.958333333333333</v>
      </c>
      <c r="J88" s="27"/>
      <c r="K88" s="37" t="str">
        <f>APOSTAS!K89</f>
        <v>Uzbequistão</v>
      </c>
      <c r="L88" s="38" t="str">
        <f t="shared" si="107"/>
        <v>0</v>
      </c>
      <c r="M88" s="38" t="str">
        <f t="shared" si="108"/>
        <v>-2</v>
      </c>
      <c r="N88" s="38" t="str">
        <f t="shared" si="109"/>
        <v>1</v>
      </c>
      <c r="O88" s="38" t="str">
        <f t="shared" si="110"/>
        <v>3</v>
      </c>
      <c r="P88" s="38" t="str">
        <f t="shared" si="111"/>
        <v>0</v>
      </c>
      <c r="Q88" s="38" t="str">
        <f t="shared" si="112"/>
        <v>0</v>
      </c>
      <c r="R88" s="39" t="str">
        <f t="shared" si="113"/>
        <v>1</v>
      </c>
      <c r="U88" s="6" t="s">
        <v>220</v>
      </c>
      <c r="V88" s="6" t="s">
        <v>221</v>
      </c>
      <c r="W88" s="6" t="s">
        <v>222</v>
      </c>
      <c r="X88" s="6" t="str">
        <f t="shared" ref="X88:Z88" si="116">IF(ISNUMBER(FIND("C", U88, 1)), SUBSTITUTE(U88, "C", "E"), SUBSTITUTE(U88, "E", "C"))</f>
        <v>E86</v>
      </c>
      <c r="Y88" s="6" t="str">
        <f t="shared" si="116"/>
        <v>C87</v>
      </c>
      <c r="Z88" s="6" t="str">
        <f t="shared" si="116"/>
        <v>C89</v>
      </c>
    </row>
    <row r="89" ht="12.75" customHeight="1">
      <c r="B89" s="21" t="str">
        <f>APOSTAS!B89</f>
        <v>RD Congo</v>
      </c>
      <c r="C89" s="22"/>
      <c r="D89" s="19" t="str">
        <f>APOSTAS!D89</f>
        <v>x</v>
      </c>
      <c r="E89" s="23"/>
      <c r="F89" s="34" t="str">
        <f>APOSTAS!F89</f>
        <v>Uzbequistão</v>
      </c>
      <c r="G89" s="2"/>
      <c r="H89" s="25">
        <v>46200.0</v>
      </c>
      <c r="I89" s="26">
        <v>0.854166666666667</v>
      </c>
      <c r="J89" s="27"/>
      <c r="K89" s="46"/>
      <c r="U89" s="6"/>
      <c r="V89" s="6"/>
      <c r="W89" s="6"/>
      <c r="X89" s="6"/>
      <c r="Y89" s="6"/>
      <c r="Z89" s="6"/>
    </row>
    <row r="90" ht="12.75" customHeight="1">
      <c r="B90" s="40" t="str">
        <f>APOSTAS!B90</f>
        <v>Colômbia</v>
      </c>
      <c r="C90" s="41"/>
      <c r="D90" s="38" t="str">
        <f>APOSTAS!D90</f>
        <v>x</v>
      </c>
      <c r="E90" s="42"/>
      <c r="F90" s="43" t="str">
        <f>APOSTAS!F90</f>
        <v>Portugal</v>
      </c>
      <c r="G90" s="2"/>
      <c r="H90" s="44">
        <v>46200.0</v>
      </c>
      <c r="I90" s="45">
        <v>0.854166666666667</v>
      </c>
      <c r="J90" s="27"/>
      <c r="K90" s="2"/>
      <c r="L90" s="2"/>
      <c r="M90" s="2"/>
      <c r="N90" s="2"/>
      <c r="O90" s="2"/>
      <c r="P90" s="2"/>
      <c r="Q90" s="2"/>
      <c r="R90" s="2"/>
      <c r="U90" s="6"/>
      <c r="V90" s="6"/>
      <c r="W90" s="6"/>
      <c r="X90" s="6"/>
      <c r="Y90" s="6"/>
      <c r="Z90" s="6"/>
    </row>
    <row r="91" ht="12.75" customHeight="1">
      <c r="U91" s="6"/>
      <c r="V91" s="6"/>
      <c r="W91" s="6"/>
      <c r="X91" s="6"/>
      <c r="Y91" s="6"/>
      <c r="Z91" s="6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8"/>
      <c r="L92" s="29" t="s">
        <v>33</v>
      </c>
      <c r="M92" s="29" t="s">
        <v>34</v>
      </c>
      <c r="N92" s="29" t="s">
        <v>35</v>
      </c>
      <c r="O92" s="29" t="s">
        <v>36</v>
      </c>
      <c r="P92" s="29" t="s">
        <v>37</v>
      </c>
      <c r="Q92" s="29" t="s">
        <v>38</v>
      </c>
      <c r="R92" s="30" t="s">
        <v>39</v>
      </c>
      <c r="U92" s="6"/>
      <c r="V92" s="6"/>
      <c r="W92" s="6"/>
      <c r="X92" s="6"/>
      <c r="Y92" s="6"/>
      <c r="Z92" s="6"/>
    </row>
    <row r="93" ht="12.75" customHeight="1">
      <c r="B93" s="21" t="str">
        <f>APOSTAS!B93</f>
        <v>Inglaterra</v>
      </c>
      <c r="C93" s="22">
        <v>4.0</v>
      </c>
      <c r="D93" s="19" t="str">
        <f>APOSTAS!D93</f>
        <v>x</v>
      </c>
      <c r="E93" s="23">
        <v>2.0</v>
      </c>
      <c r="F93" s="24" t="str">
        <f>APOSTAS!F93</f>
        <v>Croácia</v>
      </c>
      <c r="G93" s="2"/>
      <c r="H93" s="25">
        <v>46190.0</v>
      </c>
      <c r="I93" s="26">
        <v>0.708333333333333</v>
      </c>
      <c r="J93" s="27"/>
      <c r="K93" s="35" t="str">
        <f>APOSTAS!K94</f>
        <v>Croácia</v>
      </c>
      <c r="L93" s="19" t="str">
        <f t="shared" ref="L93:L96" si="118">SUM(IF(AND(ISNUMBER(INDIRECT($U93)),INDIRECT($U93)&gt;INDIRECT($X93)),3,IF(AND(ISNUMBER(INDIRECT($U93)),INDIRECT($U93)=INDIRECT($X93)),1,0)),IF(AND(ISNUMBER(INDIRECT($V93)),INDIRECT($V93)&gt;INDIRECT($Y93)),3,IF(AND(ISNUMBER(INDIRECT($V93)),INDIRECT($V93)=INDIRECT($Y93)),1,0)),IF(AND(ISNUMBER(INDIRECT($W93)),INDIRECT($W93)&gt;INDIRECT($Z93)),3,IF(AND(ISNUMBER(INDIRECT($W93)),INDIRECT($W93)=INDIRECT($Z93)),1,0)))</f>
        <v>0</v>
      </c>
      <c r="M93" s="19" t="str">
        <f t="shared" ref="M93:M96" si="119">N93-O93</f>
        <v>-2</v>
      </c>
      <c r="N93" s="19" t="str">
        <f t="shared" ref="N93:N96" si="120">SUM(INDIRECT($U93),INDIRECT($V93),INDIRECT($W93))</f>
        <v>2</v>
      </c>
      <c r="O93" s="19" t="str">
        <f t="shared" ref="O93:O96" si="121">SUM(INDIRECT($X93),INDIRECT($Y93),INDIRECT($Z93))</f>
        <v>4</v>
      </c>
      <c r="P93" s="19" t="str">
        <f t="shared" ref="P93:P96" si="122">SUM(IF(AND(ISNUMBER(INDIRECT($U93)),INDIRECT($U93)&gt;INDIRECT($X93)),1,0),IF(AND(ISNUMBER(INDIRECT($V93)),INDIRECT($V93)&gt;INDIRECT($Y93)),1,0),IF(AND(ISNUMBER(INDIRECT($W93)),INDIRECT($W93)&gt;INDIRECT($Z93)),1,0))</f>
        <v>0</v>
      </c>
      <c r="Q93" s="19" t="str">
        <f t="shared" ref="Q93:Q96" si="123">SUM(IF(AND(ISNUMBER(INDIRECT($U93)),INDIRECT($U93)=INDIRECT($X93)),1,0),IF(AND(ISNUMBER(INDIRECT($V93)),INDIRECT($V93)=INDIRECT($Y93)),1,0),IF(AND(ISNUMBER(INDIRECT($W93)),INDIRECT($W93)=INDIRECT($Z93)),1,0))</f>
        <v>0</v>
      </c>
      <c r="R93" s="36" t="str">
        <f t="shared" ref="R93:R96" si="124">SUM(IF(AND(ISNUMBER(INDIRECT($U93)),INDIRECT($U93)&lt;INDIRECT($X93)),1,0),IF(AND(ISNUMBER(INDIRECT($V93)),INDIRECT($V93)&lt;INDIRECT($Y93)),1,0),IF(AND(ISNUMBER(INDIRECT($W93)),INDIRECT($W93)&lt;INDIRECT($Z93)),1,0))</f>
        <v>1</v>
      </c>
      <c r="U93" s="6" t="s">
        <v>228</v>
      </c>
      <c r="V93" s="6" t="s">
        <v>229</v>
      </c>
      <c r="W93" s="6" t="s">
        <v>230</v>
      </c>
      <c r="X93" s="6" t="str">
        <f t="shared" ref="X93:Z93" si="117">IF(ISNUMBER(FIND("C", U93, 1)), SUBSTITUTE(U93, "C", "E"), SUBSTITUTE(U93, "E", "C"))</f>
        <v>C93</v>
      </c>
      <c r="Y93" s="6" t="str">
        <f t="shared" si="117"/>
        <v>C96</v>
      </c>
      <c r="Z93" s="6" t="str">
        <f t="shared" si="117"/>
        <v>E97</v>
      </c>
    </row>
    <row r="94" ht="12.75" customHeight="1">
      <c r="B94" s="21" t="str">
        <f>APOSTAS!B94</f>
        <v>Gana</v>
      </c>
      <c r="C94" s="22">
        <v>1.0</v>
      </c>
      <c r="D94" s="19" t="str">
        <f>APOSTAS!D94</f>
        <v>x</v>
      </c>
      <c r="E94" s="23">
        <v>0.0</v>
      </c>
      <c r="F94" s="34" t="str">
        <f>APOSTAS!F94</f>
        <v>Panamá</v>
      </c>
      <c r="G94" s="2"/>
      <c r="H94" s="25">
        <v>46190.0</v>
      </c>
      <c r="I94" s="26">
        <v>0.833333333333333</v>
      </c>
      <c r="J94" s="27"/>
      <c r="K94" s="35" t="str">
        <f>APOSTAS!K95</f>
        <v>Gana</v>
      </c>
      <c r="L94" s="19" t="str">
        <f t="shared" si="118"/>
        <v>3</v>
      </c>
      <c r="M94" s="19" t="str">
        <f t="shared" si="119"/>
        <v>1</v>
      </c>
      <c r="N94" s="19" t="str">
        <f t="shared" si="120"/>
        <v>1</v>
      </c>
      <c r="O94" s="19" t="str">
        <f t="shared" si="121"/>
        <v>0</v>
      </c>
      <c r="P94" s="19" t="str">
        <f t="shared" si="122"/>
        <v>1</v>
      </c>
      <c r="Q94" s="19" t="str">
        <f t="shared" si="123"/>
        <v>0</v>
      </c>
      <c r="R94" s="36" t="str">
        <f t="shared" si="124"/>
        <v>0</v>
      </c>
      <c r="U94" s="6" t="s">
        <v>231</v>
      </c>
      <c r="V94" s="6" t="s">
        <v>232</v>
      </c>
      <c r="W94" s="6" t="s">
        <v>233</v>
      </c>
      <c r="X94" s="6" t="str">
        <f t="shared" ref="X94:Z94" si="125">IF(ISNUMBER(FIND("C", U94, 1)), SUBSTITUTE(U94, "C", "E"), SUBSTITUTE(U94, "E", "C"))</f>
        <v>E94</v>
      </c>
      <c r="Y94" s="6" t="str">
        <f t="shared" si="125"/>
        <v>C95</v>
      </c>
      <c r="Z94" s="6" t="str">
        <f t="shared" si="125"/>
        <v>C97</v>
      </c>
    </row>
    <row r="95" ht="12.75" customHeight="1">
      <c r="B95" s="21" t="str">
        <f>APOSTAS!B95</f>
        <v>Inglaterra</v>
      </c>
      <c r="C95" s="22"/>
      <c r="D95" s="19" t="str">
        <f>APOSTAS!D95</f>
        <v>x</v>
      </c>
      <c r="E95" s="23"/>
      <c r="F95" s="34" t="str">
        <f>APOSTAS!F95</f>
        <v>Gana</v>
      </c>
      <c r="G95" s="2"/>
      <c r="H95" s="25">
        <v>46196.0</v>
      </c>
      <c r="I95" s="26">
        <v>0.708333333333333</v>
      </c>
      <c r="J95" s="27"/>
      <c r="K95" s="35" t="str">
        <f>APOSTAS!K96</f>
        <v>Inglaterra</v>
      </c>
      <c r="L95" s="19" t="str">
        <f t="shared" si="118"/>
        <v>3</v>
      </c>
      <c r="M95" s="19" t="str">
        <f t="shared" si="119"/>
        <v>2</v>
      </c>
      <c r="N95" s="19" t="str">
        <f t="shared" si="120"/>
        <v>4</v>
      </c>
      <c r="O95" s="19" t="str">
        <f t="shared" si="121"/>
        <v>2</v>
      </c>
      <c r="P95" s="19" t="str">
        <f t="shared" si="122"/>
        <v>1</v>
      </c>
      <c r="Q95" s="19" t="str">
        <f t="shared" si="123"/>
        <v>0</v>
      </c>
      <c r="R95" s="36" t="str">
        <f t="shared" si="124"/>
        <v>0</v>
      </c>
      <c r="U95" s="6" t="s">
        <v>234</v>
      </c>
      <c r="V95" s="6" t="s">
        <v>235</v>
      </c>
      <c r="W95" s="6" t="s">
        <v>236</v>
      </c>
      <c r="X95" s="6" t="str">
        <f t="shared" ref="X95:Z95" si="126">IF(ISNUMBER(FIND("C", U95, 1)), SUBSTITUTE(U95, "C", "E"), SUBSTITUTE(U95, "E", "C"))</f>
        <v>E93</v>
      </c>
      <c r="Y95" s="6" t="str">
        <f t="shared" si="126"/>
        <v>E95</v>
      </c>
      <c r="Z95" s="6" t="str">
        <f t="shared" si="126"/>
        <v>C98</v>
      </c>
    </row>
    <row r="96" ht="12.75" customHeight="1">
      <c r="B96" s="21" t="str">
        <f>APOSTAS!B96</f>
        <v>Panamá</v>
      </c>
      <c r="C96" s="22"/>
      <c r="D96" s="19" t="str">
        <f>APOSTAS!D96</f>
        <v>x</v>
      </c>
      <c r="E96" s="23"/>
      <c r="F96" s="34" t="str">
        <f>APOSTAS!F96</f>
        <v>Croácia</v>
      </c>
      <c r="G96" s="2"/>
      <c r="H96" s="25">
        <v>46196.0</v>
      </c>
      <c r="I96" s="26">
        <v>0.833333333333333</v>
      </c>
      <c r="J96" s="27"/>
      <c r="K96" s="37" t="str">
        <f>APOSTAS!K97</f>
        <v>Panamá</v>
      </c>
      <c r="L96" s="38" t="str">
        <f t="shared" si="118"/>
        <v>0</v>
      </c>
      <c r="M96" s="38" t="str">
        <f t="shared" si="119"/>
        <v>-1</v>
      </c>
      <c r="N96" s="38" t="str">
        <f t="shared" si="120"/>
        <v>0</v>
      </c>
      <c r="O96" s="38" t="str">
        <f t="shared" si="121"/>
        <v>1</v>
      </c>
      <c r="P96" s="38" t="str">
        <f t="shared" si="122"/>
        <v>0</v>
      </c>
      <c r="Q96" s="38" t="str">
        <f t="shared" si="123"/>
        <v>0</v>
      </c>
      <c r="R96" s="39" t="str">
        <f t="shared" si="124"/>
        <v>1</v>
      </c>
      <c r="U96" s="6" t="s">
        <v>237</v>
      </c>
      <c r="V96" s="6" t="s">
        <v>238</v>
      </c>
      <c r="W96" s="6" t="s">
        <v>239</v>
      </c>
      <c r="X96" s="6" t="str">
        <f t="shared" ref="X96:Z96" si="127">IF(ISNUMBER(FIND("C", U96, 1)), SUBSTITUTE(U96, "C", "E"), SUBSTITUTE(U96, "E", "C"))</f>
        <v>C94</v>
      </c>
      <c r="Y96" s="6" t="str">
        <f t="shared" si="127"/>
        <v>E96</v>
      </c>
      <c r="Z96" s="6" t="str">
        <f t="shared" si="127"/>
        <v>E98</v>
      </c>
    </row>
    <row r="97" ht="12.75" customHeight="1">
      <c r="B97" s="21" t="str">
        <f>APOSTAS!B97</f>
        <v>Croácia</v>
      </c>
      <c r="C97" s="22"/>
      <c r="D97" s="19" t="str">
        <f>APOSTAS!D97</f>
        <v>x</v>
      </c>
      <c r="E97" s="23"/>
      <c r="F97" s="34" t="str">
        <f>APOSTAS!F97</f>
        <v>Gana</v>
      </c>
      <c r="G97" s="2"/>
      <c r="H97" s="25">
        <v>46200.0</v>
      </c>
      <c r="I97" s="26">
        <v>0.75</v>
      </c>
      <c r="J97" s="27"/>
      <c r="K97" s="46"/>
      <c r="U97" s="6"/>
      <c r="V97" s="6"/>
      <c r="W97" s="6"/>
      <c r="X97" s="6"/>
      <c r="Y97" s="6"/>
      <c r="Z97" s="6"/>
    </row>
    <row r="98" ht="12.75" customHeight="1">
      <c r="B98" s="40" t="str">
        <f>APOSTAS!B98</f>
        <v>Panamá</v>
      </c>
      <c r="C98" s="41"/>
      <c r="D98" s="38" t="str">
        <f>APOSTAS!D98</f>
        <v>x</v>
      </c>
      <c r="E98" s="42"/>
      <c r="F98" s="43" t="str">
        <f>APOSTAS!F98</f>
        <v>Inglaterra</v>
      </c>
      <c r="G98" s="2"/>
      <c r="H98" s="44">
        <v>46200.0</v>
      </c>
      <c r="I98" s="45">
        <v>0.75</v>
      </c>
      <c r="J98" s="27"/>
      <c r="K98" s="2"/>
      <c r="L98" s="2"/>
      <c r="M98" s="2"/>
      <c r="N98" s="2"/>
      <c r="O98" s="2"/>
      <c r="P98" s="2"/>
      <c r="Q98" s="2"/>
      <c r="R98" s="2"/>
      <c r="U98" s="6"/>
      <c r="V98" s="6"/>
      <c r="W98" s="6"/>
      <c r="X98" s="6"/>
      <c r="Y98" s="6"/>
      <c r="Z98" s="6"/>
    </row>
    <row r="99" ht="12.75" customHeight="1">
      <c r="U99" s="6"/>
      <c r="V99" s="6"/>
      <c r="W99" s="6"/>
      <c r="X99" s="6"/>
      <c r="Y99" s="6"/>
      <c r="Z99" s="6"/>
    </row>
    <row r="100" ht="12.75" customHeight="1">
      <c r="U100" s="6"/>
      <c r="V100" s="6"/>
      <c r="W100" s="6"/>
      <c r="X100" s="6"/>
      <c r="Y100" s="6"/>
      <c r="Z100" s="6"/>
    </row>
    <row r="101" ht="12.75" customHeight="1">
      <c r="U101" s="6"/>
      <c r="V101" s="6"/>
      <c r="W101" s="6"/>
      <c r="X101" s="6"/>
      <c r="Y101" s="6"/>
      <c r="Z101" s="6"/>
    </row>
    <row r="102" ht="12.75" customHeight="1">
      <c r="H102" s="52"/>
      <c r="I102" s="52"/>
      <c r="J102" s="52"/>
      <c r="U102" s="6"/>
      <c r="V102" s="6"/>
      <c r="W102" s="6"/>
      <c r="X102" s="6"/>
      <c r="Y102" s="6"/>
      <c r="Z102" s="6"/>
    </row>
    <row r="103" ht="12.75" customHeight="1">
      <c r="H103" s="52"/>
      <c r="I103" s="52"/>
      <c r="J103" s="52"/>
      <c r="U103" s="6"/>
      <c r="V103" s="6"/>
      <c r="W103" s="6"/>
      <c r="X103" s="6"/>
      <c r="Y103" s="6"/>
      <c r="Z103" s="6"/>
    </row>
    <row r="104" ht="12.75" customHeight="1">
      <c r="H104" s="52"/>
      <c r="I104" s="52"/>
      <c r="J104" s="52"/>
      <c r="U104" s="6"/>
      <c r="V104" s="6"/>
      <c r="W104" s="6"/>
      <c r="X104" s="6"/>
      <c r="Y104" s="6"/>
      <c r="Z104" s="6"/>
    </row>
    <row r="105" ht="12.75" customHeight="1">
      <c r="H105" s="52"/>
      <c r="I105" s="52"/>
      <c r="J105" s="52"/>
      <c r="U105" s="6"/>
      <c r="V105" s="6"/>
      <c r="W105" s="6"/>
      <c r="X105" s="6"/>
      <c r="Y105" s="6"/>
      <c r="Z105" s="6"/>
    </row>
    <row r="106" ht="12.75" customHeight="1">
      <c r="H106" s="52"/>
      <c r="I106" s="52"/>
      <c r="J106" s="52"/>
      <c r="U106" s="6"/>
      <c r="V106" s="6"/>
      <c r="W106" s="6"/>
      <c r="X106" s="6"/>
      <c r="Y106" s="6"/>
      <c r="Z106" s="6"/>
    </row>
    <row r="107" ht="12.75" customHeight="1">
      <c r="H107" s="52"/>
      <c r="I107" s="52"/>
      <c r="J107" s="52"/>
      <c r="U107" s="6"/>
      <c r="V107" s="6"/>
      <c r="W107" s="6"/>
      <c r="X107" s="6"/>
      <c r="Y107" s="6"/>
      <c r="Z107" s="6"/>
    </row>
    <row r="108" ht="12.75" customHeight="1">
      <c r="H108" s="52"/>
      <c r="I108" s="52"/>
      <c r="J108" s="52"/>
      <c r="U108" s="6"/>
      <c r="V108" s="6"/>
      <c r="W108" s="6"/>
      <c r="X108" s="6"/>
      <c r="Y108" s="6"/>
      <c r="Z108" s="6"/>
    </row>
    <row r="109" ht="12.75" customHeight="1">
      <c r="H109" s="52"/>
      <c r="I109" s="52"/>
      <c r="J109" s="52"/>
      <c r="U109" s="6"/>
      <c r="V109" s="6"/>
      <c r="W109" s="6"/>
      <c r="X109" s="6"/>
      <c r="Y109" s="6"/>
      <c r="Z109" s="6"/>
    </row>
    <row r="110" ht="12.75" customHeight="1">
      <c r="H110" s="52"/>
      <c r="I110" s="52"/>
      <c r="J110" s="52"/>
      <c r="U110" s="6"/>
      <c r="V110" s="6"/>
      <c r="W110" s="6"/>
      <c r="X110" s="6"/>
      <c r="Y110" s="6"/>
      <c r="Z110" s="6"/>
    </row>
    <row r="111" ht="12.75" customHeight="1">
      <c r="H111" s="52"/>
      <c r="I111" s="52"/>
      <c r="J111" s="52"/>
      <c r="U111" s="6"/>
      <c r="V111" s="6"/>
      <c r="W111" s="6"/>
      <c r="X111" s="6"/>
      <c r="Y111" s="6"/>
      <c r="Z111" s="6"/>
    </row>
    <row r="112" ht="12.75" customHeight="1">
      <c r="H112" s="52"/>
      <c r="I112" s="52"/>
      <c r="J112" s="52"/>
      <c r="U112" s="6"/>
      <c r="V112" s="6"/>
      <c r="W112" s="6"/>
      <c r="X112" s="6"/>
      <c r="Y112" s="6"/>
      <c r="Z112" s="6"/>
    </row>
    <row r="113" ht="12.75" customHeight="1">
      <c r="H113" s="52"/>
      <c r="I113" s="52"/>
      <c r="J113" s="52"/>
      <c r="U113" s="6"/>
      <c r="V113" s="6"/>
      <c r="W113" s="6"/>
      <c r="X113" s="6"/>
      <c r="Y113" s="6"/>
      <c r="Z113" s="6"/>
    </row>
    <row r="114" ht="12.75" customHeight="1">
      <c r="H114" s="52"/>
      <c r="I114" s="52"/>
      <c r="J114" s="52"/>
      <c r="U114" s="6"/>
      <c r="V114" s="6"/>
      <c r="W114" s="6"/>
      <c r="X114" s="6"/>
      <c r="Y114" s="6"/>
      <c r="Z114" s="6"/>
    </row>
    <row r="115" ht="12.75" customHeight="1">
      <c r="H115" s="52"/>
      <c r="I115" s="52"/>
      <c r="J115" s="52"/>
      <c r="U115" s="6"/>
      <c r="V115" s="6"/>
      <c r="W115" s="6"/>
      <c r="X115" s="6"/>
      <c r="Y115" s="6"/>
      <c r="Z115" s="6"/>
    </row>
    <row r="116" ht="12.75" customHeight="1">
      <c r="H116" s="52"/>
      <c r="I116" s="52"/>
      <c r="J116" s="52"/>
      <c r="U116" s="6"/>
      <c r="V116" s="6"/>
      <c r="W116" s="6"/>
      <c r="X116" s="6"/>
      <c r="Y116" s="6"/>
      <c r="Z116" s="6"/>
    </row>
    <row r="117" ht="12.75" customHeight="1">
      <c r="H117" s="52"/>
      <c r="I117" s="52"/>
      <c r="J117" s="52"/>
      <c r="U117" s="6"/>
      <c r="V117" s="6"/>
      <c r="W117" s="6"/>
      <c r="X117" s="6"/>
      <c r="Y117" s="6"/>
      <c r="Z117" s="6"/>
    </row>
    <row r="118" ht="12.75" customHeight="1">
      <c r="H118" s="52"/>
      <c r="I118" s="52"/>
      <c r="J118" s="52"/>
      <c r="U118" s="6"/>
      <c r="V118" s="6"/>
      <c r="W118" s="6"/>
      <c r="X118" s="6"/>
      <c r="Y118" s="6"/>
      <c r="Z118" s="6"/>
    </row>
    <row r="119" ht="12.75" customHeight="1">
      <c r="H119" s="52"/>
      <c r="I119" s="52"/>
      <c r="J119" s="52"/>
      <c r="U119" s="6"/>
      <c r="V119" s="6"/>
      <c r="W119" s="6"/>
      <c r="X119" s="6"/>
      <c r="Y119" s="6"/>
      <c r="Z119" s="6"/>
    </row>
    <row r="120" ht="12.75" customHeight="1">
      <c r="H120" s="52"/>
      <c r="I120" s="52"/>
      <c r="J120" s="52"/>
      <c r="U120" s="6"/>
      <c r="V120" s="6"/>
      <c r="W120" s="6"/>
      <c r="X120" s="6"/>
      <c r="Y120" s="6"/>
      <c r="Z120" s="6"/>
    </row>
    <row r="121" ht="12.75" customHeight="1">
      <c r="H121" s="52"/>
      <c r="I121" s="52"/>
      <c r="J121" s="52"/>
      <c r="U121" s="6"/>
      <c r="V121" s="6"/>
      <c r="W121" s="6"/>
      <c r="X121" s="6"/>
      <c r="Y121" s="6"/>
      <c r="Z121" s="6"/>
    </row>
    <row r="122" ht="12.75" customHeight="1">
      <c r="H122" s="52"/>
      <c r="I122" s="52"/>
      <c r="J122" s="52"/>
      <c r="U122" s="6"/>
      <c r="V122" s="6"/>
      <c r="W122" s="6"/>
      <c r="X122" s="6"/>
      <c r="Y122" s="6"/>
      <c r="Z122" s="6"/>
    </row>
    <row r="123" ht="12.75" customHeight="1">
      <c r="H123" s="52"/>
      <c r="I123" s="52"/>
      <c r="J123" s="52"/>
      <c r="U123" s="6"/>
      <c r="V123" s="6"/>
      <c r="W123" s="6"/>
      <c r="X123" s="6"/>
      <c r="Y123" s="6"/>
      <c r="Z123" s="6"/>
    </row>
    <row r="124" ht="12.75" customHeight="1">
      <c r="H124" s="52"/>
      <c r="I124" s="52"/>
      <c r="J124" s="52"/>
      <c r="U124" s="6"/>
      <c r="V124" s="6"/>
      <c r="W124" s="6"/>
      <c r="X124" s="6"/>
      <c r="Y124" s="6"/>
      <c r="Z124" s="6"/>
    </row>
    <row r="125" ht="12.75" customHeight="1">
      <c r="H125" s="52"/>
      <c r="I125" s="52"/>
      <c r="J125" s="52"/>
      <c r="U125" s="6"/>
      <c r="V125" s="6"/>
      <c r="W125" s="6"/>
      <c r="X125" s="6"/>
      <c r="Y125" s="6"/>
      <c r="Z125" s="6"/>
    </row>
    <row r="126" ht="12.75" customHeight="1">
      <c r="H126" s="52"/>
      <c r="I126" s="52"/>
      <c r="J126" s="52"/>
      <c r="U126" s="6"/>
      <c r="V126" s="6"/>
      <c r="W126" s="6"/>
      <c r="X126" s="6"/>
      <c r="Y126" s="6"/>
      <c r="Z126" s="6"/>
    </row>
    <row r="127" ht="12.75" customHeight="1">
      <c r="H127" s="52"/>
      <c r="I127" s="52"/>
      <c r="J127" s="52"/>
      <c r="U127" s="6"/>
      <c r="V127" s="6"/>
      <c r="W127" s="6"/>
      <c r="X127" s="6"/>
      <c r="Y127" s="6"/>
      <c r="Z127" s="6"/>
    </row>
    <row r="128" ht="12.75" customHeight="1">
      <c r="H128" s="52"/>
      <c r="I128" s="52"/>
      <c r="J128" s="52"/>
      <c r="U128" s="6"/>
      <c r="V128" s="6"/>
      <c r="W128" s="6"/>
      <c r="X128" s="6"/>
      <c r="Y128" s="6"/>
      <c r="Z128" s="6"/>
    </row>
    <row r="129" ht="12.75" customHeight="1">
      <c r="H129" s="52"/>
      <c r="I129" s="52"/>
      <c r="J129" s="52"/>
      <c r="U129" s="6"/>
      <c r="V129" s="6"/>
      <c r="W129" s="6"/>
      <c r="X129" s="6"/>
      <c r="Y129" s="6"/>
      <c r="Z129" s="6"/>
    </row>
    <row r="130" ht="12.75" customHeight="1">
      <c r="H130" s="52"/>
      <c r="I130" s="52"/>
      <c r="J130" s="52"/>
      <c r="U130" s="6"/>
      <c r="V130" s="6"/>
      <c r="W130" s="6"/>
      <c r="X130" s="6"/>
      <c r="Y130" s="6"/>
      <c r="Z130" s="6"/>
    </row>
    <row r="131" ht="12.75" customHeight="1">
      <c r="H131" s="52"/>
      <c r="I131" s="52"/>
      <c r="J131" s="52"/>
      <c r="U131" s="6"/>
      <c r="V131" s="6"/>
      <c r="W131" s="6"/>
      <c r="X131" s="6"/>
      <c r="Y131" s="6"/>
      <c r="Z131" s="6"/>
    </row>
    <row r="132" ht="12.75" customHeight="1">
      <c r="H132" s="52"/>
      <c r="I132" s="52"/>
      <c r="J132" s="52"/>
      <c r="U132" s="6"/>
      <c r="V132" s="6"/>
      <c r="W132" s="6"/>
      <c r="X132" s="6"/>
      <c r="Y132" s="6"/>
      <c r="Z132" s="6"/>
    </row>
    <row r="133" ht="12.75" customHeight="1">
      <c r="H133" s="52"/>
      <c r="I133" s="52"/>
      <c r="J133" s="52"/>
      <c r="U133" s="6"/>
      <c r="V133" s="6"/>
      <c r="W133" s="6"/>
      <c r="X133" s="6"/>
      <c r="Y133" s="6"/>
      <c r="Z133" s="6"/>
    </row>
    <row r="134" ht="12.75" customHeight="1">
      <c r="H134" s="52"/>
      <c r="I134" s="52"/>
      <c r="J134" s="52"/>
      <c r="U134" s="6"/>
      <c r="V134" s="6"/>
      <c r="W134" s="6"/>
      <c r="X134" s="6"/>
      <c r="Y134" s="6"/>
      <c r="Z134" s="6"/>
    </row>
    <row r="135" ht="12.75" customHeight="1">
      <c r="H135" s="52"/>
      <c r="I135" s="52"/>
      <c r="J135" s="52"/>
      <c r="U135" s="6"/>
      <c r="V135" s="6"/>
      <c r="W135" s="6"/>
      <c r="X135" s="6"/>
      <c r="Y135" s="6"/>
      <c r="Z135" s="6"/>
    </row>
    <row r="136" ht="12.75" customHeight="1">
      <c r="H136" s="52"/>
      <c r="I136" s="52"/>
      <c r="J136" s="52"/>
      <c r="U136" s="6"/>
      <c r="V136" s="6"/>
      <c r="W136" s="6"/>
      <c r="X136" s="6"/>
      <c r="Y136" s="6"/>
      <c r="Z136" s="6"/>
    </row>
    <row r="137" ht="12.75" customHeight="1">
      <c r="H137" s="52"/>
      <c r="I137" s="52"/>
      <c r="J137" s="52"/>
      <c r="U137" s="6"/>
      <c r="V137" s="6"/>
      <c r="W137" s="6"/>
      <c r="X137" s="6"/>
      <c r="Y137" s="6"/>
      <c r="Z137" s="6"/>
    </row>
    <row r="138" ht="12.75" customHeight="1">
      <c r="H138" s="52"/>
      <c r="I138" s="52"/>
      <c r="J138" s="52"/>
      <c r="U138" s="6"/>
      <c r="V138" s="6"/>
      <c r="W138" s="6"/>
      <c r="X138" s="6"/>
      <c r="Y138" s="6"/>
      <c r="Z138" s="6"/>
    </row>
    <row r="139" ht="12.75" customHeight="1">
      <c r="H139" s="52"/>
      <c r="I139" s="52"/>
      <c r="J139" s="52"/>
      <c r="U139" s="6"/>
      <c r="V139" s="6"/>
      <c r="W139" s="6"/>
      <c r="X139" s="6"/>
      <c r="Y139" s="6"/>
      <c r="Z139" s="6"/>
    </row>
    <row r="140" ht="12.75" customHeight="1">
      <c r="H140" s="52"/>
      <c r="I140" s="52"/>
      <c r="J140" s="52"/>
      <c r="U140" s="6"/>
      <c r="V140" s="6"/>
      <c r="W140" s="6"/>
      <c r="X140" s="6"/>
      <c r="Y140" s="6"/>
      <c r="Z140" s="6"/>
    </row>
    <row r="141" ht="12.75" customHeight="1">
      <c r="H141" s="52"/>
      <c r="I141" s="52"/>
      <c r="J141" s="52"/>
      <c r="U141" s="6"/>
      <c r="V141" s="6"/>
      <c r="W141" s="6"/>
      <c r="X141" s="6"/>
      <c r="Y141" s="6"/>
      <c r="Z141" s="6"/>
    </row>
    <row r="142" ht="12.75" customHeight="1">
      <c r="H142" s="52"/>
      <c r="I142" s="52"/>
      <c r="J142" s="52"/>
      <c r="U142" s="6"/>
      <c r="V142" s="6"/>
      <c r="W142" s="6"/>
      <c r="X142" s="6"/>
      <c r="Y142" s="6"/>
      <c r="Z142" s="6"/>
    </row>
    <row r="143" ht="12.75" customHeight="1">
      <c r="H143" s="52"/>
      <c r="I143" s="52"/>
      <c r="J143" s="52"/>
      <c r="U143" s="6"/>
      <c r="V143" s="6"/>
      <c r="W143" s="6"/>
      <c r="X143" s="6"/>
      <c r="Y143" s="6"/>
      <c r="Z143" s="6"/>
    </row>
    <row r="144" ht="12.75" customHeight="1">
      <c r="H144" s="52"/>
      <c r="I144" s="52"/>
      <c r="J144" s="52"/>
      <c r="U144" s="6"/>
      <c r="V144" s="6"/>
      <c r="W144" s="6"/>
      <c r="X144" s="6"/>
      <c r="Y144" s="6"/>
      <c r="Z144" s="6"/>
    </row>
    <row r="145" ht="12.75" customHeight="1">
      <c r="H145" s="52"/>
      <c r="I145" s="52"/>
      <c r="J145" s="52"/>
      <c r="U145" s="6"/>
      <c r="V145" s="6"/>
      <c r="W145" s="6"/>
      <c r="X145" s="6"/>
      <c r="Y145" s="6"/>
      <c r="Z145" s="6"/>
    </row>
    <row r="146" ht="12.75" customHeight="1">
      <c r="H146" s="52"/>
      <c r="I146" s="52"/>
      <c r="J146" s="52"/>
      <c r="U146" s="6"/>
      <c r="V146" s="6"/>
      <c r="W146" s="6"/>
      <c r="X146" s="6"/>
      <c r="Y146" s="6"/>
      <c r="Z146" s="6"/>
    </row>
    <row r="147" ht="12.75" customHeight="1">
      <c r="H147" s="52"/>
      <c r="I147" s="52"/>
      <c r="J147" s="52"/>
      <c r="U147" s="6"/>
      <c r="V147" s="6"/>
      <c r="W147" s="6"/>
      <c r="X147" s="6"/>
      <c r="Y147" s="6"/>
      <c r="Z147" s="6"/>
    </row>
    <row r="148" ht="12.75" customHeight="1">
      <c r="H148" s="52"/>
      <c r="I148" s="52"/>
      <c r="J148" s="52"/>
      <c r="U148" s="6"/>
      <c r="V148" s="6"/>
      <c r="W148" s="6"/>
      <c r="X148" s="6"/>
      <c r="Y148" s="6"/>
      <c r="Z148" s="6"/>
    </row>
    <row r="149" ht="12.75" customHeight="1">
      <c r="H149" s="52"/>
      <c r="I149" s="52"/>
      <c r="J149" s="52"/>
      <c r="U149" s="6"/>
      <c r="V149" s="6"/>
      <c r="W149" s="6"/>
      <c r="X149" s="6"/>
      <c r="Y149" s="6"/>
      <c r="Z149" s="6"/>
    </row>
    <row r="150" ht="12.75" customHeight="1">
      <c r="H150" s="52"/>
      <c r="I150" s="52"/>
      <c r="J150" s="52"/>
      <c r="U150" s="6"/>
      <c r="V150" s="6"/>
      <c r="W150" s="6"/>
      <c r="X150" s="6"/>
      <c r="Y150" s="6"/>
      <c r="Z150" s="6"/>
    </row>
    <row r="151" ht="12.75" customHeight="1">
      <c r="H151" s="52"/>
      <c r="I151" s="52"/>
      <c r="J151" s="52"/>
      <c r="U151" s="6"/>
      <c r="V151" s="6"/>
      <c r="W151" s="6"/>
      <c r="X151" s="6"/>
      <c r="Y151" s="6"/>
      <c r="Z151" s="6"/>
    </row>
    <row r="152" ht="12.75" customHeight="1">
      <c r="H152" s="52"/>
      <c r="I152" s="52"/>
      <c r="J152" s="52"/>
      <c r="U152" s="6"/>
      <c r="V152" s="6"/>
      <c r="W152" s="6"/>
      <c r="X152" s="6"/>
      <c r="Y152" s="6"/>
      <c r="Z152" s="6"/>
    </row>
    <row r="153" ht="12.75" customHeight="1">
      <c r="H153" s="52"/>
      <c r="I153" s="52"/>
      <c r="J153" s="52"/>
      <c r="U153" s="6"/>
      <c r="V153" s="6"/>
      <c r="W153" s="6"/>
      <c r="X153" s="6"/>
      <c r="Y153" s="6"/>
      <c r="Z153" s="6"/>
    </row>
    <row r="154" ht="12.75" customHeight="1">
      <c r="H154" s="52"/>
      <c r="I154" s="52"/>
      <c r="J154" s="52"/>
      <c r="U154" s="6"/>
      <c r="V154" s="6"/>
      <c r="W154" s="6"/>
      <c r="X154" s="6"/>
      <c r="Y154" s="6"/>
      <c r="Z154" s="6"/>
    </row>
    <row r="155" ht="12.75" customHeight="1">
      <c r="H155" s="52"/>
      <c r="I155" s="52"/>
      <c r="J155" s="52"/>
      <c r="U155" s="6"/>
      <c r="V155" s="6"/>
      <c r="W155" s="6"/>
      <c r="X155" s="6"/>
      <c r="Y155" s="6"/>
      <c r="Z155" s="6"/>
    </row>
    <row r="156" ht="12.75" customHeight="1">
      <c r="H156" s="52"/>
      <c r="I156" s="52"/>
      <c r="J156" s="52"/>
      <c r="U156" s="6"/>
      <c r="V156" s="6"/>
      <c r="W156" s="6"/>
      <c r="X156" s="6"/>
      <c r="Y156" s="6"/>
      <c r="Z156" s="6"/>
    </row>
    <row r="157" ht="12.75" customHeight="1">
      <c r="H157" s="52"/>
      <c r="I157" s="52"/>
      <c r="J157" s="52"/>
      <c r="U157" s="6"/>
      <c r="V157" s="6"/>
      <c r="W157" s="6"/>
      <c r="X157" s="6"/>
      <c r="Y157" s="6"/>
      <c r="Z157" s="6"/>
    </row>
    <row r="158" ht="12.75" customHeight="1">
      <c r="H158" s="52"/>
      <c r="I158" s="52"/>
      <c r="J158" s="52"/>
      <c r="U158" s="6"/>
      <c r="V158" s="6"/>
      <c r="W158" s="6"/>
      <c r="X158" s="6"/>
      <c r="Y158" s="6"/>
      <c r="Z158" s="6"/>
    </row>
    <row r="159" ht="12.75" customHeight="1">
      <c r="H159" s="52"/>
      <c r="I159" s="52"/>
      <c r="J159" s="52"/>
      <c r="U159" s="6"/>
      <c r="V159" s="6"/>
      <c r="W159" s="6"/>
      <c r="X159" s="6"/>
      <c r="Y159" s="6"/>
      <c r="Z159" s="6"/>
    </row>
    <row r="160" ht="12.75" customHeight="1">
      <c r="H160" s="52"/>
      <c r="I160" s="52"/>
      <c r="J160" s="52"/>
      <c r="U160" s="6"/>
      <c r="V160" s="6"/>
      <c r="W160" s="6"/>
      <c r="X160" s="6"/>
      <c r="Y160" s="6"/>
      <c r="Z160" s="6"/>
    </row>
    <row r="161" ht="12.75" customHeight="1">
      <c r="H161" s="52"/>
      <c r="I161" s="52"/>
      <c r="J161" s="52"/>
      <c r="U161" s="6"/>
      <c r="V161" s="6"/>
      <c r="W161" s="6"/>
      <c r="X161" s="6"/>
      <c r="Y161" s="6"/>
      <c r="Z161" s="6"/>
    </row>
    <row r="162" ht="12.75" customHeight="1">
      <c r="H162" s="52"/>
      <c r="I162" s="52"/>
      <c r="J162" s="52"/>
      <c r="U162" s="6"/>
      <c r="V162" s="6"/>
      <c r="W162" s="6"/>
      <c r="X162" s="6"/>
      <c r="Y162" s="6"/>
      <c r="Z162" s="6"/>
    </row>
    <row r="163" ht="12.75" customHeight="1">
      <c r="H163" s="52"/>
      <c r="I163" s="52"/>
      <c r="J163" s="52"/>
      <c r="U163" s="6"/>
      <c r="V163" s="6"/>
      <c r="W163" s="6"/>
      <c r="X163" s="6"/>
      <c r="Y163" s="6"/>
      <c r="Z163" s="6"/>
    </row>
    <row r="164" ht="12.75" customHeight="1">
      <c r="H164" s="52"/>
      <c r="I164" s="52"/>
      <c r="J164" s="52"/>
      <c r="U164" s="6"/>
      <c r="V164" s="6"/>
      <c r="W164" s="6"/>
      <c r="X164" s="6"/>
      <c r="Y164" s="6"/>
      <c r="Z164" s="6"/>
    </row>
    <row r="165" ht="12.75" customHeight="1">
      <c r="H165" s="52"/>
      <c r="I165" s="52"/>
      <c r="J165" s="52"/>
      <c r="U165" s="6"/>
      <c r="V165" s="6"/>
      <c r="W165" s="6"/>
      <c r="X165" s="6"/>
      <c r="Y165" s="6"/>
      <c r="Z165" s="6"/>
    </row>
    <row r="166" ht="12.75" customHeight="1">
      <c r="H166" s="52"/>
      <c r="I166" s="52"/>
      <c r="J166" s="52"/>
      <c r="U166" s="6"/>
      <c r="V166" s="6"/>
      <c r="W166" s="6"/>
      <c r="X166" s="6"/>
      <c r="Y166" s="6"/>
      <c r="Z166" s="6"/>
    </row>
    <row r="167" ht="12.75" customHeight="1">
      <c r="H167" s="52"/>
      <c r="I167" s="52"/>
      <c r="J167" s="52"/>
      <c r="U167" s="6"/>
      <c r="V167" s="6"/>
      <c r="W167" s="6"/>
      <c r="X167" s="6"/>
      <c r="Y167" s="6"/>
      <c r="Z167" s="6"/>
    </row>
    <row r="168" ht="12.75" customHeight="1">
      <c r="H168" s="52"/>
      <c r="I168" s="52"/>
      <c r="J168" s="52"/>
      <c r="U168" s="6"/>
      <c r="V168" s="6"/>
      <c r="W168" s="6"/>
      <c r="X168" s="6"/>
      <c r="Y168" s="6"/>
      <c r="Z168" s="6"/>
    </row>
    <row r="169" ht="12.75" customHeight="1">
      <c r="H169" s="52"/>
      <c r="I169" s="52"/>
      <c r="J169" s="52"/>
      <c r="U169" s="6"/>
      <c r="V169" s="6"/>
      <c r="W169" s="6"/>
      <c r="X169" s="6"/>
      <c r="Y169" s="6"/>
      <c r="Z169" s="6"/>
    </row>
    <row r="170" ht="12.75" customHeight="1">
      <c r="H170" s="52"/>
      <c r="I170" s="52"/>
      <c r="J170" s="52"/>
      <c r="U170" s="6"/>
      <c r="V170" s="6"/>
      <c r="W170" s="6"/>
      <c r="X170" s="6"/>
      <c r="Y170" s="6"/>
      <c r="Z170" s="6"/>
    </row>
    <row r="171" ht="12.75" customHeight="1">
      <c r="H171" s="52"/>
      <c r="I171" s="52"/>
      <c r="J171" s="52"/>
      <c r="U171" s="6"/>
      <c r="V171" s="6"/>
      <c r="W171" s="6"/>
      <c r="X171" s="6"/>
      <c r="Y171" s="6"/>
      <c r="Z171" s="6"/>
    </row>
    <row r="172" ht="12.75" customHeight="1">
      <c r="H172" s="52"/>
      <c r="I172" s="52"/>
      <c r="J172" s="52"/>
      <c r="U172" s="6"/>
      <c r="V172" s="6"/>
      <c r="W172" s="6"/>
      <c r="X172" s="6"/>
      <c r="Y172" s="6"/>
      <c r="Z172" s="6"/>
    </row>
    <row r="173" ht="12.75" customHeight="1">
      <c r="H173" s="52"/>
      <c r="I173" s="52"/>
      <c r="J173" s="52"/>
      <c r="U173" s="6"/>
      <c r="V173" s="6"/>
      <c r="W173" s="6"/>
      <c r="X173" s="6"/>
      <c r="Y173" s="6"/>
      <c r="Z173" s="6"/>
    </row>
    <row r="174" ht="12.75" customHeight="1">
      <c r="H174" s="52"/>
      <c r="I174" s="52"/>
      <c r="J174" s="52"/>
      <c r="U174" s="6"/>
      <c r="V174" s="6"/>
      <c r="W174" s="6"/>
      <c r="X174" s="6"/>
      <c r="Y174" s="6"/>
      <c r="Z174" s="6"/>
    </row>
    <row r="175" ht="12.75" customHeight="1">
      <c r="H175" s="52"/>
      <c r="I175" s="52"/>
      <c r="J175" s="52"/>
      <c r="U175" s="6"/>
      <c r="V175" s="6"/>
      <c r="W175" s="6"/>
      <c r="X175" s="6"/>
      <c r="Y175" s="6"/>
      <c r="Z175" s="6"/>
    </row>
    <row r="176" ht="12.75" customHeight="1">
      <c r="H176" s="52"/>
      <c r="I176" s="52"/>
      <c r="J176" s="52"/>
      <c r="U176" s="6"/>
      <c r="V176" s="6"/>
      <c r="W176" s="6"/>
      <c r="X176" s="6"/>
      <c r="Y176" s="6"/>
      <c r="Z176" s="6"/>
    </row>
    <row r="177" ht="12.75" customHeight="1">
      <c r="H177" s="52"/>
      <c r="I177" s="52"/>
      <c r="J177" s="52"/>
      <c r="U177" s="6"/>
      <c r="V177" s="6"/>
      <c r="W177" s="6"/>
      <c r="X177" s="6"/>
      <c r="Y177" s="6"/>
      <c r="Z177" s="6"/>
    </row>
    <row r="178" ht="12.75" customHeight="1">
      <c r="H178" s="52"/>
      <c r="I178" s="52"/>
      <c r="J178" s="52"/>
      <c r="U178" s="6"/>
      <c r="V178" s="6"/>
      <c r="W178" s="6"/>
      <c r="X178" s="6"/>
      <c r="Y178" s="6"/>
      <c r="Z178" s="6"/>
    </row>
    <row r="179" ht="12.75" customHeight="1">
      <c r="H179" s="52"/>
      <c r="I179" s="52"/>
      <c r="J179" s="52"/>
      <c r="U179" s="6"/>
      <c r="V179" s="6"/>
      <c r="W179" s="6"/>
      <c r="X179" s="6"/>
      <c r="Y179" s="6"/>
      <c r="Z179" s="6"/>
    </row>
    <row r="180" ht="12.75" customHeight="1">
      <c r="H180" s="52"/>
      <c r="I180" s="52"/>
      <c r="J180" s="52"/>
      <c r="U180" s="6"/>
      <c r="V180" s="6"/>
      <c r="W180" s="6"/>
      <c r="X180" s="6"/>
      <c r="Y180" s="6"/>
      <c r="Z180" s="6"/>
    </row>
    <row r="181" ht="12.75" customHeight="1">
      <c r="H181" s="52"/>
      <c r="I181" s="52"/>
      <c r="J181" s="52"/>
      <c r="U181" s="6"/>
      <c r="V181" s="6"/>
      <c r="W181" s="6"/>
      <c r="X181" s="6"/>
      <c r="Y181" s="6"/>
      <c r="Z181" s="6"/>
    </row>
    <row r="182" ht="12.75" customHeight="1">
      <c r="H182" s="52"/>
      <c r="I182" s="52"/>
      <c r="J182" s="52"/>
      <c r="U182" s="6"/>
      <c r="V182" s="6"/>
      <c r="W182" s="6"/>
      <c r="X182" s="6"/>
      <c r="Y182" s="6"/>
      <c r="Z182" s="6"/>
    </row>
    <row r="183" ht="12.75" customHeight="1">
      <c r="H183" s="52"/>
      <c r="I183" s="52"/>
      <c r="J183" s="52"/>
      <c r="U183" s="6"/>
      <c r="V183" s="6"/>
      <c r="W183" s="6"/>
      <c r="X183" s="6"/>
      <c r="Y183" s="6"/>
      <c r="Z183" s="6"/>
    </row>
    <row r="184" ht="12.75" customHeight="1">
      <c r="H184" s="52"/>
      <c r="I184" s="52"/>
      <c r="J184" s="52"/>
      <c r="U184" s="6"/>
      <c r="V184" s="6"/>
      <c r="W184" s="6"/>
      <c r="X184" s="6"/>
      <c r="Y184" s="6"/>
      <c r="Z184" s="6"/>
    </row>
    <row r="185" ht="12.75" customHeight="1">
      <c r="H185" s="52"/>
      <c r="I185" s="52"/>
      <c r="J185" s="52"/>
      <c r="U185" s="6"/>
      <c r="V185" s="6"/>
      <c r="W185" s="6"/>
      <c r="X185" s="6"/>
      <c r="Y185" s="6"/>
      <c r="Z185" s="6"/>
    </row>
    <row r="186" ht="12.75" customHeight="1">
      <c r="H186" s="52"/>
      <c r="I186" s="52"/>
      <c r="J186" s="52"/>
      <c r="U186" s="6"/>
      <c r="V186" s="6"/>
      <c r="W186" s="6"/>
      <c r="X186" s="6"/>
      <c r="Y186" s="6"/>
      <c r="Z186" s="6"/>
    </row>
    <row r="187" ht="12.75" customHeight="1">
      <c r="H187" s="52"/>
      <c r="I187" s="52"/>
      <c r="J187" s="52"/>
      <c r="U187" s="6"/>
      <c r="V187" s="6"/>
      <c r="W187" s="6"/>
      <c r="X187" s="6"/>
      <c r="Y187" s="6"/>
      <c r="Z187" s="6"/>
    </row>
    <row r="188" ht="12.75" customHeight="1">
      <c r="H188" s="52"/>
      <c r="I188" s="52"/>
      <c r="J188" s="52"/>
      <c r="U188" s="6"/>
      <c r="V188" s="6"/>
      <c r="W188" s="6"/>
      <c r="X188" s="6"/>
      <c r="Y188" s="6"/>
      <c r="Z188" s="6"/>
    </row>
    <row r="189" ht="12.75" customHeight="1">
      <c r="H189" s="52"/>
      <c r="I189" s="52"/>
      <c r="J189" s="52"/>
      <c r="U189" s="6"/>
      <c r="V189" s="6"/>
      <c r="W189" s="6"/>
      <c r="X189" s="6"/>
      <c r="Y189" s="6"/>
      <c r="Z189" s="6"/>
    </row>
    <row r="190" ht="12.75" customHeight="1">
      <c r="H190" s="52"/>
      <c r="I190" s="52"/>
      <c r="J190" s="52"/>
      <c r="U190" s="6"/>
      <c r="V190" s="6"/>
      <c r="W190" s="6"/>
      <c r="X190" s="6"/>
      <c r="Y190" s="6"/>
      <c r="Z190" s="6"/>
    </row>
    <row r="191" ht="12.75" customHeight="1">
      <c r="H191" s="52"/>
      <c r="I191" s="52"/>
      <c r="J191" s="52"/>
      <c r="U191" s="6"/>
      <c r="V191" s="6"/>
      <c r="W191" s="6"/>
      <c r="X191" s="6"/>
      <c r="Y191" s="6"/>
      <c r="Z191" s="6"/>
    </row>
    <row r="192" ht="12.75" customHeight="1">
      <c r="H192" s="52"/>
      <c r="I192" s="52"/>
      <c r="J192" s="52"/>
      <c r="U192" s="6"/>
      <c r="V192" s="6"/>
      <c r="W192" s="6"/>
      <c r="X192" s="6"/>
      <c r="Y192" s="6"/>
      <c r="Z192" s="6"/>
    </row>
    <row r="193" ht="12.75" customHeight="1">
      <c r="H193" s="52"/>
      <c r="I193" s="52"/>
      <c r="J193" s="52"/>
      <c r="U193" s="6"/>
      <c r="V193" s="6"/>
      <c r="W193" s="6"/>
      <c r="X193" s="6"/>
      <c r="Y193" s="6"/>
      <c r="Z193" s="6"/>
    </row>
    <row r="194" ht="12.75" customHeight="1">
      <c r="H194" s="52"/>
      <c r="I194" s="52"/>
      <c r="J194" s="52"/>
      <c r="U194" s="6"/>
      <c r="V194" s="6"/>
      <c r="W194" s="6"/>
      <c r="X194" s="6"/>
      <c r="Y194" s="6"/>
      <c r="Z194" s="6"/>
    </row>
    <row r="195" ht="12.75" customHeight="1">
      <c r="H195" s="52"/>
      <c r="I195" s="52"/>
      <c r="J195" s="52"/>
      <c r="U195" s="6"/>
      <c r="V195" s="6"/>
      <c r="W195" s="6"/>
      <c r="X195" s="6"/>
      <c r="Y195" s="6"/>
      <c r="Z195" s="6"/>
    </row>
    <row r="196" ht="12.75" customHeight="1">
      <c r="H196" s="52"/>
      <c r="I196" s="52"/>
      <c r="J196" s="52"/>
      <c r="U196" s="6"/>
      <c r="V196" s="6"/>
      <c r="W196" s="6"/>
      <c r="X196" s="6"/>
      <c r="Y196" s="6"/>
      <c r="Z196" s="6"/>
    </row>
    <row r="197" ht="12.75" customHeight="1">
      <c r="H197" s="52"/>
      <c r="I197" s="52"/>
      <c r="J197" s="52"/>
      <c r="U197" s="6"/>
      <c r="V197" s="6"/>
      <c r="W197" s="6"/>
      <c r="X197" s="6"/>
      <c r="Y197" s="6"/>
      <c r="Z197" s="6"/>
    </row>
    <row r="198" ht="12.75" customHeight="1">
      <c r="H198" s="52"/>
      <c r="I198" s="52"/>
      <c r="J198" s="52"/>
      <c r="U198" s="6"/>
      <c r="V198" s="6"/>
      <c r="W198" s="6"/>
      <c r="X198" s="6"/>
      <c r="Y198" s="6"/>
      <c r="Z198" s="6"/>
    </row>
    <row r="199" ht="12.75" customHeight="1">
      <c r="H199" s="52"/>
      <c r="I199" s="52"/>
      <c r="J199" s="52"/>
      <c r="U199" s="6"/>
      <c r="V199" s="6"/>
      <c r="W199" s="6"/>
      <c r="X199" s="6"/>
      <c r="Y199" s="6"/>
      <c r="Z199" s="6"/>
    </row>
    <row r="200" ht="12.75" customHeight="1">
      <c r="H200" s="52"/>
      <c r="I200" s="52"/>
      <c r="J200" s="52"/>
      <c r="U200" s="6"/>
      <c r="V200" s="6"/>
      <c r="W200" s="6"/>
      <c r="X200" s="6"/>
      <c r="Y200" s="6"/>
      <c r="Z200" s="6"/>
    </row>
    <row r="201" ht="12.75" customHeight="1">
      <c r="H201" s="52"/>
      <c r="I201" s="52"/>
      <c r="J201" s="52"/>
      <c r="U201" s="6"/>
      <c r="V201" s="6"/>
      <c r="W201" s="6"/>
      <c r="X201" s="6"/>
      <c r="Y201" s="6"/>
      <c r="Z201" s="6"/>
    </row>
    <row r="202" ht="12.75" customHeight="1">
      <c r="H202" s="52"/>
      <c r="I202" s="52"/>
      <c r="J202" s="52"/>
      <c r="U202" s="6"/>
      <c r="V202" s="6"/>
      <c r="W202" s="6"/>
      <c r="X202" s="6"/>
      <c r="Y202" s="6"/>
      <c r="Z202" s="6"/>
    </row>
    <row r="203" ht="12.75" customHeight="1">
      <c r="H203" s="52"/>
      <c r="I203" s="52"/>
      <c r="J203" s="52"/>
      <c r="U203" s="6"/>
      <c r="V203" s="6"/>
      <c r="W203" s="6"/>
      <c r="X203" s="6"/>
      <c r="Y203" s="6"/>
      <c r="Z203" s="6"/>
    </row>
    <row r="204" ht="12.75" customHeight="1">
      <c r="H204" s="52"/>
      <c r="I204" s="52"/>
      <c r="J204" s="52"/>
      <c r="U204" s="6"/>
      <c r="V204" s="6"/>
      <c r="W204" s="6"/>
      <c r="X204" s="6"/>
      <c r="Y204" s="6"/>
      <c r="Z204" s="6"/>
    </row>
    <row r="205" ht="12.75" customHeight="1">
      <c r="H205" s="52"/>
      <c r="I205" s="52"/>
      <c r="J205" s="52"/>
      <c r="U205" s="6"/>
      <c r="V205" s="6"/>
      <c r="W205" s="6"/>
      <c r="X205" s="6"/>
      <c r="Y205" s="6"/>
      <c r="Z205" s="6"/>
    </row>
    <row r="206" ht="12.75" customHeight="1">
      <c r="H206" s="52"/>
      <c r="I206" s="52"/>
      <c r="J206" s="52"/>
      <c r="U206" s="6"/>
      <c r="V206" s="6"/>
      <c r="W206" s="6"/>
      <c r="X206" s="6"/>
      <c r="Y206" s="6"/>
      <c r="Z206" s="6"/>
    </row>
    <row r="207" ht="12.75" customHeight="1">
      <c r="H207" s="52"/>
      <c r="I207" s="52"/>
      <c r="J207" s="52"/>
      <c r="U207" s="6"/>
      <c r="V207" s="6"/>
      <c r="W207" s="6"/>
      <c r="X207" s="6"/>
      <c r="Y207" s="6"/>
      <c r="Z207" s="6"/>
    </row>
    <row r="208" ht="12.75" customHeight="1">
      <c r="H208" s="52"/>
      <c r="I208" s="52"/>
      <c r="J208" s="52"/>
      <c r="U208" s="6"/>
      <c r="V208" s="6"/>
      <c r="W208" s="6"/>
      <c r="X208" s="6"/>
      <c r="Y208" s="6"/>
      <c r="Z208" s="6"/>
    </row>
    <row r="209" ht="12.75" customHeight="1">
      <c r="H209" s="52"/>
      <c r="I209" s="52"/>
      <c r="J209" s="52"/>
      <c r="U209" s="6"/>
      <c r="V209" s="6"/>
      <c r="W209" s="6"/>
      <c r="X209" s="6"/>
      <c r="Y209" s="6"/>
      <c r="Z209" s="6"/>
    </row>
    <row r="210" ht="12.75" customHeight="1">
      <c r="H210" s="52"/>
      <c r="I210" s="52"/>
      <c r="J210" s="52"/>
      <c r="U210" s="6"/>
      <c r="V210" s="6"/>
      <c r="W210" s="6"/>
      <c r="X210" s="6"/>
      <c r="Y210" s="6"/>
      <c r="Z210" s="6"/>
    </row>
    <row r="211" ht="12.75" customHeight="1">
      <c r="H211" s="52"/>
      <c r="I211" s="52"/>
      <c r="J211" s="52"/>
      <c r="U211" s="6"/>
      <c r="V211" s="6"/>
      <c r="W211" s="6"/>
      <c r="X211" s="6"/>
      <c r="Y211" s="6"/>
      <c r="Z211" s="6"/>
    </row>
    <row r="212" ht="12.75" customHeight="1">
      <c r="H212" s="52"/>
      <c r="I212" s="52"/>
      <c r="J212" s="52"/>
      <c r="U212" s="6"/>
      <c r="V212" s="6"/>
      <c r="W212" s="6"/>
      <c r="X212" s="6"/>
      <c r="Y212" s="6"/>
      <c r="Z212" s="6"/>
    </row>
    <row r="213" ht="12.75" customHeight="1">
      <c r="H213" s="52"/>
      <c r="I213" s="52"/>
      <c r="J213" s="52"/>
      <c r="U213" s="6"/>
      <c r="V213" s="6"/>
      <c r="W213" s="6"/>
      <c r="X213" s="6"/>
      <c r="Y213" s="6"/>
      <c r="Z213" s="6"/>
    </row>
    <row r="214" ht="12.75" customHeight="1">
      <c r="H214" s="52"/>
      <c r="I214" s="52"/>
      <c r="J214" s="52"/>
      <c r="U214" s="6"/>
      <c r="V214" s="6"/>
      <c r="W214" s="6"/>
      <c r="X214" s="6"/>
      <c r="Y214" s="6"/>
      <c r="Z214" s="6"/>
    </row>
    <row r="215" ht="12.75" customHeight="1">
      <c r="H215" s="52"/>
      <c r="I215" s="52"/>
      <c r="J215" s="52"/>
      <c r="U215" s="6"/>
      <c r="V215" s="6"/>
      <c r="W215" s="6"/>
      <c r="X215" s="6"/>
      <c r="Y215" s="6"/>
      <c r="Z215" s="6"/>
    </row>
    <row r="216" ht="12.75" customHeight="1">
      <c r="H216" s="52"/>
      <c r="I216" s="52"/>
      <c r="J216" s="52"/>
      <c r="U216" s="6"/>
      <c r="V216" s="6"/>
      <c r="W216" s="6"/>
      <c r="X216" s="6"/>
      <c r="Y216" s="6"/>
      <c r="Z216" s="6"/>
    </row>
    <row r="217" ht="12.75" customHeight="1">
      <c r="H217" s="52"/>
      <c r="I217" s="52"/>
      <c r="J217" s="52"/>
      <c r="U217" s="6"/>
      <c r="V217" s="6"/>
      <c r="W217" s="6"/>
      <c r="X217" s="6"/>
      <c r="Y217" s="6"/>
      <c r="Z217" s="6"/>
    </row>
    <row r="218" ht="12.75" customHeight="1">
      <c r="H218" s="52"/>
      <c r="I218" s="52"/>
      <c r="J218" s="52"/>
      <c r="U218" s="6"/>
      <c r="V218" s="6"/>
      <c r="W218" s="6"/>
      <c r="X218" s="6"/>
      <c r="Y218" s="6"/>
      <c r="Z218" s="6"/>
    </row>
    <row r="219" ht="12.75" customHeight="1">
      <c r="H219" s="52"/>
      <c r="I219" s="52"/>
      <c r="J219" s="52"/>
      <c r="U219" s="6"/>
      <c r="V219" s="6"/>
      <c r="W219" s="6"/>
      <c r="X219" s="6"/>
      <c r="Y219" s="6"/>
      <c r="Z219" s="6"/>
    </row>
    <row r="220" ht="12.75" customHeight="1">
      <c r="H220" s="52"/>
      <c r="I220" s="52"/>
      <c r="J220" s="52"/>
      <c r="U220" s="6"/>
      <c r="V220" s="6"/>
      <c r="W220" s="6"/>
      <c r="X220" s="6"/>
      <c r="Y220" s="6"/>
      <c r="Z220" s="6"/>
    </row>
    <row r="221" ht="12.75" customHeight="1">
      <c r="H221" s="52"/>
      <c r="I221" s="52"/>
      <c r="J221" s="52"/>
      <c r="U221" s="6"/>
      <c r="V221" s="6"/>
      <c r="W221" s="6"/>
      <c r="X221" s="6"/>
      <c r="Y221" s="6"/>
      <c r="Z221" s="6"/>
    </row>
    <row r="222" ht="12.75" customHeight="1">
      <c r="H222" s="52"/>
      <c r="I222" s="52"/>
      <c r="J222" s="52"/>
      <c r="U222" s="6"/>
      <c r="V222" s="6"/>
      <c r="W222" s="6"/>
      <c r="X222" s="6"/>
      <c r="Y222" s="6"/>
      <c r="Z222" s="6"/>
    </row>
    <row r="223" ht="12.75" customHeight="1">
      <c r="H223" s="52"/>
      <c r="I223" s="52"/>
      <c r="J223" s="52"/>
      <c r="U223" s="6"/>
      <c r="V223" s="6"/>
      <c r="W223" s="6"/>
      <c r="X223" s="6"/>
      <c r="Y223" s="6"/>
      <c r="Z223" s="6"/>
    </row>
    <row r="224" ht="12.75" customHeight="1">
      <c r="H224" s="52"/>
      <c r="I224" s="52"/>
      <c r="J224" s="52"/>
      <c r="U224" s="6"/>
      <c r="V224" s="6"/>
      <c r="W224" s="6"/>
      <c r="X224" s="6"/>
      <c r="Y224" s="6"/>
      <c r="Z224" s="6"/>
    </row>
    <row r="225" ht="12.75" customHeight="1">
      <c r="H225" s="52"/>
      <c r="I225" s="52"/>
      <c r="J225" s="52"/>
      <c r="U225" s="6"/>
      <c r="V225" s="6"/>
      <c r="W225" s="6"/>
      <c r="X225" s="6"/>
      <c r="Y225" s="6"/>
      <c r="Z225" s="6"/>
    </row>
    <row r="226" ht="12.75" customHeight="1">
      <c r="H226" s="52"/>
      <c r="I226" s="52"/>
      <c r="J226" s="52"/>
      <c r="U226" s="6"/>
      <c r="V226" s="6"/>
      <c r="W226" s="6"/>
      <c r="X226" s="6"/>
      <c r="Y226" s="6"/>
      <c r="Z226" s="6"/>
    </row>
    <row r="227" ht="12.75" customHeight="1">
      <c r="H227" s="52"/>
      <c r="I227" s="52"/>
      <c r="J227" s="52"/>
      <c r="U227" s="6"/>
      <c r="V227" s="6"/>
      <c r="W227" s="6"/>
      <c r="X227" s="6"/>
      <c r="Y227" s="6"/>
      <c r="Z227" s="6"/>
    </row>
    <row r="228" ht="12.75" customHeight="1">
      <c r="H228" s="52"/>
      <c r="I228" s="52"/>
      <c r="J228" s="52"/>
      <c r="U228" s="6"/>
      <c r="V228" s="6"/>
      <c r="W228" s="6"/>
      <c r="X228" s="6"/>
      <c r="Y228" s="6"/>
      <c r="Z228" s="6"/>
    </row>
    <row r="229" ht="12.75" customHeight="1">
      <c r="H229" s="52"/>
      <c r="I229" s="52"/>
      <c r="J229" s="52"/>
      <c r="U229" s="6"/>
      <c r="V229" s="6"/>
      <c r="W229" s="6"/>
      <c r="X229" s="6"/>
      <c r="Y229" s="6"/>
      <c r="Z229" s="6"/>
    </row>
    <row r="230" ht="12.75" customHeight="1">
      <c r="H230" s="52"/>
      <c r="I230" s="52"/>
      <c r="J230" s="52"/>
      <c r="U230" s="6"/>
      <c r="V230" s="6"/>
      <c r="W230" s="6"/>
      <c r="X230" s="6"/>
      <c r="Y230" s="6"/>
      <c r="Z230" s="6"/>
    </row>
    <row r="231" ht="12.75" customHeight="1">
      <c r="H231" s="52"/>
      <c r="I231" s="52"/>
      <c r="J231" s="52"/>
      <c r="U231" s="6"/>
      <c r="V231" s="6"/>
      <c r="W231" s="6"/>
      <c r="X231" s="6"/>
      <c r="Y231" s="6"/>
      <c r="Z231" s="6"/>
    </row>
    <row r="232" ht="12.75" customHeight="1">
      <c r="H232" s="52"/>
      <c r="I232" s="52"/>
      <c r="J232" s="52"/>
      <c r="U232" s="6"/>
      <c r="V232" s="6"/>
      <c r="W232" s="6"/>
      <c r="X232" s="6"/>
      <c r="Y232" s="6"/>
      <c r="Z232" s="6"/>
    </row>
    <row r="233" ht="12.75" customHeight="1">
      <c r="H233" s="52"/>
      <c r="I233" s="52"/>
      <c r="J233" s="52"/>
      <c r="U233" s="6"/>
      <c r="V233" s="6"/>
      <c r="W233" s="6"/>
      <c r="X233" s="6"/>
      <c r="Y233" s="6"/>
      <c r="Z233" s="6"/>
    </row>
    <row r="234" ht="12.75" customHeight="1">
      <c r="H234" s="52"/>
      <c r="I234" s="52"/>
      <c r="J234" s="52"/>
      <c r="U234" s="6"/>
      <c r="V234" s="6"/>
      <c r="W234" s="6"/>
      <c r="X234" s="6"/>
      <c r="Y234" s="6"/>
      <c r="Z234" s="6"/>
    </row>
    <row r="235" ht="12.75" customHeight="1">
      <c r="H235" s="52"/>
      <c r="I235" s="52"/>
      <c r="J235" s="52"/>
      <c r="U235" s="6"/>
      <c r="V235" s="6"/>
      <c r="W235" s="6"/>
      <c r="X235" s="6"/>
      <c r="Y235" s="6"/>
      <c r="Z235" s="6"/>
    </row>
    <row r="236" ht="12.75" customHeight="1">
      <c r="H236" s="52"/>
      <c r="I236" s="52"/>
      <c r="J236" s="52"/>
      <c r="U236" s="6"/>
      <c r="V236" s="6"/>
      <c r="W236" s="6"/>
      <c r="X236" s="6"/>
      <c r="Y236" s="6"/>
      <c r="Z236" s="6"/>
    </row>
    <row r="237" ht="12.75" customHeight="1">
      <c r="H237" s="52"/>
      <c r="I237" s="52"/>
      <c r="J237" s="52"/>
      <c r="U237" s="6"/>
      <c r="V237" s="6"/>
      <c r="W237" s="6"/>
      <c r="X237" s="6"/>
      <c r="Y237" s="6"/>
      <c r="Z237" s="6"/>
    </row>
    <row r="238" ht="12.75" customHeight="1">
      <c r="H238" s="52"/>
      <c r="I238" s="52"/>
      <c r="J238" s="52"/>
      <c r="U238" s="6"/>
      <c r="V238" s="6"/>
      <c r="W238" s="6"/>
      <c r="X238" s="6"/>
      <c r="Y238" s="6"/>
      <c r="Z238" s="6"/>
    </row>
    <row r="239" ht="12.75" customHeight="1">
      <c r="H239" s="52"/>
      <c r="I239" s="52"/>
      <c r="J239" s="52"/>
      <c r="U239" s="6"/>
      <c r="V239" s="6"/>
      <c r="W239" s="6"/>
      <c r="X239" s="6"/>
      <c r="Y239" s="6"/>
      <c r="Z239" s="6"/>
    </row>
    <row r="240" ht="12.75" customHeight="1">
      <c r="H240" s="52"/>
      <c r="I240" s="52"/>
      <c r="J240" s="52"/>
      <c r="U240" s="6"/>
      <c r="V240" s="6"/>
      <c r="W240" s="6"/>
      <c r="X240" s="6"/>
      <c r="Y240" s="6"/>
      <c r="Z240" s="6"/>
    </row>
    <row r="241" ht="12.75" customHeight="1">
      <c r="H241" s="52"/>
      <c r="I241" s="52"/>
      <c r="J241" s="52"/>
      <c r="U241" s="6"/>
      <c r="V241" s="6"/>
      <c r="W241" s="6"/>
      <c r="X241" s="6"/>
      <c r="Y241" s="6"/>
      <c r="Z241" s="6"/>
    </row>
    <row r="242" ht="12.75" customHeight="1">
      <c r="H242" s="52"/>
      <c r="I242" s="52"/>
      <c r="J242" s="52"/>
      <c r="U242" s="6"/>
      <c r="V242" s="6"/>
      <c r="W242" s="6"/>
      <c r="X242" s="6"/>
      <c r="Y242" s="6"/>
      <c r="Z242" s="6"/>
    </row>
    <row r="243" ht="12.75" customHeight="1">
      <c r="H243" s="52"/>
      <c r="I243" s="52"/>
      <c r="J243" s="52"/>
      <c r="U243" s="6"/>
      <c r="V243" s="6"/>
      <c r="W243" s="6"/>
      <c r="X243" s="6"/>
      <c r="Y243" s="6"/>
      <c r="Z243" s="6"/>
    </row>
    <row r="244" ht="12.75" customHeight="1">
      <c r="H244" s="52"/>
      <c r="I244" s="52"/>
      <c r="J244" s="52"/>
      <c r="U244" s="6"/>
      <c r="V244" s="6"/>
      <c r="W244" s="6"/>
      <c r="X244" s="6"/>
      <c r="Y244" s="6"/>
      <c r="Z244" s="6"/>
    </row>
    <row r="245" ht="12.75" customHeight="1">
      <c r="H245" s="52"/>
      <c r="I245" s="52"/>
      <c r="J245" s="52"/>
      <c r="U245" s="6"/>
      <c r="V245" s="6"/>
      <c r="W245" s="6"/>
      <c r="X245" s="6"/>
      <c r="Y245" s="6"/>
      <c r="Z245" s="6"/>
    </row>
    <row r="246" ht="12.75" customHeight="1">
      <c r="H246" s="52"/>
      <c r="I246" s="52"/>
      <c r="J246" s="52"/>
      <c r="U246" s="6"/>
      <c r="V246" s="6"/>
      <c r="W246" s="6"/>
      <c r="X246" s="6"/>
      <c r="Y246" s="6"/>
      <c r="Z246" s="6"/>
    </row>
    <row r="247" ht="12.75" customHeight="1">
      <c r="H247" s="52"/>
      <c r="I247" s="52"/>
      <c r="J247" s="52"/>
      <c r="U247" s="6"/>
      <c r="V247" s="6"/>
      <c r="W247" s="6"/>
      <c r="X247" s="6"/>
      <c r="Y247" s="6"/>
      <c r="Z247" s="6"/>
    </row>
    <row r="248" ht="12.75" customHeight="1">
      <c r="H248" s="52"/>
      <c r="I248" s="52"/>
      <c r="J248" s="52"/>
      <c r="U248" s="6"/>
      <c r="V248" s="6"/>
      <c r="W248" s="6"/>
      <c r="X248" s="6"/>
      <c r="Y248" s="6"/>
      <c r="Z248" s="6"/>
    </row>
    <row r="249" ht="12.75" customHeight="1">
      <c r="H249" s="52"/>
      <c r="I249" s="52"/>
      <c r="J249" s="52"/>
      <c r="U249" s="6"/>
      <c r="V249" s="6"/>
      <c r="W249" s="6"/>
      <c r="X249" s="6"/>
      <c r="Y249" s="6"/>
      <c r="Z249" s="6"/>
    </row>
    <row r="250" ht="12.75" customHeight="1">
      <c r="H250" s="52"/>
      <c r="I250" s="52"/>
      <c r="J250" s="52"/>
      <c r="U250" s="6"/>
      <c r="V250" s="6"/>
      <c r="W250" s="6"/>
      <c r="X250" s="6"/>
      <c r="Y250" s="6"/>
      <c r="Z250" s="6"/>
    </row>
    <row r="251" ht="12.75" customHeight="1">
      <c r="H251" s="52"/>
      <c r="I251" s="52"/>
      <c r="J251" s="52"/>
      <c r="U251" s="6"/>
      <c r="V251" s="6"/>
      <c r="W251" s="6"/>
      <c r="X251" s="6"/>
      <c r="Y251" s="6"/>
      <c r="Z251" s="6"/>
    </row>
    <row r="252" ht="12.75" customHeight="1">
      <c r="H252" s="52"/>
      <c r="I252" s="52"/>
      <c r="J252" s="52"/>
      <c r="U252" s="6"/>
      <c r="V252" s="6"/>
      <c r="W252" s="6"/>
      <c r="X252" s="6"/>
      <c r="Y252" s="6"/>
      <c r="Z252" s="6"/>
    </row>
    <row r="253" ht="12.75" customHeight="1">
      <c r="H253" s="52"/>
      <c r="I253" s="52"/>
      <c r="J253" s="52"/>
      <c r="U253" s="6"/>
      <c r="V253" s="6"/>
      <c r="W253" s="6"/>
      <c r="X253" s="6"/>
      <c r="Y253" s="6"/>
      <c r="Z253" s="6"/>
    </row>
    <row r="254" ht="12.75" customHeight="1">
      <c r="H254" s="52"/>
      <c r="I254" s="52"/>
      <c r="J254" s="52"/>
      <c r="U254" s="6"/>
      <c r="V254" s="6"/>
      <c r="W254" s="6"/>
      <c r="X254" s="6"/>
      <c r="Y254" s="6"/>
      <c r="Z254" s="6"/>
    </row>
    <row r="255" ht="12.75" customHeight="1">
      <c r="H255" s="52"/>
      <c r="I255" s="52"/>
      <c r="J255" s="52"/>
      <c r="U255" s="6"/>
      <c r="V255" s="6"/>
      <c r="W255" s="6"/>
      <c r="X255" s="6"/>
      <c r="Y255" s="6"/>
      <c r="Z255" s="6"/>
    </row>
    <row r="256" ht="12.75" customHeight="1">
      <c r="H256" s="52"/>
      <c r="I256" s="52"/>
      <c r="J256" s="52"/>
      <c r="U256" s="6"/>
      <c r="V256" s="6"/>
      <c r="W256" s="6"/>
      <c r="X256" s="6"/>
      <c r="Y256" s="6"/>
      <c r="Z256" s="6"/>
    </row>
    <row r="257" ht="12.75" customHeight="1">
      <c r="H257" s="52"/>
      <c r="I257" s="52"/>
      <c r="J257" s="52"/>
      <c r="U257" s="6"/>
      <c r="V257" s="6"/>
      <c r="W257" s="6"/>
      <c r="X257" s="6"/>
      <c r="Y257" s="6"/>
      <c r="Z257" s="6"/>
    </row>
    <row r="258" ht="12.75" customHeight="1">
      <c r="H258" s="52"/>
      <c r="I258" s="52"/>
      <c r="J258" s="52"/>
      <c r="U258" s="6"/>
      <c r="V258" s="6"/>
      <c r="W258" s="6"/>
      <c r="X258" s="6"/>
      <c r="Y258" s="6"/>
      <c r="Z258" s="6"/>
    </row>
    <row r="259" ht="12.75" customHeight="1">
      <c r="H259" s="52"/>
      <c r="I259" s="52"/>
      <c r="J259" s="52"/>
      <c r="U259" s="6"/>
      <c r="V259" s="6"/>
      <c r="W259" s="6"/>
      <c r="X259" s="6"/>
      <c r="Y259" s="6"/>
      <c r="Z259" s="6"/>
    </row>
    <row r="260" ht="12.75" customHeight="1">
      <c r="H260" s="52"/>
      <c r="I260" s="52"/>
      <c r="J260" s="52"/>
      <c r="U260" s="6"/>
      <c r="V260" s="6"/>
      <c r="W260" s="6"/>
      <c r="X260" s="6"/>
      <c r="Y260" s="6"/>
      <c r="Z260" s="6"/>
    </row>
    <row r="261" ht="12.75" customHeight="1">
      <c r="H261" s="52"/>
      <c r="I261" s="52"/>
      <c r="J261" s="52"/>
      <c r="U261" s="6"/>
      <c r="V261" s="6"/>
      <c r="W261" s="6"/>
      <c r="X261" s="6"/>
      <c r="Y261" s="6"/>
      <c r="Z261" s="6"/>
    </row>
    <row r="262" ht="12.75" customHeight="1">
      <c r="H262" s="52"/>
      <c r="I262" s="52"/>
      <c r="J262" s="52"/>
      <c r="U262" s="6"/>
      <c r="V262" s="6"/>
      <c r="W262" s="6"/>
      <c r="X262" s="6"/>
      <c r="Y262" s="6"/>
      <c r="Z262" s="6"/>
    </row>
    <row r="263" ht="12.75" customHeight="1">
      <c r="H263" s="52"/>
      <c r="I263" s="52"/>
      <c r="J263" s="52"/>
      <c r="U263" s="6"/>
      <c r="V263" s="6"/>
      <c r="W263" s="6"/>
      <c r="X263" s="6"/>
      <c r="Y263" s="6"/>
      <c r="Z263" s="6"/>
    </row>
    <row r="264" ht="12.75" customHeight="1">
      <c r="H264" s="52"/>
      <c r="I264" s="52"/>
      <c r="J264" s="52"/>
      <c r="U264" s="6"/>
      <c r="V264" s="6"/>
      <c r="W264" s="6"/>
      <c r="X264" s="6"/>
      <c r="Y264" s="6"/>
      <c r="Z264" s="6"/>
    </row>
    <row r="265" ht="12.75" customHeight="1">
      <c r="H265" s="52"/>
      <c r="I265" s="52"/>
      <c r="J265" s="52"/>
      <c r="U265" s="6"/>
      <c r="V265" s="6"/>
      <c r="W265" s="6"/>
      <c r="X265" s="6"/>
      <c r="Y265" s="6"/>
      <c r="Z265" s="6"/>
    </row>
    <row r="266" ht="12.75" customHeight="1">
      <c r="H266" s="52"/>
      <c r="I266" s="52"/>
      <c r="J266" s="52"/>
      <c r="U266" s="6"/>
      <c r="V266" s="6"/>
      <c r="W266" s="6"/>
      <c r="X266" s="6"/>
      <c r="Y266" s="6"/>
      <c r="Z266" s="6"/>
    </row>
    <row r="267" ht="12.75" customHeight="1">
      <c r="H267" s="52"/>
      <c r="I267" s="52"/>
      <c r="J267" s="52"/>
      <c r="U267" s="6"/>
      <c r="V267" s="6"/>
      <c r="W267" s="6"/>
      <c r="X267" s="6"/>
      <c r="Y267" s="6"/>
      <c r="Z267" s="6"/>
    </row>
    <row r="268" ht="12.75" customHeight="1">
      <c r="H268" s="52"/>
      <c r="I268" s="52"/>
      <c r="J268" s="52"/>
      <c r="U268" s="6"/>
      <c r="V268" s="6"/>
      <c r="W268" s="6"/>
      <c r="X268" s="6"/>
      <c r="Y268" s="6"/>
      <c r="Z268" s="6"/>
    </row>
    <row r="269" ht="12.75" customHeight="1">
      <c r="H269" s="52"/>
      <c r="I269" s="52"/>
      <c r="J269" s="52"/>
      <c r="U269" s="6"/>
      <c r="V269" s="6"/>
      <c r="W269" s="6"/>
      <c r="X269" s="6"/>
      <c r="Y269" s="6"/>
      <c r="Z269" s="6"/>
    </row>
    <row r="270" ht="12.75" customHeight="1">
      <c r="H270" s="52"/>
      <c r="I270" s="52"/>
      <c r="J270" s="52"/>
      <c r="U270" s="6"/>
      <c r="V270" s="6"/>
      <c r="W270" s="6"/>
      <c r="X270" s="6"/>
      <c r="Y270" s="6"/>
      <c r="Z270" s="6"/>
    </row>
    <row r="271" ht="12.75" customHeight="1">
      <c r="H271" s="52"/>
      <c r="I271" s="52"/>
      <c r="J271" s="52"/>
      <c r="U271" s="6"/>
      <c r="V271" s="6"/>
      <c r="W271" s="6"/>
      <c r="X271" s="6"/>
      <c r="Y271" s="6"/>
      <c r="Z271" s="6"/>
    </row>
    <row r="272" ht="12.75" customHeight="1">
      <c r="H272" s="52"/>
      <c r="I272" s="52"/>
      <c r="J272" s="52"/>
      <c r="U272" s="6"/>
      <c r="V272" s="6"/>
      <c r="W272" s="6"/>
      <c r="X272" s="6"/>
      <c r="Y272" s="6"/>
      <c r="Z272" s="6"/>
    </row>
    <row r="273" ht="12.75" customHeight="1">
      <c r="H273" s="52"/>
      <c r="I273" s="52"/>
      <c r="J273" s="52"/>
      <c r="U273" s="6"/>
      <c r="V273" s="6"/>
      <c r="W273" s="6"/>
      <c r="X273" s="6"/>
      <c r="Y273" s="6"/>
      <c r="Z273" s="6"/>
    </row>
    <row r="274" ht="12.75" customHeight="1">
      <c r="H274" s="52"/>
      <c r="I274" s="52"/>
      <c r="J274" s="52"/>
      <c r="U274" s="6"/>
      <c r="V274" s="6"/>
      <c r="W274" s="6"/>
      <c r="X274" s="6"/>
      <c r="Y274" s="6"/>
      <c r="Z274" s="6"/>
    </row>
    <row r="275" ht="12.75" customHeight="1">
      <c r="H275" s="52"/>
      <c r="I275" s="52"/>
      <c r="J275" s="52"/>
      <c r="U275" s="6"/>
      <c r="V275" s="6"/>
      <c r="W275" s="6"/>
      <c r="X275" s="6"/>
      <c r="Y275" s="6"/>
      <c r="Z275" s="6"/>
    </row>
    <row r="276" ht="12.75" customHeight="1">
      <c r="H276" s="52"/>
      <c r="I276" s="52"/>
      <c r="J276" s="52"/>
      <c r="U276" s="6"/>
      <c r="V276" s="6"/>
      <c r="W276" s="6"/>
      <c r="X276" s="6"/>
      <c r="Y276" s="6"/>
      <c r="Z276" s="6"/>
    </row>
    <row r="277" ht="12.75" customHeight="1">
      <c r="H277" s="52"/>
      <c r="I277" s="52"/>
      <c r="J277" s="52"/>
      <c r="U277" s="6"/>
      <c r="V277" s="6"/>
      <c r="W277" s="6"/>
      <c r="X277" s="6"/>
      <c r="Y277" s="6"/>
      <c r="Z277" s="6"/>
    </row>
    <row r="278" ht="12.75" customHeight="1">
      <c r="H278" s="52"/>
      <c r="I278" s="52"/>
      <c r="J278" s="52"/>
      <c r="U278" s="6"/>
      <c r="V278" s="6"/>
      <c r="W278" s="6"/>
      <c r="X278" s="6"/>
      <c r="Y278" s="6"/>
      <c r="Z278" s="6"/>
    </row>
    <row r="279" ht="12.75" customHeight="1">
      <c r="H279" s="52"/>
      <c r="I279" s="52"/>
      <c r="J279" s="52"/>
      <c r="U279" s="6"/>
      <c r="V279" s="6"/>
      <c r="W279" s="6"/>
      <c r="X279" s="6"/>
      <c r="Y279" s="6"/>
      <c r="Z279" s="6"/>
    </row>
    <row r="280" ht="12.75" customHeight="1">
      <c r="H280" s="52"/>
      <c r="I280" s="52"/>
      <c r="J280" s="52"/>
      <c r="U280" s="6"/>
      <c r="V280" s="6"/>
      <c r="W280" s="6"/>
      <c r="X280" s="6"/>
      <c r="Y280" s="6"/>
      <c r="Z280" s="6"/>
    </row>
    <row r="281" ht="12.75" customHeight="1">
      <c r="H281" s="52"/>
      <c r="I281" s="52"/>
      <c r="J281" s="52"/>
      <c r="U281" s="6"/>
      <c r="V281" s="6"/>
      <c r="W281" s="6"/>
      <c r="X281" s="6"/>
      <c r="Y281" s="6"/>
      <c r="Z281" s="6"/>
    </row>
    <row r="282" ht="12.75" customHeight="1">
      <c r="H282" s="52"/>
      <c r="I282" s="52"/>
      <c r="J282" s="52"/>
      <c r="U282" s="6"/>
      <c r="V282" s="6"/>
      <c r="W282" s="6"/>
      <c r="X282" s="6"/>
      <c r="Y282" s="6"/>
      <c r="Z282" s="6"/>
    </row>
    <row r="283" ht="12.75" customHeight="1">
      <c r="H283" s="52"/>
      <c r="I283" s="52"/>
      <c r="J283" s="52"/>
      <c r="U283" s="6"/>
      <c r="V283" s="6"/>
      <c r="W283" s="6"/>
      <c r="X283" s="6"/>
      <c r="Y283" s="6"/>
      <c r="Z283" s="6"/>
    </row>
    <row r="284" ht="12.75" customHeight="1">
      <c r="H284" s="52"/>
      <c r="I284" s="52"/>
      <c r="J284" s="52"/>
      <c r="U284" s="6"/>
      <c r="V284" s="6"/>
      <c r="W284" s="6"/>
      <c r="X284" s="6"/>
      <c r="Y284" s="6"/>
      <c r="Z284" s="6"/>
    </row>
    <row r="285" ht="12.75" customHeight="1">
      <c r="H285" s="52"/>
      <c r="I285" s="52"/>
      <c r="J285" s="52"/>
      <c r="U285" s="6"/>
      <c r="V285" s="6"/>
      <c r="W285" s="6"/>
      <c r="X285" s="6"/>
      <c r="Y285" s="6"/>
      <c r="Z285" s="6"/>
    </row>
    <row r="286" ht="12.75" customHeight="1">
      <c r="H286" s="52"/>
      <c r="I286" s="52"/>
      <c r="J286" s="52"/>
      <c r="U286" s="6"/>
      <c r="V286" s="6"/>
      <c r="W286" s="6"/>
      <c r="X286" s="6"/>
      <c r="Y286" s="6"/>
      <c r="Z286" s="6"/>
    </row>
    <row r="287" ht="12.75" customHeight="1">
      <c r="H287" s="52"/>
      <c r="I287" s="52"/>
      <c r="J287" s="52"/>
      <c r="U287" s="6"/>
      <c r="V287" s="6"/>
      <c r="W287" s="6"/>
      <c r="X287" s="6"/>
      <c r="Y287" s="6"/>
      <c r="Z287" s="6"/>
    </row>
    <row r="288" ht="12.75" customHeight="1">
      <c r="H288" s="52"/>
      <c r="I288" s="52"/>
      <c r="J288" s="52"/>
      <c r="U288" s="6"/>
      <c r="V288" s="6"/>
      <c r="W288" s="6"/>
      <c r="X288" s="6"/>
      <c r="Y288" s="6"/>
      <c r="Z288" s="6"/>
    </row>
    <row r="289" ht="12.75" customHeight="1">
      <c r="H289" s="52"/>
      <c r="I289" s="52"/>
      <c r="J289" s="52"/>
      <c r="U289" s="6"/>
      <c r="V289" s="6"/>
      <c r="W289" s="6"/>
      <c r="X289" s="6"/>
      <c r="Y289" s="6"/>
      <c r="Z289" s="6"/>
    </row>
    <row r="290" ht="12.75" customHeight="1">
      <c r="H290" s="52"/>
      <c r="I290" s="52"/>
      <c r="J290" s="52"/>
      <c r="U290" s="6"/>
      <c r="V290" s="6"/>
      <c r="W290" s="6"/>
      <c r="X290" s="6"/>
      <c r="Y290" s="6"/>
      <c r="Z290" s="6"/>
    </row>
    <row r="291" ht="12.75" customHeight="1">
      <c r="H291" s="52"/>
      <c r="I291" s="52"/>
      <c r="J291" s="52"/>
      <c r="U291" s="6"/>
      <c r="V291" s="6"/>
      <c r="W291" s="6"/>
      <c r="X291" s="6"/>
      <c r="Y291" s="6"/>
      <c r="Z291" s="6"/>
    </row>
    <row r="292" ht="12.75" customHeight="1">
      <c r="H292" s="52"/>
      <c r="I292" s="52"/>
      <c r="J292" s="52"/>
      <c r="U292" s="6"/>
      <c r="V292" s="6"/>
      <c r="W292" s="6"/>
      <c r="X292" s="6"/>
      <c r="Y292" s="6"/>
      <c r="Z292" s="6"/>
    </row>
    <row r="293" ht="12.75" customHeight="1">
      <c r="H293" s="52"/>
      <c r="I293" s="52"/>
      <c r="J293" s="52"/>
      <c r="U293" s="6"/>
      <c r="V293" s="6"/>
      <c r="W293" s="6"/>
      <c r="X293" s="6"/>
      <c r="Y293" s="6"/>
      <c r="Z293" s="6"/>
    </row>
    <row r="294" ht="12.75" customHeight="1">
      <c r="H294" s="52"/>
      <c r="I294" s="52"/>
      <c r="J294" s="52"/>
      <c r="U294" s="6"/>
      <c r="V294" s="6"/>
      <c r="W294" s="6"/>
      <c r="X294" s="6"/>
      <c r="Y294" s="6"/>
      <c r="Z294" s="6"/>
    </row>
    <row r="295" ht="12.75" customHeight="1">
      <c r="H295" s="52"/>
      <c r="I295" s="52"/>
      <c r="J295" s="52"/>
      <c r="U295" s="6"/>
      <c r="V295" s="6"/>
      <c r="W295" s="6"/>
      <c r="X295" s="6"/>
      <c r="Y295" s="6"/>
      <c r="Z295" s="6"/>
    </row>
    <row r="296" ht="12.75" customHeight="1">
      <c r="H296" s="52"/>
      <c r="I296" s="52"/>
      <c r="J296" s="52"/>
      <c r="U296" s="6"/>
      <c r="V296" s="6"/>
      <c r="W296" s="6"/>
      <c r="X296" s="6"/>
      <c r="Y296" s="6"/>
      <c r="Z296" s="6"/>
    </row>
    <row r="297" ht="12.75" customHeight="1">
      <c r="H297" s="52"/>
      <c r="I297" s="52"/>
      <c r="J297" s="52"/>
      <c r="U297" s="6"/>
      <c r="V297" s="6"/>
      <c r="W297" s="6"/>
      <c r="X297" s="6"/>
      <c r="Y297" s="6"/>
      <c r="Z297" s="6"/>
    </row>
    <row r="298" ht="12.75" customHeight="1">
      <c r="H298" s="52"/>
      <c r="I298" s="52"/>
      <c r="J298" s="52"/>
      <c r="U298" s="6"/>
      <c r="V298" s="6"/>
      <c r="W298" s="6"/>
      <c r="X298" s="6"/>
      <c r="Y298" s="6"/>
      <c r="Z298" s="6"/>
    </row>
  </sheetData>
  <mergeCells count="16">
    <mergeCell ref="B12:F12"/>
    <mergeCell ref="B20:F20"/>
    <mergeCell ref="B44:F44"/>
    <mergeCell ref="B28:F28"/>
    <mergeCell ref="B36:F36"/>
    <mergeCell ref="B2:F2"/>
    <mergeCell ref="B4:F4"/>
    <mergeCell ref="B60:F60"/>
    <mergeCell ref="B52:F52"/>
    <mergeCell ref="K2:R2"/>
    <mergeCell ref="H2:I2"/>
    <mergeCell ref="B68:F68"/>
    <mergeCell ref="B84:F84"/>
    <mergeCell ref="B92:F92"/>
    <mergeCell ref="B76:F76"/>
    <mergeCell ref="G4:G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43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6"/>
      <c r="Z1" s="7"/>
      <c r="AA1" s="7"/>
      <c r="AB1" s="7"/>
      <c r="AC1" s="7"/>
      <c r="AD1" s="7"/>
      <c r="AE1" s="7"/>
      <c r="AF1" s="7"/>
      <c r="AG1" s="7"/>
      <c r="AH1" s="7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241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8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2.0</v>
      </c>
      <c r="D5" s="19" t="s">
        <v>31</v>
      </c>
      <c r="E5" s="23">
        <v>0.0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4</v>
      </c>
      <c r="Y5" s="33" t="str">
        <f>IF(AND(ISNUMBER(RESULTADOS!C5),ISNUMBER(RESULTADOS!E5),ISNUMBER(C5),ISNUMBER(E5),C5=RESULTADOS!C5,E5=RESULTADOS!E5),2,0)</f>
        <v>2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1.0</v>
      </c>
      <c r="D6" s="19" t="s">
        <v>31</v>
      </c>
      <c r="E6" s="23">
        <v>0.0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3</v>
      </c>
      <c r="M6" s="19" t="str">
        <f t="shared" ref="M6:M9" si="5">N6-O6</f>
        <v>-1</v>
      </c>
      <c r="N6" s="19" t="str">
        <f t="shared" ref="N6:N9" si="6">SUM(INDIRECT($AC6),INDIRECT($AD6),INDIRECT($AE6))</f>
        <v>3</v>
      </c>
      <c r="O6" s="19" t="str">
        <f t="shared" ref="O6:O9" si="7">SUM(INDIRECT($AF6),INDIRECT($AG6),INDIRECT($AH6))</f>
        <v>4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0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2</v>
      </c>
      <c r="S6" s="31"/>
      <c r="T6" s="32" t="str">
        <f t="shared" si="1"/>
        <v/>
      </c>
      <c r="U6" s="19" t="str">
        <f t="shared" si="2"/>
        <v>2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1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1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1.0</v>
      </c>
      <c r="D7" s="19" t="s">
        <v>31</v>
      </c>
      <c r="E7" s="23">
        <v>1.0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9</v>
      </c>
      <c r="M7" s="19" t="str">
        <f t="shared" si="5"/>
        <v>6</v>
      </c>
      <c r="N7" s="19" t="str">
        <f t="shared" si="6"/>
        <v>7</v>
      </c>
      <c r="O7" s="19" t="str">
        <f t="shared" si="7"/>
        <v>1</v>
      </c>
      <c r="P7" s="19" t="str">
        <f t="shared" si="8"/>
        <v>3</v>
      </c>
      <c r="Q7" s="19" t="str">
        <f t="shared" si="9"/>
        <v>0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2.0</v>
      </c>
      <c r="D8" s="19" t="s">
        <v>31</v>
      </c>
      <c r="E8" s="23">
        <v>1.0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1</v>
      </c>
      <c r="M8" s="19" t="str">
        <f t="shared" si="5"/>
        <v>-4</v>
      </c>
      <c r="N8" s="19" t="str">
        <f t="shared" si="6"/>
        <v>1</v>
      </c>
      <c r="O8" s="19" t="str">
        <f t="shared" si="7"/>
        <v>5</v>
      </c>
      <c r="P8" s="19" t="str">
        <f t="shared" si="8"/>
        <v>0</v>
      </c>
      <c r="Q8" s="19" t="str">
        <f t="shared" si="9"/>
        <v>1</v>
      </c>
      <c r="R8" s="36" t="str">
        <f t="shared" si="10"/>
        <v>2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2.0</v>
      </c>
      <c r="D9" s="19" t="s">
        <v>31</v>
      </c>
      <c r="E9" s="23">
        <v>1.0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4</v>
      </c>
      <c r="M9" s="38" t="str">
        <f t="shared" si="5"/>
        <v>-1</v>
      </c>
      <c r="N9" s="38" t="str">
        <f t="shared" si="6"/>
        <v>3</v>
      </c>
      <c r="O9" s="38" t="str">
        <f t="shared" si="7"/>
        <v>4</v>
      </c>
      <c r="P9" s="38" t="str">
        <f t="shared" si="8"/>
        <v>1</v>
      </c>
      <c r="Q9" s="38" t="str">
        <f t="shared" si="9"/>
        <v>1</v>
      </c>
      <c r="R9" s="39" t="str">
        <f t="shared" si="10"/>
        <v>1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0.0</v>
      </c>
      <c r="D10" s="38" t="s">
        <v>31</v>
      </c>
      <c r="E10" s="42">
        <v>3.0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1.0</v>
      </c>
      <c r="D13" s="19" t="s">
        <v>31</v>
      </c>
      <c r="E13" s="23">
        <v>0.0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1.0</v>
      </c>
      <c r="D14" s="19" t="s">
        <v>31</v>
      </c>
      <c r="E14" s="23">
        <v>3.0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1</v>
      </c>
      <c r="M14" s="19" t="str">
        <f t="shared" ref="M14:M17" si="18">N14-O14</f>
        <v>-2</v>
      </c>
      <c r="N14" s="19" t="str">
        <f t="shared" ref="N14:N17" si="19">SUM(INDIRECT($AC14),INDIRECT($AD14),INDIRECT($AE14))</f>
        <v>1</v>
      </c>
      <c r="O14" s="19" t="str">
        <f t="shared" ref="O14:O17" si="20">SUM(INDIRECT($AF14),INDIRECT($AG14),INDIRECT($AH14))</f>
        <v>3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0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2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0.0</v>
      </c>
      <c r="D15" s="19" t="s">
        <v>31</v>
      </c>
      <c r="E15" s="23">
        <v>0.0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7</v>
      </c>
      <c r="M15" s="19" t="str">
        <f t="shared" si="18"/>
        <v>2</v>
      </c>
      <c r="N15" s="19" t="str">
        <f t="shared" si="19"/>
        <v>5</v>
      </c>
      <c r="O15" s="19" t="str">
        <f t="shared" si="20"/>
        <v>3</v>
      </c>
      <c r="P15" s="19" t="str">
        <f t="shared" si="21"/>
        <v>2</v>
      </c>
      <c r="Q15" s="19" t="str">
        <f t="shared" si="22"/>
        <v>1</v>
      </c>
      <c r="R15" s="36" t="str">
        <f t="shared" si="23"/>
        <v>0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2.0</v>
      </c>
      <c r="D16" s="19" t="s">
        <v>31</v>
      </c>
      <c r="E16" s="23">
        <v>1.0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3</v>
      </c>
      <c r="M16" s="19" t="str">
        <f t="shared" si="18"/>
        <v>-2</v>
      </c>
      <c r="N16" s="19" t="str">
        <f t="shared" si="19"/>
        <v>4</v>
      </c>
      <c r="O16" s="19" t="str">
        <f t="shared" si="20"/>
        <v>6</v>
      </c>
      <c r="P16" s="19" t="str">
        <f t="shared" si="21"/>
        <v>1</v>
      </c>
      <c r="Q16" s="19" t="str">
        <f t="shared" si="22"/>
        <v>0</v>
      </c>
      <c r="R16" s="36" t="str">
        <f t="shared" si="23"/>
        <v>2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2.0</v>
      </c>
      <c r="D17" s="19" t="s">
        <v>31</v>
      </c>
      <c r="E17" s="23">
        <v>2.0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5</v>
      </c>
      <c r="M17" s="38" t="str">
        <f t="shared" si="18"/>
        <v>2</v>
      </c>
      <c r="N17" s="38" t="str">
        <f t="shared" si="19"/>
        <v>5</v>
      </c>
      <c r="O17" s="38" t="str">
        <f t="shared" si="20"/>
        <v>3</v>
      </c>
      <c r="P17" s="38" t="str">
        <f t="shared" si="21"/>
        <v>1</v>
      </c>
      <c r="Q17" s="38" t="str">
        <f t="shared" si="22"/>
        <v>2</v>
      </c>
      <c r="R17" s="39" t="str">
        <f t="shared" si="23"/>
        <v>0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1.0</v>
      </c>
      <c r="D18" s="38" t="s">
        <v>31</v>
      </c>
      <c r="E18" s="42">
        <v>2.0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2.0</v>
      </c>
      <c r="D21" s="19" t="s">
        <v>31</v>
      </c>
      <c r="E21" s="23">
        <v>1.0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2.0</v>
      </c>
      <c r="D22" s="19" t="s">
        <v>31</v>
      </c>
      <c r="E22" s="23">
        <v>1.0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6</v>
      </c>
      <c r="N22" s="19" t="str">
        <f t="shared" ref="N22:N25" si="32">SUM(INDIRECT($AC22),INDIRECT($AD22),INDIRECT($AE22))</f>
        <v>7</v>
      </c>
      <c r="O22" s="19" t="str">
        <f t="shared" ref="O22:O25" si="33">SUM(INDIRECT($AF22),INDIRECT($AG22),INDIRECT($AH22))</f>
        <v>1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0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0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2.0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0</v>
      </c>
      <c r="M23" s="19" t="str">
        <f t="shared" si="31"/>
        <v>-4</v>
      </c>
      <c r="N23" s="19" t="str">
        <f t="shared" si="32"/>
        <v>2</v>
      </c>
      <c r="O23" s="19" t="str">
        <f t="shared" si="33"/>
        <v>6</v>
      </c>
      <c r="P23" s="19" t="str">
        <f t="shared" si="34"/>
        <v>0</v>
      </c>
      <c r="Q23" s="19" t="str">
        <f t="shared" si="35"/>
        <v>0</v>
      </c>
      <c r="R23" s="36" t="str">
        <f t="shared" si="36"/>
        <v>3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3.0</v>
      </c>
      <c r="D24" s="19" t="s">
        <v>31</v>
      </c>
      <c r="E24" s="23">
        <v>0.0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3</v>
      </c>
      <c r="M24" s="19" t="str">
        <f t="shared" si="31"/>
        <v>-4</v>
      </c>
      <c r="N24" s="19" t="str">
        <f t="shared" si="32"/>
        <v>2</v>
      </c>
      <c r="O24" s="19" t="str">
        <f t="shared" si="33"/>
        <v>6</v>
      </c>
      <c r="P24" s="19" t="str">
        <f t="shared" si="34"/>
        <v>1</v>
      </c>
      <c r="Q24" s="19" t="str">
        <f t="shared" si="35"/>
        <v>0</v>
      </c>
      <c r="R24" s="36" t="str">
        <f t="shared" si="36"/>
        <v>2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2.0</v>
      </c>
      <c r="D25" s="19" t="s">
        <v>31</v>
      </c>
      <c r="E25" s="23">
        <v>0.0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2</v>
      </c>
      <c r="N25" s="38" t="str">
        <f t="shared" si="32"/>
        <v>5</v>
      </c>
      <c r="O25" s="38" t="str">
        <f t="shared" si="33"/>
        <v>3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0.0</v>
      </c>
      <c r="D26" s="38" t="s">
        <v>31</v>
      </c>
      <c r="E26" s="42">
        <v>2.0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1.0</v>
      </c>
      <c r="D29" s="19" t="s">
        <v>31</v>
      </c>
      <c r="E29" s="23">
        <v>2.0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0.0</v>
      </c>
      <c r="D30" s="19" t="s">
        <v>31</v>
      </c>
      <c r="E30" s="23">
        <v>1.0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3</v>
      </c>
      <c r="M30" s="19" t="str">
        <f t="shared" ref="M30:M33" si="44">N30-O30</f>
        <v>-2</v>
      </c>
      <c r="N30" s="19" t="str">
        <f t="shared" ref="N30:N33" si="45">SUM(INDIRECT($AC30),INDIRECT($AD30),INDIRECT($AE30))</f>
        <v>2</v>
      </c>
      <c r="O30" s="19" t="str">
        <f t="shared" ref="O30:O33" si="46">SUM(INDIRECT($AF30),INDIRECT($AG30),INDIRECT($AH30))</f>
        <v>4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1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2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1.0</v>
      </c>
      <c r="D31" s="19" t="s">
        <v>31</v>
      </c>
      <c r="E31" s="23">
        <v>2.0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0</v>
      </c>
      <c r="M31" s="19" t="str">
        <f t="shared" si="44"/>
        <v>-3</v>
      </c>
      <c r="N31" s="19" t="str">
        <f t="shared" si="45"/>
        <v>2</v>
      </c>
      <c r="O31" s="19" t="str">
        <f t="shared" si="46"/>
        <v>5</v>
      </c>
      <c r="P31" s="19" t="str">
        <f t="shared" si="47"/>
        <v>0</v>
      </c>
      <c r="Q31" s="19" t="str">
        <f t="shared" si="48"/>
        <v>0</v>
      </c>
      <c r="R31" s="36" t="str">
        <f t="shared" si="49"/>
        <v>3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0.0</v>
      </c>
      <c r="D32" s="19" t="s">
        <v>31</v>
      </c>
      <c r="E32" s="23">
        <v>1.0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6</v>
      </c>
      <c r="M32" s="19" t="str">
        <f t="shared" si="44"/>
        <v>0</v>
      </c>
      <c r="N32" s="19" t="str">
        <f t="shared" si="45"/>
        <v>3</v>
      </c>
      <c r="O32" s="19" t="str">
        <f t="shared" si="46"/>
        <v>3</v>
      </c>
      <c r="P32" s="19" t="str">
        <f t="shared" si="47"/>
        <v>2</v>
      </c>
      <c r="Q32" s="19" t="str">
        <f t="shared" si="48"/>
        <v>0</v>
      </c>
      <c r="R32" s="36" t="str">
        <f t="shared" si="49"/>
        <v>1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1.0</v>
      </c>
      <c r="D33" s="19" t="s">
        <v>31</v>
      </c>
      <c r="E33" s="23">
        <v>0.0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6</v>
      </c>
      <c r="M33" s="38" t="str">
        <f t="shared" si="44"/>
        <v>1</v>
      </c>
      <c r="N33" s="38" t="str">
        <f t="shared" si="45"/>
        <v>2</v>
      </c>
      <c r="O33" s="38" t="str">
        <f t="shared" si="46"/>
        <v>1</v>
      </c>
      <c r="P33" s="38" t="str">
        <f t="shared" si="47"/>
        <v>2</v>
      </c>
      <c r="Q33" s="38" t="str">
        <f t="shared" si="48"/>
        <v>0</v>
      </c>
      <c r="R33" s="39" t="str">
        <f t="shared" si="49"/>
        <v>1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2.0</v>
      </c>
      <c r="D34" s="38" t="s">
        <v>31</v>
      </c>
      <c r="E34" s="42">
        <v>0.0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5.0</v>
      </c>
      <c r="D37" s="19" t="s">
        <v>31</v>
      </c>
      <c r="E37" s="23">
        <v>0.0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0.0</v>
      </c>
      <c r="D38" s="19" t="s">
        <v>31</v>
      </c>
      <c r="E38" s="23">
        <v>1.0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9</v>
      </c>
      <c r="M38" s="19" t="str">
        <f t="shared" ref="M38:M41" si="57">N38-O38</f>
        <v>9</v>
      </c>
      <c r="N38" s="19" t="str">
        <f t="shared" ref="N38:N41" si="58">SUM(INDIRECT($AC38),INDIRECT($AD38),INDIRECT($AE38))</f>
        <v>10</v>
      </c>
      <c r="O38" s="19" t="str">
        <f t="shared" ref="O38:O41" si="59">SUM(INDIRECT($AF38),INDIRECT($AG38),INDIRECT($AH38))</f>
        <v>1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3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3.0</v>
      </c>
      <c r="D39" s="19" t="s">
        <v>31</v>
      </c>
      <c r="E39" s="23">
        <v>1.0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3</v>
      </c>
      <c r="M39" s="19" t="str">
        <f t="shared" si="57"/>
        <v>-2</v>
      </c>
      <c r="N39" s="19" t="str">
        <f t="shared" si="58"/>
        <v>2</v>
      </c>
      <c r="O39" s="19" t="str">
        <f t="shared" si="59"/>
        <v>4</v>
      </c>
      <c r="P39" s="19" t="str">
        <f t="shared" si="60"/>
        <v>1</v>
      </c>
      <c r="Q39" s="19" t="str">
        <f t="shared" si="61"/>
        <v>0</v>
      </c>
      <c r="R39" s="36" t="str">
        <f t="shared" si="62"/>
        <v>2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2.0</v>
      </c>
      <c r="D40" s="19" t="s">
        <v>31</v>
      </c>
      <c r="E40" s="23">
        <v>0.0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-8</v>
      </c>
      <c r="N40" s="19" t="str">
        <f t="shared" si="58"/>
        <v>0</v>
      </c>
      <c r="O40" s="19" t="str">
        <f t="shared" si="59"/>
        <v>8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0.0</v>
      </c>
      <c r="D41" s="19" t="s">
        <v>31</v>
      </c>
      <c r="E41" s="23">
        <v>2.0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6</v>
      </c>
      <c r="M41" s="38" t="str">
        <f t="shared" si="57"/>
        <v>1</v>
      </c>
      <c r="N41" s="38" t="str">
        <f t="shared" si="58"/>
        <v>3</v>
      </c>
      <c r="O41" s="38" t="str">
        <f t="shared" si="59"/>
        <v>2</v>
      </c>
      <c r="P41" s="38" t="str">
        <f t="shared" si="60"/>
        <v>2</v>
      </c>
      <c r="Q41" s="38" t="str">
        <f t="shared" si="61"/>
        <v>0</v>
      </c>
      <c r="R41" s="39" t="str">
        <f t="shared" si="62"/>
        <v>1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0.0</v>
      </c>
      <c r="D42" s="38" t="s">
        <v>31</v>
      </c>
      <c r="E42" s="42">
        <v>1.0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2.0</v>
      </c>
      <c r="D45" s="19" t="s">
        <v>31</v>
      </c>
      <c r="E45" s="23">
        <v>1.0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1.0</v>
      </c>
      <c r="D46" s="19" t="s">
        <v>31</v>
      </c>
      <c r="E46" s="23">
        <v>0.0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9</v>
      </c>
      <c r="M46" s="19" t="str">
        <f t="shared" ref="M46:M49" si="70">N46-O46</f>
        <v>3</v>
      </c>
      <c r="N46" s="19" t="str">
        <f t="shared" ref="N46:N49" si="71">SUM(INDIRECT($AC46),INDIRECT($AD46),INDIRECT($AE46))</f>
        <v>6</v>
      </c>
      <c r="O46" s="19" t="str">
        <f t="shared" ref="O46:O49" si="72">SUM(INDIRECT($AF46),INDIRECT($AG46),INDIRECT($AH46))</f>
        <v>3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3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1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2.0</v>
      </c>
      <c r="D47" s="19" t="s">
        <v>31</v>
      </c>
      <c r="E47" s="23">
        <v>1.0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6</v>
      </c>
      <c r="M47" s="19" t="str">
        <f t="shared" si="70"/>
        <v>1</v>
      </c>
      <c r="N47" s="19" t="str">
        <f t="shared" si="71"/>
        <v>5</v>
      </c>
      <c r="O47" s="19" t="str">
        <f t="shared" si="72"/>
        <v>4</v>
      </c>
      <c r="P47" s="19" t="str">
        <f t="shared" si="73"/>
        <v>2</v>
      </c>
      <c r="Q47" s="19" t="str">
        <f t="shared" si="74"/>
        <v>0</v>
      </c>
      <c r="R47" s="36" t="str">
        <f t="shared" si="75"/>
        <v>1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1.0</v>
      </c>
      <c r="D48" s="19" t="s">
        <v>31</v>
      </c>
      <c r="E48" s="23">
        <v>2.0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3</v>
      </c>
      <c r="M48" s="19" t="str">
        <f t="shared" si="70"/>
        <v>-1</v>
      </c>
      <c r="N48" s="19" t="str">
        <f t="shared" si="71"/>
        <v>3</v>
      </c>
      <c r="O48" s="19" t="str">
        <f t="shared" si="72"/>
        <v>4</v>
      </c>
      <c r="P48" s="19" t="str">
        <f t="shared" si="73"/>
        <v>1</v>
      </c>
      <c r="Q48" s="19" t="str">
        <f t="shared" si="74"/>
        <v>0</v>
      </c>
      <c r="R48" s="36" t="str">
        <f t="shared" si="75"/>
        <v>2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1.0</v>
      </c>
      <c r="D49" s="19" t="s">
        <v>31</v>
      </c>
      <c r="E49" s="23">
        <v>2.0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-3</v>
      </c>
      <c r="N49" s="38" t="str">
        <f t="shared" si="71"/>
        <v>2</v>
      </c>
      <c r="O49" s="38" t="str">
        <f t="shared" si="72"/>
        <v>5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2.0</v>
      </c>
      <c r="D50" s="38" t="s">
        <v>31</v>
      </c>
      <c r="E50" s="42">
        <v>1.0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3.0</v>
      </c>
      <c r="D53" s="19" t="s">
        <v>31</v>
      </c>
      <c r="E53" s="23">
        <v>1.0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1.0</v>
      </c>
      <c r="D54" s="19" t="s">
        <v>31</v>
      </c>
      <c r="E54" s="23">
        <v>0.0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6</v>
      </c>
      <c r="M54" s="19" t="str">
        <f t="shared" ref="M54:M57" si="83">N54-O54</f>
        <v>2</v>
      </c>
      <c r="N54" s="19" t="str">
        <f t="shared" ref="N54:N57" si="84">SUM(INDIRECT($AC54),INDIRECT($AD54),INDIRECT($AE54))</f>
        <v>5</v>
      </c>
      <c r="O54" s="19" t="str">
        <f t="shared" ref="O54:O57" si="85">SUM(INDIRECT($AF54),INDIRECT($AG54),INDIRECT($AH54))</f>
        <v>3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2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1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2.0</v>
      </c>
      <c r="D55" s="19" t="s">
        <v>31</v>
      </c>
      <c r="E55" s="23">
        <v>1.0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6</v>
      </c>
      <c r="M55" s="19" t="str">
        <f t="shared" si="83"/>
        <v>0</v>
      </c>
      <c r="N55" s="19" t="str">
        <f t="shared" si="84"/>
        <v>4</v>
      </c>
      <c r="O55" s="19" t="str">
        <f t="shared" si="85"/>
        <v>4</v>
      </c>
      <c r="P55" s="19" t="str">
        <f t="shared" si="86"/>
        <v>2</v>
      </c>
      <c r="Q55" s="19" t="str">
        <f t="shared" si="87"/>
        <v>0</v>
      </c>
      <c r="R55" s="36" t="str">
        <f t="shared" si="88"/>
        <v>1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1.0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3</v>
      </c>
      <c r="M56" s="19" t="str">
        <f t="shared" si="83"/>
        <v>-1</v>
      </c>
      <c r="N56" s="19" t="str">
        <f t="shared" si="84"/>
        <v>3</v>
      </c>
      <c r="O56" s="19" t="str">
        <f t="shared" si="85"/>
        <v>4</v>
      </c>
      <c r="P56" s="19" t="str">
        <f t="shared" si="86"/>
        <v>1</v>
      </c>
      <c r="Q56" s="19" t="str">
        <f t="shared" si="87"/>
        <v>0</v>
      </c>
      <c r="R56" s="36" t="str">
        <f t="shared" si="88"/>
        <v>2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2.0</v>
      </c>
      <c r="D57" s="19" t="s">
        <v>31</v>
      </c>
      <c r="E57" s="23">
        <v>1.0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3</v>
      </c>
      <c r="M57" s="38" t="str">
        <f t="shared" si="83"/>
        <v>-1</v>
      </c>
      <c r="N57" s="38" t="str">
        <f t="shared" si="84"/>
        <v>1</v>
      </c>
      <c r="O57" s="38" t="str">
        <f t="shared" si="85"/>
        <v>2</v>
      </c>
      <c r="P57" s="38" t="str">
        <f t="shared" si="86"/>
        <v>1</v>
      </c>
      <c r="Q57" s="38" t="str">
        <f t="shared" si="87"/>
        <v>0</v>
      </c>
      <c r="R57" s="39" t="str">
        <f t="shared" si="88"/>
        <v>2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1.0</v>
      </c>
      <c r="D58" s="38" t="s">
        <v>31</v>
      </c>
      <c r="E58" s="42">
        <v>0.0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4.0</v>
      </c>
      <c r="D61" s="19" t="s">
        <v>31</v>
      </c>
      <c r="E61" s="23">
        <v>1.0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1.0</v>
      </c>
      <c r="D62" s="19" t="s">
        <v>31</v>
      </c>
      <c r="E62" s="23">
        <v>3.0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0</v>
      </c>
      <c r="M62" s="19" t="str">
        <f t="shared" ref="M62:M65" si="96">N62-O62</f>
        <v>-6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9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0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3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3.0</v>
      </c>
      <c r="D63" s="19" t="s">
        <v>31</v>
      </c>
      <c r="E63" s="23">
        <v>1.0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3</v>
      </c>
      <c r="M63" s="19" t="str">
        <f t="shared" si="96"/>
        <v>-2</v>
      </c>
      <c r="N63" s="19" t="str">
        <f t="shared" si="97"/>
        <v>5</v>
      </c>
      <c r="O63" s="19" t="str">
        <f t="shared" si="98"/>
        <v>7</v>
      </c>
      <c r="P63" s="19" t="str">
        <f t="shared" si="99"/>
        <v>1</v>
      </c>
      <c r="Q63" s="19" t="str">
        <f t="shared" si="100"/>
        <v>0</v>
      </c>
      <c r="R63" s="36" t="str">
        <f t="shared" si="101"/>
        <v>2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2.0</v>
      </c>
      <c r="D64" s="19" t="s">
        <v>31</v>
      </c>
      <c r="E64" s="23">
        <v>1.0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6</v>
      </c>
      <c r="N64" s="19" t="str">
        <f t="shared" si="97"/>
        <v>10</v>
      </c>
      <c r="O64" s="19" t="str">
        <f t="shared" si="98"/>
        <v>4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3.0</v>
      </c>
      <c r="D65" s="19" t="s">
        <v>31</v>
      </c>
      <c r="E65" s="23">
        <v>1.0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2</v>
      </c>
      <c r="N65" s="38" t="str">
        <f t="shared" si="97"/>
        <v>7</v>
      </c>
      <c r="O65" s="38" t="str">
        <f t="shared" si="98"/>
        <v>5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2.0</v>
      </c>
      <c r="D66" s="38" t="s">
        <v>31</v>
      </c>
      <c r="E66" s="42">
        <v>3.0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3.0</v>
      </c>
      <c r="D69" s="19" t="s">
        <v>31</v>
      </c>
      <c r="E69" s="23">
        <v>1.0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4</v>
      </c>
      <c r="Y69" s="33" t="str">
        <f>IF(AND(ISNUMBER(RESULTADOS!C69),ISNUMBER(RESULTADOS!E69),ISNUMBER(C69),ISNUMBER(E69),C69=RESULTADOS!C69,E69=RESULTADOS!E69),2,0)</f>
        <v>2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1.0</v>
      </c>
      <c r="D70" s="19" t="s">
        <v>31</v>
      </c>
      <c r="E70" s="23">
        <v>3.0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5</v>
      </c>
      <c r="N70" s="19" t="str">
        <f t="shared" ref="N70:N73" si="110">SUM(INDIRECT($AC70),INDIRECT($AD70),INDIRECT($AE70))</f>
        <v>7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2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1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3.0</v>
      </c>
      <c r="D71" s="19" t="s">
        <v>31</v>
      </c>
      <c r="E71" s="23">
        <v>1.0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1</v>
      </c>
      <c r="M71" s="19" t="str">
        <f t="shared" si="109"/>
        <v>-4</v>
      </c>
      <c r="N71" s="19" t="str">
        <f t="shared" si="110"/>
        <v>3</v>
      </c>
      <c r="O71" s="19" t="str">
        <f t="shared" si="111"/>
        <v>7</v>
      </c>
      <c r="P71" s="19" t="str">
        <f t="shared" si="112"/>
        <v>0</v>
      </c>
      <c r="Q71" s="19" t="str">
        <f t="shared" si="113"/>
        <v>1</v>
      </c>
      <c r="R71" s="36" t="str">
        <f t="shared" si="114"/>
        <v>2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2.0</v>
      </c>
      <c r="D72" s="19" t="s">
        <v>31</v>
      </c>
      <c r="E72" s="23">
        <v>1.0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6</v>
      </c>
      <c r="M72" s="19" t="str">
        <f t="shared" si="109"/>
        <v>2</v>
      </c>
      <c r="N72" s="19" t="str">
        <f t="shared" si="110"/>
        <v>5</v>
      </c>
      <c r="O72" s="19" t="str">
        <f t="shared" si="111"/>
        <v>3</v>
      </c>
      <c r="P72" s="19" t="str">
        <f t="shared" si="112"/>
        <v>2</v>
      </c>
      <c r="Q72" s="19" t="str">
        <f t="shared" si="113"/>
        <v>0</v>
      </c>
      <c r="R72" s="36" t="str">
        <f t="shared" si="114"/>
        <v>1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1.0</v>
      </c>
      <c r="D73" s="19" t="s">
        <v>31</v>
      </c>
      <c r="E73" s="23">
        <v>1.0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1</v>
      </c>
      <c r="M73" s="38" t="str">
        <f t="shared" si="109"/>
        <v>-3</v>
      </c>
      <c r="N73" s="38" t="str">
        <f t="shared" si="110"/>
        <v>3</v>
      </c>
      <c r="O73" s="38" t="str">
        <f t="shared" si="111"/>
        <v>6</v>
      </c>
      <c r="P73" s="38" t="str">
        <f t="shared" si="112"/>
        <v>0</v>
      </c>
      <c r="Q73" s="38" t="str">
        <f t="shared" si="113"/>
        <v>1</v>
      </c>
      <c r="R73" s="39" t="str">
        <f t="shared" si="114"/>
        <v>2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0.0</v>
      </c>
      <c r="D74" s="38" t="s">
        <v>31</v>
      </c>
      <c r="E74" s="42">
        <v>1.0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2.0</v>
      </c>
      <c r="D77" s="19" t="s">
        <v>31</v>
      </c>
      <c r="E77" s="23">
        <v>0.0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2.0</v>
      </c>
      <c r="D78" s="19" t="s">
        <v>31</v>
      </c>
      <c r="E78" s="23">
        <v>1.0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8</v>
      </c>
      <c r="N78" s="19" t="str">
        <f t="shared" ref="N78:N81" si="123">SUM(INDIRECT($AC78),INDIRECT($AD78),INDIRECT($AE78))</f>
        <v>8</v>
      </c>
      <c r="O78" s="19" t="str">
        <f t="shared" ref="O78:O81" si="124">SUM(INDIRECT($AF78),INDIRECT($AG78),INDIRECT($AH78))</f>
        <v>0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2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1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3.0</v>
      </c>
      <c r="D79" s="19" t="s">
        <v>31</v>
      </c>
      <c r="E79" s="23">
        <v>0.0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6</v>
      </c>
      <c r="M79" s="19" t="str">
        <f t="shared" si="122"/>
        <v>1</v>
      </c>
      <c r="N79" s="19" t="str">
        <f t="shared" si="123"/>
        <v>3</v>
      </c>
      <c r="O79" s="19" t="str">
        <f t="shared" si="124"/>
        <v>2</v>
      </c>
      <c r="P79" s="19" t="str">
        <f t="shared" si="125"/>
        <v>2</v>
      </c>
      <c r="Q79" s="19" t="str">
        <f t="shared" si="126"/>
        <v>0</v>
      </c>
      <c r="R79" s="36" t="str">
        <f t="shared" si="127"/>
        <v>1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0.0</v>
      </c>
      <c r="D80" s="19" t="s">
        <v>31</v>
      </c>
      <c r="E80" s="23">
        <v>2.0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-6</v>
      </c>
      <c r="N80" s="19" t="str">
        <f t="shared" si="123"/>
        <v>1</v>
      </c>
      <c r="O80" s="19" t="str">
        <f t="shared" si="124"/>
        <v>7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3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3.0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3</v>
      </c>
      <c r="M81" s="38" t="str">
        <f t="shared" si="122"/>
        <v>-3</v>
      </c>
      <c r="N81" s="38" t="str">
        <f t="shared" si="123"/>
        <v>2</v>
      </c>
      <c r="O81" s="38" t="str">
        <f t="shared" si="124"/>
        <v>5</v>
      </c>
      <c r="P81" s="38" t="str">
        <f t="shared" si="125"/>
        <v>1</v>
      </c>
      <c r="Q81" s="38" t="str">
        <f t="shared" si="126"/>
        <v>0</v>
      </c>
      <c r="R81" s="39" t="str">
        <f t="shared" si="127"/>
        <v>2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1.0</v>
      </c>
      <c r="D82" s="38" t="s">
        <v>31</v>
      </c>
      <c r="E82" s="42">
        <v>0.0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3.0</v>
      </c>
      <c r="D85" s="19" t="s">
        <v>31</v>
      </c>
      <c r="E85" s="23">
        <v>0.0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0.0</v>
      </c>
      <c r="D86" s="19" t="s">
        <v>31</v>
      </c>
      <c r="E86" s="23">
        <v>1.0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1</v>
      </c>
      <c r="N86" s="19" t="str">
        <f t="shared" ref="N86:N89" si="136">SUM(INDIRECT($AC86),INDIRECT($AD86),INDIRECT($AE86))</f>
        <v>4</v>
      </c>
      <c r="O86" s="19" t="str">
        <f t="shared" ref="O86:O89" si="137">SUM(INDIRECT($AF86),INDIRECT($AG86),INDIRECT($AH86))</f>
        <v>3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1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2.0</v>
      </c>
      <c r="D87" s="19" t="s">
        <v>31</v>
      </c>
      <c r="E87" s="23">
        <v>0.0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6</v>
      </c>
      <c r="N87" s="19" t="str">
        <f t="shared" si="136"/>
        <v>7</v>
      </c>
      <c r="O87" s="19" t="str">
        <f t="shared" si="137"/>
        <v>1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2.0</v>
      </c>
      <c r="D88" s="19" t="s">
        <v>31</v>
      </c>
      <c r="E88" s="23">
        <v>1.0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-3</v>
      </c>
      <c r="N88" s="19" t="str">
        <f t="shared" si="136"/>
        <v>2</v>
      </c>
      <c r="O88" s="19" t="str">
        <f t="shared" si="137"/>
        <v>5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1.0</v>
      </c>
      <c r="D89" s="19" t="s">
        <v>31</v>
      </c>
      <c r="E89" s="23">
        <v>0.0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-4</v>
      </c>
      <c r="N89" s="38" t="str">
        <f t="shared" si="136"/>
        <v>0</v>
      </c>
      <c r="O89" s="38" t="str">
        <f t="shared" si="137"/>
        <v>4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1.0</v>
      </c>
      <c r="D90" s="38" t="s">
        <v>31</v>
      </c>
      <c r="E90" s="42">
        <v>2.0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3.0</v>
      </c>
      <c r="D93" s="19" t="s">
        <v>31</v>
      </c>
      <c r="E93" s="23">
        <v>1.0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2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1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1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3.0</v>
      </c>
      <c r="D94" s="19" t="s">
        <v>31</v>
      </c>
      <c r="E94" s="23">
        <v>4.0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6</v>
      </c>
      <c r="M94" s="19" t="str">
        <f t="shared" ref="M94:M97" si="148">N94-O94</f>
        <v>0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5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0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1</v>
      </c>
      <c r="S94" s="31"/>
      <c r="T94" s="32" t="str">
        <f t="shared" si="144"/>
        <v/>
      </c>
      <c r="U94" s="19" t="str">
        <f t="shared" si="145"/>
        <v>0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0</v>
      </c>
      <c r="AA94" s="33" t="str">
        <f>IF(AND(ISNUMBER(RESULTADOS!C94),ISNUMBER(RESULTADOS!E94),ISNUMBER(C94),ISNUMBER(E94),AND(Z94=1,OR(C94=RESULTADOS!C94,E94=RESULTADOS!E94))),1,0)</f>
        <v>0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3.0</v>
      </c>
      <c r="D95" s="19" t="s">
        <v>31</v>
      </c>
      <c r="E95" s="23">
        <v>0.0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0</v>
      </c>
      <c r="M95" s="19" t="str">
        <f t="shared" si="148"/>
        <v>-5</v>
      </c>
      <c r="N95" s="19" t="str">
        <f t="shared" si="149"/>
        <v>4</v>
      </c>
      <c r="O95" s="19" t="str">
        <f t="shared" si="150"/>
        <v>9</v>
      </c>
      <c r="P95" s="19" t="str">
        <f t="shared" si="151"/>
        <v>0</v>
      </c>
      <c r="Q95" s="19" t="str">
        <f t="shared" si="152"/>
        <v>0</v>
      </c>
      <c r="R95" s="36" t="str">
        <f t="shared" si="153"/>
        <v>3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1.0</v>
      </c>
      <c r="D96" s="19" t="s">
        <v>31</v>
      </c>
      <c r="E96" s="23">
        <v>2.0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9</v>
      </c>
      <c r="M96" s="19" t="str">
        <f t="shared" si="148"/>
        <v>7</v>
      </c>
      <c r="N96" s="19" t="str">
        <f t="shared" si="149"/>
        <v>9</v>
      </c>
      <c r="O96" s="19" t="str">
        <f t="shared" si="150"/>
        <v>2</v>
      </c>
      <c r="P96" s="19" t="str">
        <f t="shared" si="151"/>
        <v>3</v>
      </c>
      <c r="Q96" s="19" t="str">
        <f t="shared" si="152"/>
        <v>0</v>
      </c>
      <c r="R96" s="36" t="str">
        <f t="shared" si="153"/>
        <v>0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2.0</v>
      </c>
      <c r="D97" s="19" t="s">
        <v>31</v>
      </c>
      <c r="E97" s="23">
        <v>1.0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3</v>
      </c>
      <c r="M97" s="38" t="str">
        <f t="shared" si="148"/>
        <v>-2</v>
      </c>
      <c r="N97" s="38" t="str">
        <f t="shared" si="149"/>
        <v>6</v>
      </c>
      <c r="O97" s="38" t="str">
        <f t="shared" si="150"/>
        <v>8</v>
      </c>
      <c r="P97" s="38" t="str">
        <f t="shared" si="151"/>
        <v>1</v>
      </c>
      <c r="Q97" s="38" t="str">
        <f t="shared" si="152"/>
        <v>0</v>
      </c>
      <c r="R97" s="39" t="str">
        <f t="shared" si="153"/>
        <v>2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1.0</v>
      </c>
      <c r="D98" s="38" t="s">
        <v>31</v>
      </c>
      <c r="E98" s="42">
        <v>3.0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59"/>
      <c r="D1" s="59"/>
      <c r="E1" s="59"/>
      <c r="F1" s="59"/>
      <c r="G1" s="59"/>
      <c r="H1" s="3"/>
      <c r="I1" s="59"/>
      <c r="J1" s="59"/>
      <c r="K1" s="3"/>
      <c r="L1" s="59"/>
      <c r="M1" s="59"/>
      <c r="N1" s="59"/>
      <c r="O1" s="59"/>
      <c r="P1" s="59"/>
      <c r="Q1" s="59"/>
      <c r="R1" s="59"/>
      <c r="S1" s="59"/>
      <c r="T1" s="3"/>
      <c r="U1" s="4"/>
      <c r="V1" s="59"/>
      <c r="W1" s="59"/>
      <c r="X1" s="59"/>
      <c r="Y1" s="6"/>
      <c r="Z1" s="7"/>
      <c r="AA1" s="7"/>
      <c r="AB1" s="7"/>
      <c r="AC1" s="7"/>
      <c r="AD1" s="7"/>
      <c r="AE1" s="7"/>
      <c r="AF1" s="7"/>
      <c r="AG1" s="7"/>
      <c r="AH1" s="7"/>
      <c r="AI1" s="59"/>
      <c r="AJ1" s="59"/>
      <c r="AK1" s="59"/>
      <c r="AL1" s="59"/>
      <c r="AM1" s="59"/>
      <c r="AN1" s="59"/>
      <c r="AO1" s="59"/>
      <c r="AP1" s="59"/>
      <c r="AQ1" s="59"/>
      <c r="AR1" s="59"/>
    </row>
    <row r="2" ht="18.75" customHeight="1">
      <c r="B2" s="8" t="s">
        <v>242</v>
      </c>
      <c r="C2" s="9"/>
      <c r="D2" s="9"/>
      <c r="E2" s="9"/>
      <c r="F2" s="10"/>
      <c r="G2" s="59"/>
      <c r="H2" s="11" t="s">
        <v>23</v>
      </c>
      <c r="I2" s="10"/>
      <c r="J2" s="59"/>
      <c r="K2" s="11" t="s">
        <v>24</v>
      </c>
      <c r="L2" s="9"/>
      <c r="M2" s="9"/>
      <c r="N2" s="9"/>
      <c r="O2" s="9"/>
      <c r="P2" s="9"/>
      <c r="Q2" s="9"/>
      <c r="R2" s="10"/>
      <c r="S2" s="59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59"/>
      <c r="AJ2" s="59"/>
      <c r="AK2" s="59"/>
      <c r="AL2" s="59"/>
      <c r="AM2" s="59"/>
      <c r="AN2" s="59"/>
      <c r="AO2" s="59"/>
      <c r="AP2" s="59"/>
      <c r="AQ2" s="59"/>
      <c r="AR2" s="59"/>
    </row>
    <row r="3" ht="15.0" customHeight="1">
      <c r="C3" s="59"/>
      <c r="D3" s="59"/>
      <c r="E3" s="59"/>
      <c r="F3" s="59"/>
      <c r="G3" s="59"/>
      <c r="H3" s="59"/>
      <c r="I3" s="59"/>
      <c r="J3" s="59"/>
      <c r="K3" s="3"/>
      <c r="L3" s="59"/>
      <c r="M3" s="59"/>
      <c r="N3" s="59"/>
      <c r="O3" s="59"/>
      <c r="P3" s="59"/>
      <c r="Q3" s="59"/>
      <c r="R3" s="59"/>
      <c r="S3" s="59"/>
      <c r="T3" s="13" t="s">
        <v>26</v>
      </c>
      <c r="U3" s="14" t="str">
        <f>SUM(U5:U10,U13:U18,U21:U26,U29:U34,U37:U42,U45:U50,U53:U58,U61:U66)</f>
        <v>20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59"/>
      <c r="H4" s="16" t="s">
        <v>28</v>
      </c>
      <c r="I4" s="17" t="s">
        <v>29</v>
      </c>
      <c r="J4" s="18"/>
      <c r="K4" s="59"/>
      <c r="L4" s="59"/>
      <c r="M4" s="59"/>
      <c r="N4" s="59"/>
      <c r="O4" s="59"/>
      <c r="P4" s="59"/>
      <c r="Q4" s="59"/>
      <c r="R4" s="59"/>
      <c r="S4" s="59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3.0</v>
      </c>
      <c r="D5" s="19" t="s">
        <v>31</v>
      </c>
      <c r="E5" s="23">
        <v>1.0</v>
      </c>
      <c r="F5" s="24" t="s">
        <v>32</v>
      </c>
      <c r="G5" s="59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2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0</v>
      </c>
      <c r="AB5" s="6" t="str">
        <f>IF(
  AND(
    ISNUMBER(RESULTADOS!C5),
    ISNUMBER(RESULTADOS!E5),
    ISNUMBER(C5),
    ISNUMBER(E5),
    AND(Z5=1,AA5=0,(RESULTADOS!C5-RESULTADOS!E5)=(C5-E5))
  ),
  1,
  0
)</f>
        <v>1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2.0</v>
      </c>
      <c r="D6" s="19" t="s">
        <v>31</v>
      </c>
      <c r="E6" s="23">
        <v>1.0</v>
      </c>
      <c r="F6" s="34" t="s">
        <v>41</v>
      </c>
      <c r="G6" s="59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4</v>
      </c>
      <c r="M6" s="19" t="str">
        <f t="shared" ref="M6:M9" si="5">N6-O6</f>
        <v>-1</v>
      </c>
      <c r="N6" s="19" t="str">
        <f t="shared" ref="N6:N9" si="6">SUM(INDIRECT($AC6),INDIRECT($AD6),INDIRECT($AE6))</f>
        <v>3</v>
      </c>
      <c r="O6" s="19" t="str">
        <f t="shared" ref="O6:O9" si="7">SUM(INDIRECT($AF6),INDIRECT($AG6),INDIRECT($AH6))</f>
        <v>4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1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4</v>
      </c>
      <c r="Y6" s="33" t="str">
        <f>IF(AND(ISNUMBER(RESULTADOS!C6),ISNUMBER(RESULTADOS!E6),ISNUMBER(C6),ISNUMBER(E6),C6=RESULTADOS!C6,E6=RESULTADOS!E6),2,0)</f>
        <v>2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1</v>
      </c>
      <c r="AA6" s="33" t="str">
        <f>IF(AND(ISNUMBER(RESULTADOS!C6),ISNUMBER(RESULTADOS!E6),ISNUMBER(C6),ISNUMBER(E6),AND(Z6=1,OR(C6=RESULTADOS!C6,E6=RESULTADOS!E6))),1,0)</f>
        <v>1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1.0</v>
      </c>
      <c r="D7" s="19" t="s">
        <v>31</v>
      </c>
      <c r="E7" s="23">
        <v>0.0</v>
      </c>
      <c r="F7" s="34" t="s">
        <v>32</v>
      </c>
      <c r="G7" s="59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9</v>
      </c>
      <c r="M7" s="19" t="str">
        <f t="shared" si="5"/>
        <v>5</v>
      </c>
      <c r="N7" s="19" t="str">
        <f t="shared" si="6"/>
        <v>7</v>
      </c>
      <c r="O7" s="19" t="str">
        <f t="shared" si="7"/>
        <v>2</v>
      </c>
      <c r="P7" s="19" t="str">
        <f t="shared" si="8"/>
        <v>3</v>
      </c>
      <c r="Q7" s="19" t="str">
        <f t="shared" si="9"/>
        <v>0</v>
      </c>
      <c r="R7" s="36" t="str">
        <f t="shared" si="10"/>
        <v>0</v>
      </c>
      <c r="S7" s="59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2.0</v>
      </c>
      <c r="D8" s="19" t="s">
        <v>31</v>
      </c>
      <c r="E8" s="23">
        <v>0.0</v>
      </c>
      <c r="F8" s="34" t="s">
        <v>40</v>
      </c>
      <c r="G8" s="59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3</v>
      </c>
      <c r="M8" s="19" t="str">
        <f t="shared" si="5"/>
        <v>-1</v>
      </c>
      <c r="N8" s="19" t="str">
        <f t="shared" si="6"/>
        <v>3</v>
      </c>
      <c r="O8" s="19" t="str">
        <f t="shared" si="7"/>
        <v>4</v>
      </c>
      <c r="P8" s="19" t="str">
        <f t="shared" si="8"/>
        <v>1</v>
      </c>
      <c r="Q8" s="19" t="str">
        <f t="shared" si="9"/>
        <v>0</v>
      </c>
      <c r="R8" s="36" t="str">
        <f t="shared" si="10"/>
        <v>2</v>
      </c>
      <c r="S8" s="59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1.0</v>
      </c>
      <c r="D9" s="19" t="s">
        <v>31</v>
      </c>
      <c r="E9" s="23">
        <v>1.0</v>
      </c>
      <c r="F9" s="34" t="s">
        <v>40</v>
      </c>
      <c r="G9" s="59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1</v>
      </c>
      <c r="M9" s="38" t="str">
        <f t="shared" si="5"/>
        <v>-3</v>
      </c>
      <c r="N9" s="38" t="str">
        <f t="shared" si="6"/>
        <v>2</v>
      </c>
      <c r="O9" s="38" t="str">
        <f t="shared" si="7"/>
        <v>5</v>
      </c>
      <c r="P9" s="38" t="str">
        <f t="shared" si="8"/>
        <v>0</v>
      </c>
      <c r="Q9" s="38" t="str">
        <f t="shared" si="9"/>
        <v>1</v>
      </c>
      <c r="R9" s="39" t="str">
        <f t="shared" si="10"/>
        <v>2</v>
      </c>
      <c r="S9" s="59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1.0</v>
      </c>
      <c r="D10" s="38" t="s">
        <v>31</v>
      </c>
      <c r="E10" s="42">
        <v>2.0</v>
      </c>
      <c r="F10" s="43" t="s">
        <v>30</v>
      </c>
      <c r="G10" s="59"/>
      <c r="H10" s="44">
        <v>46197.0</v>
      </c>
      <c r="I10" s="45">
        <v>0.916666666666667</v>
      </c>
      <c r="J10" s="27"/>
      <c r="K10" s="31"/>
      <c r="S10" s="59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59"/>
      <c r="H12" s="16" t="s">
        <v>28</v>
      </c>
      <c r="I12" s="17" t="s">
        <v>29</v>
      </c>
      <c r="J12" s="18"/>
      <c r="K12" s="59"/>
      <c r="L12" s="59"/>
      <c r="M12" s="59"/>
      <c r="N12" s="59"/>
      <c r="O12" s="59"/>
      <c r="P12" s="59"/>
      <c r="Q12" s="59"/>
      <c r="R12" s="59"/>
      <c r="S12" s="59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1.0</v>
      </c>
      <c r="D13" s="19" t="s">
        <v>31</v>
      </c>
      <c r="E13" s="23">
        <v>1.0</v>
      </c>
      <c r="F13" s="24" t="s">
        <v>56</v>
      </c>
      <c r="G13" s="59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4</v>
      </c>
      <c r="Y13" s="33" t="str">
        <f>IF(AND(ISNUMBER(RESULTADOS!C13),ISNUMBER(RESULTADOS!E13),ISNUMBER(C13),ISNUMBER(E13),C13=RESULTADOS!C13,E13=RESULTADOS!E13),2,0)</f>
        <v>2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2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0.0</v>
      </c>
      <c r="D14" s="19" t="s">
        <v>31</v>
      </c>
      <c r="E14" s="23">
        <v>3.0</v>
      </c>
      <c r="F14" s="24" t="s">
        <v>58</v>
      </c>
      <c r="G14" s="59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4</v>
      </c>
      <c r="M14" s="19" t="str">
        <f t="shared" ref="M14:M17" si="18">N14-O14</f>
        <v>0</v>
      </c>
      <c r="N14" s="19" t="str">
        <f t="shared" ref="N14:N17" si="19">SUM(INDIRECT($AC14),INDIRECT($AD14),INDIRECT($AE14))</f>
        <v>3</v>
      </c>
      <c r="O14" s="19" t="str">
        <f t="shared" ref="O14:O17" si="20">SUM(INDIRECT($AF14),INDIRECT($AG14),INDIRECT($AH14))</f>
        <v>3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1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2.0</v>
      </c>
      <c r="D15" s="19" t="s">
        <v>31</v>
      </c>
      <c r="E15" s="23">
        <v>1.0</v>
      </c>
      <c r="F15" s="24" t="s">
        <v>56</v>
      </c>
      <c r="G15" s="59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2</v>
      </c>
      <c r="M15" s="19" t="str">
        <f t="shared" si="18"/>
        <v>-1</v>
      </c>
      <c r="N15" s="19" t="str">
        <f t="shared" si="19"/>
        <v>2</v>
      </c>
      <c r="O15" s="19" t="str">
        <f t="shared" si="20"/>
        <v>3</v>
      </c>
      <c r="P15" s="19" t="str">
        <f t="shared" si="21"/>
        <v>0</v>
      </c>
      <c r="Q15" s="19" t="str">
        <f t="shared" si="22"/>
        <v>2</v>
      </c>
      <c r="R15" s="36" t="str">
        <f t="shared" si="23"/>
        <v>1</v>
      </c>
      <c r="S15" s="59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0.0</v>
      </c>
      <c r="D16" s="19" t="s">
        <v>31</v>
      </c>
      <c r="E16" s="23">
        <v>0.0</v>
      </c>
      <c r="F16" s="24" t="s">
        <v>57</v>
      </c>
      <c r="G16" s="59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1</v>
      </c>
      <c r="M16" s="19" t="str">
        <f t="shared" si="18"/>
        <v>-4</v>
      </c>
      <c r="N16" s="19" t="str">
        <f t="shared" si="19"/>
        <v>0</v>
      </c>
      <c r="O16" s="19" t="str">
        <f t="shared" si="20"/>
        <v>4</v>
      </c>
      <c r="P16" s="19" t="str">
        <f t="shared" si="21"/>
        <v>0</v>
      </c>
      <c r="Q16" s="19" t="str">
        <f t="shared" si="22"/>
        <v>1</v>
      </c>
      <c r="R16" s="36" t="str">
        <f t="shared" si="23"/>
        <v>2</v>
      </c>
      <c r="S16" s="59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2.0</v>
      </c>
      <c r="D17" s="19" t="s">
        <v>31</v>
      </c>
      <c r="E17" s="23">
        <v>1.0</v>
      </c>
      <c r="F17" s="24" t="s">
        <v>55</v>
      </c>
      <c r="G17" s="59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9</v>
      </c>
      <c r="M17" s="38" t="str">
        <f t="shared" si="18"/>
        <v>5</v>
      </c>
      <c r="N17" s="38" t="str">
        <f t="shared" si="19"/>
        <v>7</v>
      </c>
      <c r="O17" s="38" t="str">
        <f t="shared" si="20"/>
        <v>2</v>
      </c>
      <c r="P17" s="38" t="str">
        <f t="shared" si="21"/>
        <v>3</v>
      </c>
      <c r="Q17" s="38" t="str">
        <f t="shared" si="22"/>
        <v>0</v>
      </c>
      <c r="R17" s="39" t="str">
        <f t="shared" si="23"/>
        <v>0</v>
      </c>
      <c r="S17" s="59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1.0</v>
      </c>
      <c r="D18" s="38" t="s">
        <v>31</v>
      </c>
      <c r="E18" s="42">
        <v>0.0</v>
      </c>
      <c r="F18" s="48" t="s">
        <v>57</v>
      </c>
      <c r="G18" s="59"/>
      <c r="H18" s="44">
        <v>46197.0</v>
      </c>
      <c r="I18" s="45">
        <v>0.666666666666667</v>
      </c>
      <c r="J18" s="27"/>
      <c r="K18" s="31"/>
      <c r="S18" s="59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59"/>
      <c r="H20" s="16" t="s">
        <v>28</v>
      </c>
      <c r="I20" s="17" t="s">
        <v>29</v>
      </c>
      <c r="J20" s="18"/>
      <c r="K20" s="59"/>
      <c r="L20" s="59"/>
      <c r="M20" s="59"/>
      <c r="N20" s="59"/>
      <c r="O20" s="59"/>
      <c r="P20" s="59"/>
      <c r="Q20" s="59"/>
      <c r="R20" s="59"/>
      <c r="S20" s="59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2.0</v>
      </c>
      <c r="D21" s="19" t="s">
        <v>31</v>
      </c>
      <c r="E21" s="23">
        <v>2.0</v>
      </c>
      <c r="F21" s="24" t="s">
        <v>73</v>
      </c>
      <c r="G21" s="59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2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2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0.0</v>
      </c>
      <c r="D22" s="19" t="s">
        <v>31</v>
      </c>
      <c r="E22" s="23">
        <v>2.0</v>
      </c>
      <c r="F22" s="24" t="s">
        <v>75</v>
      </c>
      <c r="G22" s="59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7</v>
      </c>
      <c r="M22" s="19" t="str">
        <f t="shared" ref="M22:M25" si="31">N22-O22</f>
        <v>4</v>
      </c>
      <c r="N22" s="19" t="str">
        <f t="shared" ref="N22:N25" si="32">SUM(INDIRECT($AC22),INDIRECT($AD22),INDIRECT($AE22))</f>
        <v>8</v>
      </c>
      <c r="O22" s="19" t="str">
        <f t="shared" ref="O22:O25" si="33">SUM(INDIRECT($AF22),INDIRECT($AG22),INDIRECT($AH22))</f>
        <v>4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2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1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1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3.0</v>
      </c>
      <c r="F23" s="24" t="s">
        <v>73</v>
      </c>
      <c r="G23" s="59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-1</v>
      </c>
      <c r="N23" s="19" t="str">
        <f t="shared" si="32"/>
        <v>4</v>
      </c>
      <c r="O23" s="19" t="str">
        <f t="shared" si="33"/>
        <v>5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59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4.0</v>
      </c>
      <c r="D24" s="19" t="s">
        <v>31</v>
      </c>
      <c r="E24" s="23">
        <v>1.0</v>
      </c>
      <c r="F24" s="24" t="s">
        <v>74</v>
      </c>
      <c r="G24" s="59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-8</v>
      </c>
      <c r="N24" s="19" t="str">
        <f t="shared" si="32"/>
        <v>1</v>
      </c>
      <c r="O24" s="19" t="str">
        <f t="shared" si="33"/>
        <v>9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59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3.0</v>
      </c>
      <c r="D25" s="19" t="s">
        <v>31</v>
      </c>
      <c r="E25" s="23">
        <v>0.0</v>
      </c>
      <c r="F25" s="24" t="s">
        <v>74</v>
      </c>
      <c r="G25" s="59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7</v>
      </c>
      <c r="M25" s="38" t="str">
        <f t="shared" si="31"/>
        <v>5</v>
      </c>
      <c r="N25" s="38" t="str">
        <f t="shared" si="32"/>
        <v>8</v>
      </c>
      <c r="O25" s="38" t="str">
        <f t="shared" si="33"/>
        <v>3</v>
      </c>
      <c r="P25" s="38" t="str">
        <f t="shared" si="34"/>
        <v>2</v>
      </c>
      <c r="Q25" s="38" t="str">
        <f t="shared" si="35"/>
        <v>1</v>
      </c>
      <c r="R25" s="39" t="str">
        <f t="shared" si="36"/>
        <v>0</v>
      </c>
      <c r="S25" s="59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1.0</v>
      </c>
      <c r="D26" s="38" t="s">
        <v>31</v>
      </c>
      <c r="E26" s="42">
        <v>2.0</v>
      </c>
      <c r="F26" s="48" t="s">
        <v>72</v>
      </c>
      <c r="G26" s="59"/>
      <c r="H26" s="44">
        <v>46197.0</v>
      </c>
      <c r="I26" s="45">
        <v>0.791666666666667</v>
      </c>
      <c r="J26" s="27"/>
      <c r="K26" s="46"/>
      <c r="S26" s="59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59"/>
      <c r="H28" s="16" t="s">
        <v>28</v>
      </c>
      <c r="I28" s="17" t="s">
        <v>29</v>
      </c>
      <c r="J28" s="18"/>
      <c r="K28" s="59"/>
      <c r="L28" s="59"/>
      <c r="M28" s="59"/>
      <c r="N28" s="59"/>
      <c r="O28" s="59"/>
      <c r="P28" s="59"/>
      <c r="Q28" s="59"/>
      <c r="R28" s="59"/>
      <c r="S28" s="59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1.0</v>
      </c>
      <c r="D29" s="19" t="s">
        <v>31</v>
      </c>
      <c r="E29" s="23">
        <v>2.0</v>
      </c>
      <c r="F29" s="24" t="s">
        <v>90</v>
      </c>
      <c r="G29" s="59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1.0</v>
      </c>
      <c r="D30" s="19" t="s">
        <v>31</v>
      </c>
      <c r="E30" s="23">
        <v>3.0</v>
      </c>
      <c r="F30" s="24" t="s">
        <v>92</v>
      </c>
      <c r="G30" s="59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0</v>
      </c>
      <c r="M30" s="19" t="str">
        <f t="shared" ref="M30:M33" si="44">N30-O30</f>
        <v>-4</v>
      </c>
      <c r="N30" s="19" t="str">
        <f t="shared" ref="N30:N33" si="45">SUM(INDIRECT($AC30),INDIRECT($AD30),INDIRECT($AE30))</f>
        <v>3</v>
      </c>
      <c r="O30" s="19" t="str">
        <f t="shared" ref="O30:O33" si="46">SUM(INDIRECT($AF30),INDIRECT($AG30),INDIRECT($AH30))</f>
        <v>7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3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2.0</v>
      </c>
      <c r="D31" s="19" t="s">
        <v>31</v>
      </c>
      <c r="E31" s="23">
        <v>1.0</v>
      </c>
      <c r="F31" s="24" t="s">
        <v>91</v>
      </c>
      <c r="G31" s="59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3</v>
      </c>
      <c r="M31" s="19" t="str">
        <f t="shared" si="44"/>
        <v>-1</v>
      </c>
      <c r="N31" s="19" t="str">
        <f t="shared" si="45"/>
        <v>5</v>
      </c>
      <c r="O31" s="19" t="str">
        <f t="shared" si="46"/>
        <v>6</v>
      </c>
      <c r="P31" s="19" t="str">
        <f t="shared" si="47"/>
        <v>1</v>
      </c>
      <c r="Q31" s="19" t="str">
        <f t="shared" si="48"/>
        <v>0</v>
      </c>
      <c r="R31" s="36" t="str">
        <f t="shared" si="49"/>
        <v>2</v>
      </c>
      <c r="S31" s="59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2.0</v>
      </c>
      <c r="D32" s="19" t="s">
        <v>31</v>
      </c>
      <c r="E32" s="23">
        <v>1.0</v>
      </c>
      <c r="F32" s="24" t="s">
        <v>90</v>
      </c>
      <c r="G32" s="59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3</v>
      </c>
      <c r="M32" s="19" t="str">
        <f t="shared" si="44"/>
        <v>-1</v>
      </c>
      <c r="N32" s="19" t="str">
        <f t="shared" si="45"/>
        <v>4</v>
      </c>
      <c r="O32" s="19" t="str">
        <f t="shared" si="46"/>
        <v>5</v>
      </c>
      <c r="P32" s="19" t="str">
        <f t="shared" si="47"/>
        <v>1</v>
      </c>
      <c r="Q32" s="19" t="str">
        <f t="shared" si="48"/>
        <v>0</v>
      </c>
      <c r="R32" s="36" t="str">
        <f t="shared" si="49"/>
        <v>2</v>
      </c>
      <c r="S32" s="59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3.0</v>
      </c>
      <c r="D33" s="19" t="s">
        <v>31</v>
      </c>
      <c r="E33" s="23">
        <v>2.0</v>
      </c>
      <c r="F33" s="24" t="s">
        <v>89</v>
      </c>
      <c r="G33" s="59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9</v>
      </c>
      <c r="M33" s="38" t="str">
        <f t="shared" si="44"/>
        <v>4</v>
      </c>
      <c r="N33" s="38" t="str">
        <f t="shared" si="45"/>
        <v>8</v>
      </c>
      <c r="O33" s="38" t="str">
        <f t="shared" si="46"/>
        <v>4</v>
      </c>
      <c r="P33" s="38" t="str">
        <f t="shared" si="47"/>
        <v>3</v>
      </c>
      <c r="Q33" s="38" t="str">
        <f t="shared" si="48"/>
        <v>0</v>
      </c>
      <c r="R33" s="39" t="str">
        <f t="shared" si="49"/>
        <v>0</v>
      </c>
      <c r="S33" s="59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2.0</v>
      </c>
      <c r="D34" s="38" t="s">
        <v>31</v>
      </c>
      <c r="E34" s="42">
        <v>1.0</v>
      </c>
      <c r="F34" s="48" t="s">
        <v>91</v>
      </c>
      <c r="G34" s="59"/>
      <c r="H34" s="44">
        <v>46198.0</v>
      </c>
      <c r="I34" s="45">
        <v>0.958333333333333</v>
      </c>
      <c r="J34" s="27"/>
      <c r="K34" s="46"/>
      <c r="S34" s="59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59"/>
      <c r="H36" s="16" t="s">
        <v>28</v>
      </c>
      <c r="I36" s="17" t="s">
        <v>29</v>
      </c>
      <c r="J36" s="18"/>
      <c r="K36" s="59"/>
      <c r="L36" s="59"/>
      <c r="M36" s="59"/>
      <c r="N36" s="59"/>
      <c r="O36" s="59"/>
      <c r="P36" s="59"/>
      <c r="Q36" s="59"/>
      <c r="R36" s="59"/>
      <c r="S36" s="59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8.0</v>
      </c>
      <c r="D37" s="19" t="s">
        <v>31</v>
      </c>
      <c r="E37" s="23">
        <v>0.0</v>
      </c>
      <c r="F37" s="34" t="s">
        <v>106</v>
      </c>
      <c r="G37" s="59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3.0</v>
      </c>
      <c r="D38" s="19" t="s">
        <v>31</v>
      </c>
      <c r="E38" s="23">
        <v>1.0</v>
      </c>
      <c r="F38" s="34" t="s">
        <v>108</v>
      </c>
      <c r="G38" s="59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7</v>
      </c>
      <c r="M38" s="19" t="str">
        <f t="shared" ref="M38:M41" si="57">N38-O38</f>
        <v>11</v>
      </c>
      <c r="N38" s="19" t="str">
        <f t="shared" ref="N38:N41" si="58">SUM(INDIRECT($AC38),INDIRECT($AD38),INDIRECT($AE38))</f>
        <v>14</v>
      </c>
      <c r="O38" s="19" t="str">
        <f t="shared" ref="O38:O41" si="59">SUM(INDIRECT($AF38),INDIRECT($AG38),INDIRECT($AH38))</f>
        <v>3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2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1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1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1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2.0</v>
      </c>
      <c r="F39" s="34" t="s">
        <v>107</v>
      </c>
      <c r="G39" s="59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7</v>
      </c>
      <c r="M39" s="19" t="str">
        <f t="shared" si="57"/>
        <v>4</v>
      </c>
      <c r="N39" s="19" t="str">
        <f t="shared" si="58"/>
        <v>8</v>
      </c>
      <c r="O39" s="19" t="str">
        <f t="shared" si="59"/>
        <v>4</v>
      </c>
      <c r="P39" s="19" t="str">
        <f t="shared" si="60"/>
        <v>2</v>
      </c>
      <c r="Q39" s="19" t="str">
        <f t="shared" si="61"/>
        <v>1</v>
      </c>
      <c r="R39" s="36" t="str">
        <f t="shared" si="62"/>
        <v>0</v>
      </c>
      <c r="S39" s="59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2.0</v>
      </c>
      <c r="D40" s="19" t="s">
        <v>31</v>
      </c>
      <c r="E40" s="23">
        <v>0.0</v>
      </c>
      <c r="F40" s="34" t="s">
        <v>106</v>
      </c>
      <c r="G40" s="59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-12</v>
      </c>
      <c r="N40" s="19" t="str">
        <f t="shared" si="58"/>
        <v>1</v>
      </c>
      <c r="O40" s="19" t="str">
        <f t="shared" si="59"/>
        <v>13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59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1.0</v>
      </c>
      <c r="D41" s="19" t="s">
        <v>31</v>
      </c>
      <c r="E41" s="23">
        <v>4.0</v>
      </c>
      <c r="F41" s="34" t="s">
        <v>105</v>
      </c>
      <c r="G41" s="59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3</v>
      </c>
      <c r="M41" s="38" t="str">
        <f t="shared" si="57"/>
        <v>-3</v>
      </c>
      <c r="N41" s="38" t="str">
        <f t="shared" si="58"/>
        <v>4</v>
      </c>
      <c r="O41" s="38" t="str">
        <f t="shared" si="59"/>
        <v>7</v>
      </c>
      <c r="P41" s="38" t="str">
        <f t="shared" si="60"/>
        <v>1</v>
      </c>
      <c r="Q41" s="38" t="str">
        <f t="shared" si="61"/>
        <v>0</v>
      </c>
      <c r="R41" s="39" t="str">
        <f t="shared" si="62"/>
        <v>2</v>
      </c>
      <c r="S41" s="59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1.0</v>
      </c>
      <c r="D42" s="38" t="s">
        <v>31</v>
      </c>
      <c r="E42" s="42">
        <v>3.0</v>
      </c>
      <c r="F42" s="43" t="s">
        <v>107</v>
      </c>
      <c r="G42" s="59"/>
      <c r="H42" s="44">
        <v>46198.0</v>
      </c>
      <c r="I42" s="45">
        <v>0.708333333333333</v>
      </c>
      <c r="J42" s="27"/>
      <c r="K42" s="46"/>
      <c r="S42" s="59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59"/>
      <c r="H44" s="16" t="s">
        <v>28</v>
      </c>
      <c r="I44" s="17" t="s">
        <v>29</v>
      </c>
      <c r="J44" s="18"/>
      <c r="K44" s="59"/>
      <c r="L44" s="59"/>
      <c r="M44" s="59"/>
      <c r="N44" s="59"/>
      <c r="O44" s="59"/>
      <c r="P44" s="59"/>
      <c r="Q44" s="59"/>
      <c r="R44" s="59"/>
      <c r="S44" s="59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2.0</v>
      </c>
      <c r="D45" s="19" t="s">
        <v>31</v>
      </c>
      <c r="E45" s="23">
        <v>1.0</v>
      </c>
      <c r="F45" s="34" t="s">
        <v>123</v>
      </c>
      <c r="G45" s="59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3.0</v>
      </c>
      <c r="D46" s="19" t="s">
        <v>31</v>
      </c>
      <c r="E46" s="23">
        <v>1.0</v>
      </c>
      <c r="F46" s="34" t="s">
        <v>125</v>
      </c>
      <c r="G46" s="59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9</v>
      </c>
      <c r="M46" s="19" t="str">
        <f t="shared" ref="M46:M49" si="70">N46-O46</f>
        <v>7</v>
      </c>
      <c r="N46" s="19" t="str">
        <f t="shared" ref="N46:N49" si="71">SUM(INDIRECT($AC46),INDIRECT($AD46),INDIRECT($AE46))</f>
        <v>9</v>
      </c>
      <c r="O46" s="19" t="str">
        <f t="shared" ref="O46:O49" si="72">SUM(INDIRECT($AF46),INDIRECT($AG46),INDIRECT($AH46))</f>
        <v>2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3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2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1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3.0</v>
      </c>
      <c r="D47" s="19" t="s">
        <v>31</v>
      </c>
      <c r="E47" s="23">
        <v>1.0</v>
      </c>
      <c r="F47" s="34" t="s">
        <v>124</v>
      </c>
      <c r="G47" s="59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4</v>
      </c>
      <c r="M47" s="19" t="str">
        <f t="shared" si="70"/>
        <v>1</v>
      </c>
      <c r="N47" s="19" t="str">
        <f t="shared" si="71"/>
        <v>4</v>
      </c>
      <c r="O47" s="19" t="str">
        <f t="shared" si="72"/>
        <v>3</v>
      </c>
      <c r="P47" s="19" t="str">
        <f t="shared" si="73"/>
        <v>1</v>
      </c>
      <c r="Q47" s="19" t="str">
        <f t="shared" si="74"/>
        <v>1</v>
      </c>
      <c r="R47" s="36" t="str">
        <f t="shared" si="75"/>
        <v>1</v>
      </c>
      <c r="S47" s="59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0.0</v>
      </c>
      <c r="D48" s="19" t="s">
        <v>31</v>
      </c>
      <c r="E48" s="23">
        <v>2.0</v>
      </c>
      <c r="F48" s="34" t="s">
        <v>123</v>
      </c>
      <c r="G48" s="59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4</v>
      </c>
      <c r="M48" s="19" t="str">
        <f t="shared" si="70"/>
        <v>0</v>
      </c>
      <c r="N48" s="19" t="str">
        <f t="shared" si="71"/>
        <v>5</v>
      </c>
      <c r="O48" s="19" t="str">
        <f t="shared" si="72"/>
        <v>5</v>
      </c>
      <c r="P48" s="19" t="str">
        <f t="shared" si="73"/>
        <v>1</v>
      </c>
      <c r="Q48" s="19" t="str">
        <f t="shared" si="74"/>
        <v>1</v>
      </c>
      <c r="R48" s="36" t="str">
        <f t="shared" si="75"/>
        <v>1</v>
      </c>
      <c r="S48" s="59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0.0</v>
      </c>
      <c r="D49" s="19" t="s">
        <v>31</v>
      </c>
      <c r="E49" s="23">
        <v>4.0</v>
      </c>
      <c r="F49" s="34" t="s">
        <v>122</v>
      </c>
      <c r="G49" s="59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-8</v>
      </c>
      <c r="N49" s="38" t="str">
        <f t="shared" si="71"/>
        <v>1</v>
      </c>
      <c r="O49" s="38" t="str">
        <f t="shared" si="72"/>
        <v>9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59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1.0</v>
      </c>
      <c r="D50" s="38" t="s">
        <v>31</v>
      </c>
      <c r="E50" s="42">
        <v>1.0</v>
      </c>
      <c r="F50" s="43" t="s">
        <v>124</v>
      </c>
      <c r="G50" s="59"/>
      <c r="H50" s="44">
        <v>46198.0</v>
      </c>
      <c r="I50" s="45">
        <v>0.833333333333333</v>
      </c>
      <c r="J50" s="27"/>
      <c r="K50" s="46"/>
      <c r="S50" s="59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59"/>
      <c r="H52" s="16" t="s">
        <v>28</v>
      </c>
      <c r="I52" s="17" t="s">
        <v>29</v>
      </c>
      <c r="J52" s="18"/>
      <c r="K52" s="59"/>
      <c r="L52" s="59"/>
      <c r="M52" s="59"/>
      <c r="N52" s="59"/>
      <c r="O52" s="59"/>
      <c r="P52" s="59"/>
      <c r="Q52" s="59"/>
      <c r="R52" s="59"/>
      <c r="S52" s="59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3.0</v>
      </c>
      <c r="D53" s="19" t="s">
        <v>31</v>
      </c>
      <c r="E53" s="23">
        <v>1.0</v>
      </c>
      <c r="F53" s="34" t="s">
        <v>140</v>
      </c>
      <c r="G53" s="59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1.0</v>
      </c>
      <c r="D54" s="19" t="s">
        <v>31</v>
      </c>
      <c r="E54" s="23">
        <v>1.0</v>
      </c>
      <c r="F54" s="34" t="s">
        <v>142</v>
      </c>
      <c r="G54" s="59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9</v>
      </c>
      <c r="M54" s="19" t="str">
        <f t="shared" ref="M54:M57" si="83">N54-O54</f>
        <v>7</v>
      </c>
      <c r="N54" s="19" t="str">
        <f t="shared" ref="N54:N57" si="84">SUM(INDIRECT($AC54),INDIRECT($AD54),INDIRECT($AE54))</f>
        <v>8</v>
      </c>
      <c r="O54" s="19" t="str">
        <f t="shared" ref="O54:O57" si="85">SUM(INDIRECT($AF54),INDIRECT($AG54),INDIRECT($AH54))</f>
        <v>1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3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2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2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3.0</v>
      </c>
      <c r="D55" s="19" t="s">
        <v>31</v>
      </c>
      <c r="E55" s="23">
        <v>0.0</v>
      </c>
      <c r="F55" s="34" t="s">
        <v>141</v>
      </c>
      <c r="G55" s="59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6</v>
      </c>
      <c r="M55" s="19" t="str">
        <f t="shared" si="83"/>
        <v>0</v>
      </c>
      <c r="N55" s="19" t="str">
        <f t="shared" si="84"/>
        <v>3</v>
      </c>
      <c r="O55" s="19" t="str">
        <f t="shared" si="85"/>
        <v>3</v>
      </c>
      <c r="P55" s="19" t="str">
        <f t="shared" si="86"/>
        <v>2</v>
      </c>
      <c r="Q55" s="19" t="str">
        <f t="shared" si="87"/>
        <v>0</v>
      </c>
      <c r="R55" s="36" t="str">
        <f t="shared" si="88"/>
        <v>1</v>
      </c>
      <c r="S55" s="59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1.0</v>
      </c>
      <c r="F56" s="34" t="s">
        <v>140</v>
      </c>
      <c r="G56" s="59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1</v>
      </c>
      <c r="M56" s="19" t="str">
        <f t="shared" si="83"/>
        <v>-4</v>
      </c>
      <c r="N56" s="19" t="str">
        <f t="shared" si="84"/>
        <v>1</v>
      </c>
      <c r="O56" s="19" t="str">
        <f t="shared" si="85"/>
        <v>5</v>
      </c>
      <c r="P56" s="19" t="str">
        <f t="shared" si="86"/>
        <v>0</v>
      </c>
      <c r="Q56" s="19" t="str">
        <f t="shared" si="87"/>
        <v>1</v>
      </c>
      <c r="R56" s="36" t="str">
        <f t="shared" si="88"/>
        <v>2</v>
      </c>
      <c r="S56" s="59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1.0</v>
      </c>
      <c r="D57" s="19" t="s">
        <v>31</v>
      </c>
      <c r="E57" s="23">
        <v>0.0</v>
      </c>
      <c r="F57" s="34" t="s">
        <v>141</v>
      </c>
      <c r="G57" s="59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1</v>
      </c>
      <c r="M57" s="38" t="str">
        <f t="shared" si="83"/>
        <v>-3</v>
      </c>
      <c r="N57" s="38" t="str">
        <f t="shared" si="84"/>
        <v>1</v>
      </c>
      <c r="O57" s="38" t="str">
        <f t="shared" si="85"/>
        <v>4</v>
      </c>
      <c r="P57" s="38" t="str">
        <f t="shared" si="86"/>
        <v>0</v>
      </c>
      <c r="Q57" s="38" t="str">
        <f t="shared" si="87"/>
        <v>1</v>
      </c>
      <c r="R57" s="39" t="str">
        <f t="shared" si="88"/>
        <v>2</v>
      </c>
      <c r="S57" s="59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0.0</v>
      </c>
      <c r="D58" s="38" t="s">
        <v>31</v>
      </c>
      <c r="E58" s="42">
        <v>2.0</v>
      </c>
      <c r="F58" s="43" t="s">
        <v>139</v>
      </c>
      <c r="G58" s="59"/>
      <c r="H58" s="44">
        <v>46200.0</v>
      </c>
      <c r="I58" s="45">
        <v>0.0</v>
      </c>
      <c r="J58" s="27"/>
      <c r="K58" s="46"/>
      <c r="S58" s="59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59"/>
      <c r="H60" s="16" t="s">
        <v>28</v>
      </c>
      <c r="I60" s="17" t="s">
        <v>29</v>
      </c>
      <c r="J60" s="18"/>
      <c r="K60" s="59"/>
      <c r="L60" s="59"/>
      <c r="M60" s="59"/>
      <c r="N60" s="59"/>
      <c r="O60" s="59"/>
      <c r="P60" s="59"/>
      <c r="Q60" s="59"/>
      <c r="R60" s="59"/>
      <c r="S60" s="59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5.0</v>
      </c>
      <c r="D61" s="19" t="s">
        <v>31</v>
      </c>
      <c r="E61" s="23">
        <v>0.0</v>
      </c>
      <c r="F61" s="34" t="s">
        <v>157</v>
      </c>
      <c r="G61" s="59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2.0</v>
      </c>
      <c r="D62" s="19" t="s">
        <v>31</v>
      </c>
      <c r="E62" s="23">
        <v>4.0</v>
      </c>
      <c r="F62" s="34" t="s">
        <v>159</v>
      </c>
      <c r="G62" s="59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3</v>
      </c>
      <c r="M62" s="19" t="str">
        <f t="shared" ref="M62:M65" si="96">N62-O62</f>
        <v>-3</v>
      </c>
      <c r="N62" s="19" t="str">
        <f t="shared" ref="N62:N65" si="97">SUM(INDIRECT($AC62),INDIRECT($AD62),INDIRECT($AE62))</f>
        <v>5</v>
      </c>
      <c r="O62" s="19" t="str">
        <f t="shared" ref="O62:O65" si="98">SUM(INDIRECT($AF62),INDIRECT($AG62),INDIRECT($AH62))</f>
        <v>8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4.0</v>
      </c>
      <c r="D63" s="19" t="s">
        <v>31</v>
      </c>
      <c r="E63" s="23">
        <v>1.0</v>
      </c>
      <c r="F63" s="34" t="s">
        <v>158</v>
      </c>
      <c r="G63" s="59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-9</v>
      </c>
      <c r="N63" s="19" t="str">
        <f t="shared" si="97"/>
        <v>0</v>
      </c>
      <c r="O63" s="19" t="str">
        <f t="shared" si="98"/>
        <v>9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3</v>
      </c>
      <c r="S63" s="59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2.0</v>
      </c>
      <c r="D64" s="19" t="s">
        <v>31</v>
      </c>
      <c r="E64" s="23">
        <v>0.0</v>
      </c>
      <c r="F64" s="34" t="s">
        <v>157</v>
      </c>
      <c r="G64" s="59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10</v>
      </c>
      <c r="N64" s="19" t="str">
        <f t="shared" si="97"/>
        <v>12</v>
      </c>
      <c r="O64" s="19" t="str">
        <f t="shared" si="98"/>
        <v>2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59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0.0</v>
      </c>
      <c r="D65" s="19" t="s">
        <v>31</v>
      </c>
      <c r="E65" s="23">
        <v>2.0</v>
      </c>
      <c r="F65" s="34" t="s">
        <v>158</v>
      </c>
      <c r="G65" s="59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2</v>
      </c>
      <c r="N65" s="38" t="str">
        <f t="shared" si="97"/>
        <v>7</v>
      </c>
      <c r="O65" s="38" t="str">
        <f t="shared" si="98"/>
        <v>5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59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1.0</v>
      </c>
      <c r="D66" s="38" t="s">
        <v>31</v>
      </c>
      <c r="E66" s="42">
        <v>3.0</v>
      </c>
      <c r="F66" s="43" t="s">
        <v>156</v>
      </c>
      <c r="G66" s="59"/>
      <c r="H66" s="44">
        <v>46199.0</v>
      </c>
      <c r="I66" s="45">
        <v>0.875</v>
      </c>
      <c r="J66" s="27"/>
      <c r="K66" s="46"/>
      <c r="S66" s="59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59"/>
      <c r="H68" s="16" t="s">
        <v>28</v>
      </c>
      <c r="I68" s="17" t="s">
        <v>29</v>
      </c>
      <c r="J68" s="18"/>
      <c r="K68" s="59"/>
      <c r="L68" s="59"/>
      <c r="M68" s="59"/>
      <c r="N68" s="59"/>
      <c r="O68" s="59"/>
      <c r="P68" s="59"/>
      <c r="Q68" s="59"/>
      <c r="R68" s="59"/>
      <c r="S68" s="59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4.0</v>
      </c>
      <c r="D69" s="19" t="s">
        <v>31</v>
      </c>
      <c r="E69" s="23">
        <v>2.0</v>
      </c>
      <c r="F69" s="34" t="s">
        <v>174</v>
      </c>
      <c r="G69" s="59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0</v>
      </c>
      <c r="AB69" s="6" t="str">
        <f>IF(
  AND(
    ISNUMBER(RESULTADOS!C69),
    ISNUMBER(RESULTADOS!E69),
    ISNUMBER(C69),
    ISNUMBER(E69),
    AND(Z69=1,AA69=0,(RESULTADOS!C69-RESULTADOS!E69)=(C69-E69))
  ),
  1,
  0
)</f>
        <v>1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3.0</v>
      </c>
      <c r="F70" s="34" t="s">
        <v>176</v>
      </c>
      <c r="G70" s="59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8</v>
      </c>
      <c r="N70" s="19" t="str">
        <f t="shared" ref="N70:N73" si="110">SUM(INDIRECT($AC70),INDIRECT($AD70),INDIRECT($AE70))</f>
        <v>11</v>
      </c>
      <c r="O70" s="19" t="str">
        <f t="shared" ref="O70:O73" si="111">SUM(INDIRECT($AF70),INDIRECT($AG70),INDIRECT($AH70))</f>
        <v>3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2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1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4.0</v>
      </c>
      <c r="D71" s="19" t="s">
        <v>31</v>
      </c>
      <c r="E71" s="23">
        <v>0.0</v>
      </c>
      <c r="F71" s="34" t="s">
        <v>175</v>
      </c>
      <c r="G71" s="59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-10</v>
      </c>
      <c r="N71" s="19" t="str">
        <f t="shared" si="110"/>
        <v>0</v>
      </c>
      <c r="O71" s="19" t="str">
        <f t="shared" si="111"/>
        <v>10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59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2.0</v>
      </c>
      <c r="D72" s="19" t="s">
        <v>31</v>
      </c>
      <c r="E72" s="23">
        <v>2.0</v>
      </c>
      <c r="F72" s="34" t="s">
        <v>174</v>
      </c>
      <c r="G72" s="59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4</v>
      </c>
      <c r="M72" s="19" t="str">
        <f t="shared" si="109"/>
        <v>1</v>
      </c>
      <c r="N72" s="19" t="str">
        <f t="shared" si="110"/>
        <v>6</v>
      </c>
      <c r="O72" s="19" t="str">
        <f t="shared" si="111"/>
        <v>5</v>
      </c>
      <c r="P72" s="19" t="str">
        <f t="shared" si="112"/>
        <v>1</v>
      </c>
      <c r="Q72" s="19" t="str">
        <f t="shared" si="113"/>
        <v>1</v>
      </c>
      <c r="R72" s="36" t="str">
        <f t="shared" si="114"/>
        <v>1</v>
      </c>
      <c r="S72" s="59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3.0</v>
      </c>
      <c r="D73" s="19" t="s">
        <v>31</v>
      </c>
      <c r="E73" s="23">
        <v>0.0</v>
      </c>
      <c r="F73" s="34" t="s">
        <v>175</v>
      </c>
      <c r="G73" s="59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4</v>
      </c>
      <c r="M73" s="38" t="str">
        <f t="shared" si="109"/>
        <v>1</v>
      </c>
      <c r="N73" s="38" t="str">
        <f t="shared" si="110"/>
        <v>7</v>
      </c>
      <c r="O73" s="38" t="str">
        <f t="shared" si="111"/>
        <v>6</v>
      </c>
      <c r="P73" s="38" t="str">
        <f t="shared" si="112"/>
        <v>1</v>
      </c>
      <c r="Q73" s="38" t="str">
        <f t="shared" si="113"/>
        <v>1</v>
      </c>
      <c r="R73" s="39" t="str">
        <f t="shared" si="114"/>
        <v>1</v>
      </c>
      <c r="S73" s="59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3.0</v>
      </c>
      <c r="F74" s="43" t="s">
        <v>173</v>
      </c>
      <c r="G74" s="59"/>
      <c r="H74" s="44">
        <v>46199.0</v>
      </c>
      <c r="I74" s="45">
        <v>0.666666666666667</v>
      </c>
      <c r="J74" s="27"/>
      <c r="K74" s="46"/>
      <c r="S74" s="59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59"/>
      <c r="H76" s="16" t="s">
        <v>28</v>
      </c>
      <c r="I76" s="17" t="s">
        <v>29</v>
      </c>
      <c r="J76" s="18"/>
      <c r="K76" s="59"/>
      <c r="L76" s="59"/>
      <c r="M76" s="59"/>
      <c r="N76" s="59"/>
      <c r="O76" s="59"/>
      <c r="P76" s="59"/>
      <c r="Q76" s="59"/>
      <c r="R76" s="59"/>
      <c r="S76" s="59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4.0</v>
      </c>
      <c r="D77" s="19" t="s">
        <v>31</v>
      </c>
      <c r="E77" s="23">
        <v>0.0</v>
      </c>
      <c r="F77" s="34" t="s">
        <v>191</v>
      </c>
      <c r="G77" s="59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2.0</v>
      </c>
      <c r="D78" s="19" t="s">
        <v>31</v>
      </c>
      <c r="E78" s="23">
        <v>0.0</v>
      </c>
      <c r="F78" s="34" t="s">
        <v>193</v>
      </c>
      <c r="G78" s="59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9</v>
      </c>
      <c r="N78" s="19" t="str">
        <f t="shared" ref="N78:N81" si="123">SUM(INDIRECT($AC78),INDIRECT($AD78),INDIRECT($AE78))</f>
        <v>9</v>
      </c>
      <c r="O78" s="19" t="str">
        <f t="shared" ref="O78:O81" si="124">SUM(INDIRECT($AF78),INDIRECT($AG78),INDIRECT($AH78))</f>
        <v>0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2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1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2.0</v>
      </c>
      <c r="D79" s="19" t="s">
        <v>31</v>
      </c>
      <c r="E79" s="23">
        <v>0.0</v>
      </c>
      <c r="F79" s="34" t="s">
        <v>192</v>
      </c>
      <c r="G79" s="59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3</v>
      </c>
      <c r="M79" s="19" t="str">
        <f t="shared" si="122"/>
        <v>-5</v>
      </c>
      <c r="N79" s="19" t="str">
        <f t="shared" si="123"/>
        <v>1</v>
      </c>
      <c r="O79" s="19" t="str">
        <f t="shared" si="124"/>
        <v>6</v>
      </c>
      <c r="P79" s="19" t="str">
        <f t="shared" si="125"/>
        <v>1</v>
      </c>
      <c r="Q79" s="19" t="str">
        <f t="shared" si="126"/>
        <v>0</v>
      </c>
      <c r="R79" s="36" t="str">
        <f t="shared" si="127"/>
        <v>2</v>
      </c>
      <c r="S79" s="59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0.0</v>
      </c>
      <c r="D80" s="19" t="s">
        <v>31</v>
      </c>
      <c r="E80" s="23">
        <v>1.0</v>
      </c>
      <c r="F80" s="34" t="s">
        <v>191</v>
      </c>
      <c r="G80" s="59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-6</v>
      </c>
      <c r="N80" s="19" t="str">
        <f t="shared" si="123"/>
        <v>0</v>
      </c>
      <c r="O80" s="19" t="str">
        <f t="shared" si="124"/>
        <v>6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3</v>
      </c>
      <c r="S80" s="59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3.0</v>
      </c>
      <c r="F81" s="34" t="s">
        <v>190</v>
      </c>
      <c r="G81" s="59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6</v>
      </c>
      <c r="M81" s="38" t="str">
        <f t="shared" si="122"/>
        <v>2</v>
      </c>
      <c r="N81" s="38" t="str">
        <f t="shared" si="123"/>
        <v>4</v>
      </c>
      <c r="O81" s="38" t="str">
        <f t="shared" si="124"/>
        <v>2</v>
      </c>
      <c r="P81" s="38" t="str">
        <f t="shared" si="125"/>
        <v>2</v>
      </c>
      <c r="Q81" s="38" t="str">
        <f t="shared" si="126"/>
        <v>0</v>
      </c>
      <c r="R81" s="39" t="str">
        <f t="shared" si="127"/>
        <v>1</v>
      </c>
      <c r="S81" s="59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0.0</v>
      </c>
      <c r="D82" s="38" t="s">
        <v>31</v>
      </c>
      <c r="E82" s="42">
        <v>2.0</v>
      </c>
      <c r="F82" s="43" t="s">
        <v>192</v>
      </c>
      <c r="G82" s="59"/>
      <c r="H82" s="44">
        <v>46200.0</v>
      </c>
      <c r="I82" s="45">
        <v>0.958333333333333</v>
      </c>
      <c r="J82" s="27"/>
      <c r="K82" s="46"/>
      <c r="S82" s="59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59"/>
      <c r="H84" s="16" t="s">
        <v>28</v>
      </c>
      <c r="I84" s="17" t="s">
        <v>29</v>
      </c>
      <c r="J84" s="18"/>
      <c r="K84" s="59"/>
      <c r="L84" s="59"/>
      <c r="M84" s="59"/>
      <c r="N84" s="59"/>
      <c r="O84" s="59"/>
      <c r="P84" s="59"/>
      <c r="Q84" s="59"/>
      <c r="R84" s="59"/>
      <c r="S84" s="59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2.0</v>
      </c>
      <c r="D85" s="19" t="s">
        <v>31</v>
      </c>
      <c r="E85" s="23">
        <v>0.0</v>
      </c>
      <c r="F85" s="34" t="s">
        <v>208</v>
      </c>
      <c r="G85" s="59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0.0</v>
      </c>
      <c r="D86" s="19" t="s">
        <v>31</v>
      </c>
      <c r="E86" s="23">
        <v>2.0</v>
      </c>
      <c r="F86" s="34" t="s">
        <v>210</v>
      </c>
      <c r="G86" s="59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3</v>
      </c>
      <c r="N86" s="19" t="str">
        <f t="shared" ref="N86:N89" si="136">SUM(INDIRECT($AC86),INDIRECT($AD86),INDIRECT($AE86))</f>
        <v>5</v>
      </c>
      <c r="O86" s="19" t="str">
        <f t="shared" ref="O86:O89" si="137">SUM(INDIRECT($AF86),INDIRECT($AG86),INDIRECT($AH86))</f>
        <v>2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1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3.0</v>
      </c>
      <c r="D87" s="19" t="s">
        <v>31</v>
      </c>
      <c r="E87" s="23">
        <v>0.0</v>
      </c>
      <c r="F87" s="34" t="s">
        <v>209</v>
      </c>
      <c r="G87" s="59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6</v>
      </c>
      <c r="N87" s="19" t="str">
        <f t="shared" si="136"/>
        <v>7</v>
      </c>
      <c r="O87" s="19" t="str">
        <f t="shared" si="137"/>
        <v>1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59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2.0</v>
      </c>
      <c r="D88" s="19" t="s">
        <v>31</v>
      </c>
      <c r="E88" s="23">
        <v>0.0</v>
      </c>
      <c r="F88" s="34" t="s">
        <v>208</v>
      </c>
      <c r="G88" s="59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1</v>
      </c>
      <c r="M88" s="19" t="str">
        <f t="shared" si="135"/>
        <v>-4</v>
      </c>
      <c r="N88" s="19" t="str">
        <f t="shared" si="136"/>
        <v>0</v>
      </c>
      <c r="O88" s="19" t="str">
        <f t="shared" si="137"/>
        <v>4</v>
      </c>
      <c r="P88" s="19" t="str">
        <f t="shared" si="138"/>
        <v>0</v>
      </c>
      <c r="Q88" s="19" t="str">
        <f t="shared" si="139"/>
        <v>1</v>
      </c>
      <c r="R88" s="36" t="str">
        <f t="shared" si="140"/>
        <v>2</v>
      </c>
      <c r="S88" s="59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0.0</v>
      </c>
      <c r="D89" s="19" t="s">
        <v>31</v>
      </c>
      <c r="E89" s="23">
        <v>0.0</v>
      </c>
      <c r="F89" s="34" t="s">
        <v>209</v>
      </c>
      <c r="G89" s="59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1</v>
      </c>
      <c r="M89" s="38" t="str">
        <f t="shared" si="135"/>
        <v>-5</v>
      </c>
      <c r="N89" s="38" t="str">
        <f t="shared" si="136"/>
        <v>0</v>
      </c>
      <c r="O89" s="38" t="str">
        <f t="shared" si="137"/>
        <v>5</v>
      </c>
      <c r="P89" s="38" t="str">
        <f t="shared" si="138"/>
        <v>0</v>
      </c>
      <c r="Q89" s="38" t="str">
        <f t="shared" si="139"/>
        <v>1</v>
      </c>
      <c r="R89" s="39" t="str">
        <f t="shared" si="140"/>
        <v>2</v>
      </c>
      <c r="S89" s="59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1.0</v>
      </c>
      <c r="D90" s="38" t="s">
        <v>31</v>
      </c>
      <c r="E90" s="42">
        <v>2.0</v>
      </c>
      <c r="F90" s="43" t="s">
        <v>207</v>
      </c>
      <c r="G90" s="59"/>
      <c r="H90" s="44">
        <v>46200.0</v>
      </c>
      <c r="I90" s="45">
        <v>0.854166666666667</v>
      </c>
      <c r="J90" s="27"/>
      <c r="K90" s="46"/>
      <c r="S90" s="59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59"/>
      <c r="H92" s="16" t="s">
        <v>28</v>
      </c>
      <c r="I92" s="17" t="s">
        <v>29</v>
      </c>
      <c r="J92" s="18"/>
      <c r="K92" s="59"/>
      <c r="L92" s="59"/>
      <c r="M92" s="59"/>
      <c r="N92" s="59"/>
      <c r="O92" s="59"/>
      <c r="P92" s="59"/>
      <c r="Q92" s="59"/>
      <c r="R92" s="59"/>
      <c r="S92" s="59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2.0</v>
      </c>
      <c r="D93" s="19" t="s">
        <v>31</v>
      </c>
      <c r="E93" s="23">
        <v>1.0</v>
      </c>
      <c r="F93" s="34" t="s">
        <v>225</v>
      </c>
      <c r="G93" s="59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1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1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1.0</v>
      </c>
      <c r="D94" s="19" t="s">
        <v>31</v>
      </c>
      <c r="E94" s="23">
        <v>0.0</v>
      </c>
      <c r="F94" s="34" t="s">
        <v>227</v>
      </c>
      <c r="G94" s="59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6</v>
      </c>
      <c r="M94" s="19" t="str">
        <f t="shared" ref="M94:M97" si="148">N94-O94</f>
        <v>3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2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0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1</v>
      </c>
      <c r="S94" s="31"/>
      <c r="T94" s="32" t="str">
        <f t="shared" si="144"/>
        <v/>
      </c>
      <c r="U94" s="19" t="str">
        <f t="shared" si="145"/>
        <v>4</v>
      </c>
      <c r="Y94" s="33" t="str">
        <f>IF(AND(ISNUMBER(RESULTADOS!C94),ISNUMBER(RESULTADOS!E94),ISNUMBER(C94),ISNUMBER(E94),C94=RESULTADOS!C94,E94=RESULTADOS!E94),2,0)</f>
        <v>2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2.0</v>
      </c>
      <c r="D95" s="19" t="s">
        <v>31</v>
      </c>
      <c r="E95" s="23">
        <v>0.0</v>
      </c>
      <c r="F95" s="34" t="s">
        <v>226</v>
      </c>
      <c r="G95" s="59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-3</v>
      </c>
      <c r="N95" s="19" t="str">
        <f t="shared" si="149"/>
        <v>1</v>
      </c>
      <c r="O95" s="19" t="str">
        <f t="shared" si="150"/>
        <v>4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59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0.0</v>
      </c>
      <c r="D96" s="19" t="s">
        <v>31</v>
      </c>
      <c r="E96" s="23">
        <v>2.0</v>
      </c>
      <c r="F96" s="34" t="s">
        <v>225</v>
      </c>
      <c r="G96" s="59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9</v>
      </c>
      <c r="M96" s="19" t="str">
        <f t="shared" si="148"/>
        <v>5</v>
      </c>
      <c r="N96" s="19" t="str">
        <f t="shared" si="149"/>
        <v>7</v>
      </c>
      <c r="O96" s="19" t="str">
        <f t="shared" si="150"/>
        <v>2</v>
      </c>
      <c r="P96" s="19" t="str">
        <f t="shared" si="151"/>
        <v>3</v>
      </c>
      <c r="Q96" s="19" t="str">
        <f t="shared" si="152"/>
        <v>0</v>
      </c>
      <c r="R96" s="36" t="str">
        <f t="shared" si="153"/>
        <v>0</v>
      </c>
      <c r="S96" s="59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2.0</v>
      </c>
      <c r="D97" s="19" t="s">
        <v>31</v>
      </c>
      <c r="E97" s="23">
        <v>0.0</v>
      </c>
      <c r="F97" s="34" t="s">
        <v>226</v>
      </c>
      <c r="G97" s="59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-5</v>
      </c>
      <c r="N97" s="38" t="str">
        <f t="shared" si="149"/>
        <v>1</v>
      </c>
      <c r="O97" s="38" t="str">
        <f t="shared" si="150"/>
        <v>6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59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1.0</v>
      </c>
      <c r="D98" s="38" t="s">
        <v>31</v>
      </c>
      <c r="E98" s="42">
        <v>3.0</v>
      </c>
      <c r="F98" s="43" t="s">
        <v>224</v>
      </c>
      <c r="G98" s="59"/>
      <c r="H98" s="44">
        <v>46200.0</v>
      </c>
      <c r="I98" s="45">
        <v>0.75</v>
      </c>
      <c r="J98" s="27"/>
      <c r="K98" s="46"/>
      <c r="S98" s="59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6"/>
      <c r="Z1" s="7"/>
      <c r="AA1" s="7"/>
      <c r="AB1" s="7"/>
      <c r="AC1" s="7"/>
      <c r="AD1" s="7"/>
      <c r="AE1" s="7"/>
      <c r="AF1" s="7"/>
      <c r="AG1" s="7"/>
      <c r="AH1" s="7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243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14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2.0</v>
      </c>
      <c r="D5" s="19" t="s">
        <v>31</v>
      </c>
      <c r="E5" s="23">
        <v>0.0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4</v>
      </c>
      <c r="Y5" s="33" t="str">
        <f>IF(AND(ISNUMBER(RESULTADOS!C5),ISNUMBER(RESULTADOS!E5),ISNUMBER(C5),ISNUMBER(E5),C5=RESULTADOS!C5,E5=RESULTADOS!E5),2,0)</f>
        <v>2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1.0</v>
      </c>
      <c r="D6" s="19" t="s">
        <v>31</v>
      </c>
      <c r="E6" s="23">
        <v>1.0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2</v>
      </c>
      <c r="M6" s="19" t="str">
        <f t="shared" ref="M6:M9" si="5">N6-O6</f>
        <v>-1</v>
      </c>
      <c r="N6" s="19" t="str">
        <f t="shared" ref="N6:N9" si="6">SUM(INDIRECT($AC6),INDIRECT($AD6),INDIRECT($AE6))</f>
        <v>4</v>
      </c>
      <c r="O6" s="19" t="str">
        <f t="shared" ref="O6:O9" si="7">SUM(INDIRECT($AF6),INDIRECT($AG6),INDIRECT($AH6))</f>
        <v>5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0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2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2.0</v>
      </c>
      <c r="D7" s="19" t="s">
        <v>31</v>
      </c>
      <c r="E7" s="23">
        <v>1.0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7</v>
      </c>
      <c r="M7" s="19" t="str">
        <f t="shared" si="5"/>
        <v>3</v>
      </c>
      <c r="N7" s="19" t="str">
        <f t="shared" si="6"/>
        <v>5</v>
      </c>
      <c r="O7" s="19" t="str">
        <f t="shared" si="7"/>
        <v>2</v>
      </c>
      <c r="P7" s="19" t="str">
        <f t="shared" si="8"/>
        <v>2</v>
      </c>
      <c r="Q7" s="19" t="str">
        <f t="shared" si="9"/>
        <v>1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2.0</v>
      </c>
      <c r="D8" s="19" t="s">
        <v>31</v>
      </c>
      <c r="E8" s="23">
        <v>1.0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5</v>
      </c>
      <c r="M8" s="19" t="str">
        <f t="shared" si="5"/>
        <v>1</v>
      </c>
      <c r="N8" s="19" t="str">
        <f t="shared" si="6"/>
        <v>4</v>
      </c>
      <c r="O8" s="19" t="str">
        <f t="shared" si="7"/>
        <v>3</v>
      </c>
      <c r="P8" s="19" t="str">
        <f t="shared" si="8"/>
        <v>1</v>
      </c>
      <c r="Q8" s="19" t="str">
        <f t="shared" si="9"/>
        <v>2</v>
      </c>
      <c r="R8" s="36" t="str">
        <f t="shared" si="10"/>
        <v>0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2.0</v>
      </c>
      <c r="D9" s="19" t="s">
        <v>31</v>
      </c>
      <c r="E9" s="23">
        <v>2.0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1</v>
      </c>
      <c r="M9" s="38" t="str">
        <f t="shared" si="5"/>
        <v>-3</v>
      </c>
      <c r="N9" s="38" t="str">
        <f t="shared" si="6"/>
        <v>3</v>
      </c>
      <c r="O9" s="38" t="str">
        <f t="shared" si="7"/>
        <v>6</v>
      </c>
      <c r="P9" s="38" t="str">
        <f t="shared" si="8"/>
        <v>0</v>
      </c>
      <c r="Q9" s="38" t="str">
        <f t="shared" si="9"/>
        <v>1</v>
      </c>
      <c r="R9" s="39" t="str">
        <f t="shared" si="10"/>
        <v>2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1.0</v>
      </c>
      <c r="D10" s="38" t="s">
        <v>31</v>
      </c>
      <c r="E10" s="42">
        <v>1.0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1.0</v>
      </c>
      <c r="D13" s="19" t="s">
        <v>31</v>
      </c>
      <c r="E13" s="23">
        <v>1.0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4</v>
      </c>
      <c r="Y13" s="33" t="str">
        <f>IF(AND(ISNUMBER(RESULTADOS!C13),ISNUMBER(RESULTADOS!E13),ISNUMBER(C13),ISNUMBER(E13),C13=RESULTADOS!C13,E13=RESULTADOS!E13),2,0)</f>
        <v>2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2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1.0</v>
      </c>
      <c r="D14" s="19" t="s">
        <v>31</v>
      </c>
      <c r="E14" s="23">
        <v>3.0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4</v>
      </c>
      <c r="M14" s="19" t="str">
        <f t="shared" ref="M14:M17" si="18">N14-O14</f>
        <v>-1</v>
      </c>
      <c r="N14" s="19" t="str">
        <f t="shared" ref="N14:N17" si="19">SUM(INDIRECT($AC14),INDIRECT($AD14),INDIRECT($AE14))</f>
        <v>2</v>
      </c>
      <c r="O14" s="19" t="str">
        <f t="shared" ref="O14:O17" si="20">SUM(INDIRECT($AF14),INDIRECT($AG14),INDIRECT($AH14))</f>
        <v>3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1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2.0</v>
      </c>
      <c r="D15" s="19" t="s">
        <v>31</v>
      </c>
      <c r="E15" s="23">
        <v>0.0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4</v>
      </c>
      <c r="M15" s="19" t="str">
        <f t="shared" si="18"/>
        <v>0</v>
      </c>
      <c r="N15" s="19" t="str">
        <f t="shared" si="19"/>
        <v>3</v>
      </c>
      <c r="O15" s="19" t="str">
        <f t="shared" si="20"/>
        <v>3</v>
      </c>
      <c r="P15" s="19" t="str">
        <f t="shared" si="21"/>
        <v>1</v>
      </c>
      <c r="Q15" s="19" t="str">
        <f t="shared" si="22"/>
        <v>1</v>
      </c>
      <c r="R15" s="36" t="str">
        <f t="shared" si="23"/>
        <v>1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2.0</v>
      </c>
      <c r="D16" s="19" t="s">
        <v>31</v>
      </c>
      <c r="E16" s="23">
        <v>1.0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-4</v>
      </c>
      <c r="N16" s="19" t="str">
        <f t="shared" si="19"/>
        <v>2</v>
      </c>
      <c r="O16" s="19" t="str">
        <f t="shared" si="20"/>
        <v>6</v>
      </c>
      <c r="P16" s="19" t="str">
        <f t="shared" si="21"/>
        <v>0</v>
      </c>
      <c r="Q16" s="19" t="str">
        <f t="shared" si="22"/>
        <v>0</v>
      </c>
      <c r="R16" s="36" t="str">
        <f t="shared" si="23"/>
        <v>3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1.0</v>
      </c>
      <c r="D17" s="19" t="s">
        <v>31</v>
      </c>
      <c r="E17" s="23">
        <v>0.0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9</v>
      </c>
      <c r="M17" s="38" t="str">
        <f t="shared" si="18"/>
        <v>5</v>
      </c>
      <c r="N17" s="38" t="str">
        <f t="shared" si="19"/>
        <v>6</v>
      </c>
      <c r="O17" s="38" t="str">
        <f t="shared" si="20"/>
        <v>1</v>
      </c>
      <c r="P17" s="38" t="str">
        <f t="shared" si="21"/>
        <v>3</v>
      </c>
      <c r="Q17" s="38" t="str">
        <f t="shared" si="22"/>
        <v>0</v>
      </c>
      <c r="R17" s="39" t="str">
        <f t="shared" si="23"/>
        <v>0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1.0</v>
      </c>
      <c r="D18" s="38" t="s">
        <v>31</v>
      </c>
      <c r="E18" s="42">
        <v>0.0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2.0</v>
      </c>
      <c r="D21" s="19" t="s">
        <v>31</v>
      </c>
      <c r="E21" s="23">
        <v>1.0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0.0</v>
      </c>
      <c r="D22" s="19" t="s">
        <v>31</v>
      </c>
      <c r="E22" s="23">
        <v>2.0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4</v>
      </c>
      <c r="N22" s="19" t="str">
        <f t="shared" ref="N22:N25" si="32">SUM(INDIRECT($AC22),INDIRECT($AD22),INDIRECT($AE22))</f>
        <v>6</v>
      </c>
      <c r="O22" s="19" t="str">
        <f t="shared" ref="O22:O25" si="33">SUM(INDIRECT($AF22),INDIRECT($AG22),INDIRECT($AH22))</f>
        <v>2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1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2.0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0</v>
      </c>
      <c r="N23" s="19" t="str">
        <f t="shared" si="32"/>
        <v>3</v>
      </c>
      <c r="O23" s="19" t="str">
        <f t="shared" si="33"/>
        <v>3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3.0</v>
      </c>
      <c r="D24" s="19" t="s">
        <v>31</v>
      </c>
      <c r="E24" s="23">
        <v>1.0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-6</v>
      </c>
      <c r="N24" s="19" t="str">
        <f t="shared" si="32"/>
        <v>1</v>
      </c>
      <c r="O24" s="19" t="str">
        <f t="shared" si="33"/>
        <v>7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2.0</v>
      </c>
      <c r="D25" s="19" t="s">
        <v>31</v>
      </c>
      <c r="E25" s="23">
        <v>0.0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2</v>
      </c>
      <c r="N25" s="38" t="str">
        <f t="shared" si="32"/>
        <v>5</v>
      </c>
      <c r="O25" s="38" t="str">
        <f t="shared" si="33"/>
        <v>3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0.0</v>
      </c>
      <c r="D26" s="38" t="s">
        <v>31</v>
      </c>
      <c r="E26" s="42">
        <v>1.0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1.0</v>
      </c>
      <c r="D29" s="19" t="s">
        <v>31</v>
      </c>
      <c r="E29" s="23">
        <v>1.0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0.0</v>
      </c>
      <c r="D30" s="19" t="s">
        <v>31</v>
      </c>
      <c r="E30" s="23">
        <v>2.0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3</v>
      </c>
      <c r="M30" s="19" t="str">
        <f t="shared" ref="M30:M33" si="44">N30-O30</f>
        <v>-2</v>
      </c>
      <c r="N30" s="19" t="str">
        <f t="shared" ref="N30:N33" si="45">SUM(INDIRECT($AC30),INDIRECT($AD30),INDIRECT($AE30))</f>
        <v>2</v>
      </c>
      <c r="O30" s="19" t="str">
        <f t="shared" ref="O30:O33" si="46">SUM(INDIRECT($AF30),INDIRECT($AG30),INDIRECT($AH30))</f>
        <v>4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1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2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1.0</v>
      </c>
      <c r="D31" s="19" t="s">
        <v>31</v>
      </c>
      <c r="E31" s="23">
        <v>2.0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1</v>
      </c>
      <c r="M31" s="19" t="str">
        <f t="shared" si="44"/>
        <v>-3</v>
      </c>
      <c r="N31" s="19" t="str">
        <f t="shared" si="45"/>
        <v>2</v>
      </c>
      <c r="O31" s="19" t="str">
        <f t="shared" si="46"/>
        <v>5</v>
      </c>
      <c r="P31" s="19" t="str">
        <f t="shared" si="47"/>
        <v>0</v>
      </c>
      <c r="Q31" s="19" t="str">
        <f t="shared" si="48"/>
        <v>1</v>
      </c>
      <c r="R31" s="36" t="str">
        <f t="shared" si="49"/>
        <v>2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2.0</v>
      </c>
      <c r="D32" s="19" t="s">
        <v>31</v>
      </c>
      <c r="E32" s="23">
        <v>1.0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1</v>
      </c>
      <c r="M32" s="19" t="str">
        <f t="shared" si="44"/>
        <v>-2</v>
      </c>
      <c r="N32" s="19" t="str">
        <f t="shared" si="45"/>
        <v>2</v>
      </c>
      <c r="O32" s="19" t="str">
        <f t="shared" si="46"/>
        <v>4</v>
      </c>
      <c r="P32" s="19" t="str">
        <f t="shared" si="47"/>
        <v>0</v>
      </c>
      <c r="Q32" s="19" t="str">
        <f t="shared" si="48"/>
        <v>1</v>
      </c>
      <c r="R32" s="36" t="str">
        <f t="shared" si="49"/>
        <v>2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2.0</v>
      </c>
      <c r="D33" s="19" t="s">
        <v>31</v>
      </c>
      <c r="E33" s="23">
        <v>0.0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9</v>
      </c>
      <c r="M33" s="38" t="str">
        <f t="shared" si="44"/>
        <v>5</v>
      </c>
      <c r="N33" s="38" t="str">
        <f t="shared" si="45"/>
        <v>6</v>
      </c>
      <c r="O33" s="38" t="str">
        <f t="shared" si="46"/>
        <v>1</v>
      </c>
      <c r="P33" s="38" t="str">
        <f t="shared" si="47"/>
        <v>3</v>
      </c>
      <c r="Q33" s="38" t="str">
        <f t="shared" si="48"/>
        <v>0</v>
      </c>
      <c r="R33" s="39" t="str">
        <f t="shared" si="49"/>
        <v>0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1.0</v>
      </c>
      <c r="D34" s="38" t="s">
        <v>31</v>
      </c>
      <c r="E34" s="42">
        <v>0.0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4.0</v>
      </c>
      <c r="D37" s="19" t="s">
        <v>31</v>
      </c>
      <c r="E37" s="23">
        <v>0.0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1.0</v>
      </c>
      <c r="D38" s="19" t="s">
        <v>31</v>
      </c>
      <c r="E38" s="23">
        <v>1.0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9</v>
      </c>
      <c r="M38" s="19" t="str">
        <f t="shared" ref="M38:M41" si="57">N38-O38</f>
        <v>7</v>
      </c>
      <c r="N38" s="19" t="str">
        <f t="shared" ref="N38:N41" si="58">SUM(INDIRECT($AC38),INDIRECT($AD38),INDIRECT($AE38))</f>
        <v>8</v>
      </c>
      <c r="O38" s="19" t="str">
        <f t="shared" ref="O38:O41" si="59">SUM(INDIRECT($AF38),INDIRECT($AG38),INDIRECT($AH38))</f>
        <v>1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3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0.0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4</v>
      </c>
      <c r="M39" s="19" t="str">
        <f t="shared" si="57"/>
        <v>-1</v>
      </c>
      <c r="N39" s="19" t="str">
        <f t="shared" si="58"/>
        <v>3</v>
      </c>
      <c r="O39" s="19" t="str">
        <f t="shared" si="59"/>
        <v>4</v>
      </c>
      <c r="P39" s="19" t="str">
        <f t="shared" si="60"/>
        <v>1</v>
      </c>
      <c r="Q39" s="19" t="str">
        <f t="shared" si="61"/>
        <v>1</v>
      </c>
      <c r="R39" s="36" t="str">
        <f t="shared" si="62"/>
        <v>1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2.0</v>
      </c>
      <c r="D40" s="19" t="s">
        <v>31</v>
      </c>
      <c r="E40" s="23">
        <v>0.0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-7</v>
      </c>
      <c r="N40" s="19" t="str">
        <f t="shared" si="58"/>
        <v>1</v>
      </c>
      <c r="O40" s="19" t="str">
        <f t="shared" si="59"/>
        <v>8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1.0</v>
      </c>
      <c r="D41" s="19" t="s">
        <v>31</v>
      </c>
      <c r="E41" s="23">
        <v>2.0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4</v>
      </c>
      <c r="M41" s="38" t="str">
        <f t="shared" si="57"/>
        <v>1</v>
      </c>
      <c r="N41" s="38" t="str">
        <f t="shared" si="58"/>
        <v>4</v>
      </c>
      <c r="O41" s="38" t="str">
        <f t="shared" si="59"/>
        <v>3</v>
      </c>
      <c r="P41" s="38" t="str">
        <f t="shared" si="60"/>
        <v>1</v>
      </c>
      <c r="Q41" s="38" t="str">
        <f t="shared" si="61"/>
        <v>1</v>
      </c>
      <c r="R41" s="39" t="str">
        <f t="shared" si="62"/>
        <v>1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1.0</v>
      </c>
      <c r="D42" s="38" t="s">
        <v>31</v>
      </c>
      <c r="E42" s="42">
        <v>2.0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2.0</v>
      </c>
      <c r="D45" s="19" t="s">
        <v>31</v>
      </c>
      <c r="E45" s="23">
        <v>0.0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1.0</v>
      </c>
      <c r="D46" s="19" t="s">
        <v>31</v>
      </c>
      <c r="E46" s="23">
        <v>0.0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9</v>
      </c>
      <c r="M46" s="19" t="str">
        <f t="shared" ref="M46:M49" si="70">N46-O46</f>
        <v>5</v>
      </c>
      <c r="N46" s="19" t="str">
        <f t="shared" ref="N46:N49" si="71">SUM(INDIRECT($AC46),INDIRECT($AD46),INDIRECT($AE46))</f>
        <v>6</v>
      </c>
      <c r="O46" s="19" t="str">
        <f t="shared" ref="O46:O49" si="72">SUM(INDIRECT($AF46),INDIRECT($AG46),INDIRECT($AH46))</f>
        <v>1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3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1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1.0</v>
      </c>
      <c r="D47" s="19" t="s">
        <v>31</v>
      </c>
      <c r="E47" s="23">
        <v>0.0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1</v>
      </c>
      <c r="M47" s="19" t="str">
        <f t="shared" si="70"/>
        <v>-4</v>
      </c>
      <c r="N47" s="19" t="str">
        <f t="shared" si="71"/>
        <v>1</v>
      </c>
      <c r="O47" s="19" t="str">
        <f t="shared" si="72"/>
        <v>5</v>
      </c>
      <c r="P47" s="19" t="str">
        <f t="shared" si="73"/>
        <v>0</v>
      </c>
      <c r="Q47" s="19" t="str">
        <f t="shared" si="74"/>
        <v>1</v>
      </c>
      <c r="R47" s="36" t="str">
        <f t="shared" si="75"/>
        <v>2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1.0</v>
      </c>
      <c r="D48" s="19" t="s">
        <v>31</v>
      </c>
      <c r="E48" s="23">
        <v>1.0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6</v>
      </c>
      <c r="M48" s="19" t="str">
        <f t="shared" si="70"/>
        <v>2</v>
      </c>
      <c r="N48" s="19" t="str">
        <f t="shared" si="71"/>
        <v>3</v>
      </c>
      <c r="O48" s="19" t="str">
        <f t="shared" si="72"/>
        <v>1</v>
      </c>
      <c r="P48" s="19" t="str">
        <f t="shared" si="73"/>
        <v>2</v>
      </c>
      <c r="Q48" s="19" t="str">
        <f t="shared" si="74"/>
        <v>0</v>
      </c>
      <c r="R48" s="36" t="str">
        <f t="shared" si="75"/>
        <v>1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1.0</v>
      </c>
      <c r="D49" s="19" t="s">
        <v>31</v>
      </c>
      <c r="E49" s="23">
        <v>3.0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1</v>
      </c>
      <c r="M49" s="38" t="str">
        <f t="shared" si="70"/>
        <v>-3</v>
      </c>
      <c r="N49" s="38" t="str">
        <f t="shared" si="71"/>
        <v>2</v>
      </c>
      <c r="O49" s="38" t="str">
        <f t="shared" si="72"/>
        <v>5</v>
      </c>
      <c r="P49" s="38" t="str">
        <f t="shared" si="73"/>
        <v>0</v>
      </c>
      <c r="Q49" s="38" t="str">
        <f t="shared" si="74"/>
        <v>1</v>
      </c>
      <c r="R49" s="39" t="str">
        <f t="shared" si="75"/>
        <v>2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0.0</v>
      </c>
      <c r="D50" s="38" t="s">
        <v>31</v>
      </c>
      <c r="E50" s="42">
        <v>2.0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2.0</v>
      </c>
      <c r="D53" s="19" t="s">
        <v>31</v>
      </c>
      <c r="E53" s="23">
        <v>0.0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1.0</v>
      </c>
      <c r="D54" s="19" t="s">
        <v>31</v>
      </c>
      <c r="E54" s="23">
        <v>1.0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9</v>
      </c>
      <c r="M54" s="19" t="str">
        <f t="shared" ref="M54:M57" si="83">N54-O54</f>
        <v>6</v>
      </c>
      <c r="N54" s="19" t="str">
        <f t="shared" ref="N54:N57" si="84">SUM(INDIRECT($AC54),INDIRECT($AD54),INDIRECT($AE54))</f>
        <v>6</v>
      </c>
      <c r="O54" s="19" t="str">
        <f t="shared" ref="O54:O57" si="85">SUM(INDIRECT($AF54),INDIRECT($AG54),INDIRECT($AH54))</f>
        <v>0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3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2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2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2.0</v>
      </c>
      <c r="D55" s="19" t="s">
        <v>31</v>
      </c>
      <c r="E55" s="23">
        <v>0.0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2</v>
      </c>
      <c r="M55" s="19" t="str">
        <f t="shared" si="83"/>
        <v>-2</v>
      </c>
      <c r="N55" s="19" t="str">
        <f t="shared" si="84"/>
        <v>2</v>
      </c>
      <c r="O55" s="19" t="str">
        <f t="shared" si="85"/>
        <v>4</v>
      </c>
      <c r="P55" s="19" t="str">
        <f t="shared" si="86"/>
        <v>0</v>
      </c>
      <c r="Q55" s="19" t="str">
        <f t="shared" si="87"/>
        <v>2</v>
      </c>
      <c r="R55" s="36" t="str">
        <f t="shared" si="88"/>
        <v>1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1.0</v>
      </c>
      <c r="D56" s="19" t="s">
        <v>31</v>
      </c>
      <c r="E56" s="23">
        <v>1.0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2</v>
      </c>
      <c r="M56" s="19" t="str">
        <f t="shared" si="83"/>
        <v>-2</v>
      </c>
      <c r="N56" s="19" t="str">
        <f t="shared" si="84"/>
        <v>2</v>
      </c>
      <c r="O56" s="19" t="str">
        <f t="shared" si="85"/>
        <v>4</v>
      </c>
      <c r="P56" s="19" t="str">
        <f t="shared" si="86"/>
        <v>0</v>
      </c>
      <c r="Q56" s="19" t="str">
        <f t="shared" si="87"/>
        <v>2</v>
      </c>
      <c r="R56" s="36" t="str">
        <f t="shared" si="88"/>
        <v>1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1.0</v>
      </c>
      <c r="D57" s="19" t="s">
        <v>31</v>
      </c>
      <c r="E57" s="23">
        <v>1.0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2</v>
      </c>
      <c r="M57" s="38" t="str">
        <f t="shared" si="83"/>
        <v>-2</v>
      </c>
      <c r="N57" s="38" t="str">
        <f t="shared" si="84"/>
        <v>2</v>
      </c>
      <c r="O57" s="38" t="str">
        <f t="shared" si="85"/>
        <v>4</v>
      </c>
      <c r="P57" s="38" t="str">
        <f t="shared" si="86"/>
        <v>0</v>
      </c>
      <c r="Q57" s="38" t="str">
        <f t="shared" si="87"/>
        <v>2</v>
      </c>
      <c r="R57" s="39" t="str">
        <f t="shared" si="88"/>
        <v>1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0.0</v>
      </c>
      <c r="D58" s="38" t="s">
        <v>31</v>
      </c>
      <c r="E58" s="42">
        <v>2.0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4.0</v>
      </c>
      <c r="D61" s="19" t="s">
        <v>31</v>
      </c>
      <c r="E61" s="23">
        <v>0.0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0.0</v>
      </c>
      <c r="D62" s="19" t="s">
        <v>31</v>
      </c>
      <c r="E62" s="23">
        <v>2.0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1</v>
      </c>
      <c r="M62" s="19" t="str">
        <f t="shared" ref="M62:M65" si="96">N62-O62</f>
        <v>-5</v>
      </c>
      <c r="N62" s="19" t="str">
        <f t="shared" ref="N62:N65" si="97">SUM(INDIRECT($AC62),INDIRECT($AD62),INDIRECT($AE62))</f>
        <v>1</v>
      </c>
      <c r="O62" s="19" t="str">
        <f t="shared" ref="O62:O65" si="98">SUM(INDIRECT($AF62),INDIRECT($AG62),INDIRECT($AH62))</f>
        <v>6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0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1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3.0</v>
      </c>
      <c r="D63" s="19" t="s">
        <v>31</v>
      </c>
      <c r="E63" s="23">
        <v>0.0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1</v>
      </c>
      <c r="M63" s="19" t="str">
        <f t="shared" si="96"/>
        <v>-5</v>
      </c>
      <c r="N63" s="19" t="str">
        <f t="shared" si="97"/>
        <v>1</v>
      </c>
      <c r="O63" s="19" t="str">
        <f t="shared" si="98"/>
        <v>6</v>
      </c>
      <c r="P63" s="19" t="str">
        <f t="shared" si="99"/>
        <v>0</v>
      </c>
      <c r="Q63" s="19" t="str">
        <f t="shared" si="100"/>
        <v>1</v>
      </c>
      <c r="R63" s="36" t="str">
        <f t="shared" si="101"/>
        <v>2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1.0</v>
      </c>
      <c r="D64" s="19" t="s">
        <v>31</v>
      </c>
      <c r="E64" s="23">
        <v>0.0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8</v>
      </c>
      <c r="N64" s="19" t="str">
        <f t="shared" si="97"/>
        <v>9</v>
      </c>
      <c r="O64" s="19" t="str">
        <f t="shared" si="98"/>
        <v>1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1.0</v>
      </c>
      <c r="D65" s="19" t="s">
        <v>31</v>
      </c>
      <c r="E65" s="23">
        <v>1.0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2</v>
      </c>
      <c r="N65" s="38" t="str">
        <f t="shared" si="97"/>
        <v>4</v>
      </c>
      <c r="O65" s="38" t="str">
        <f t="shared" si="98"/>
        <v>2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1.0</v>
      </c>
      <c r="D66" s="38" t="s">
        <v>31</v>
      </c>
      <c r="E66" s="42">
        <v>2.0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3.0</v>
      </c>
      <c r="D69" s="19" t="s">
        <v>31</v>
      </c>
      <c r="E69" s="23">
        <v>1.0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4</v>
      </c>
      <c r="Y69" s="33" t="str">
        <f>IF(AND(ISNUMBER(RESULTADOS!C69),ISNUMBER(RESULTADOS!E69),ISNUMBER(C69),ISNUMBER(E69),C69=RESULTADOS!C69,E69=RESULTADOS!E69),2,0)</f>
        <v>2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1.0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6</v>
      </c>
      <c r="N70" s="19" t="str">
        <f t="shared" ref="N70:N73" si="110">SUM(INDIRECT($AC70),INDIRECT($AD70),INDIRECT($AE70))</f>
        <v>8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3.0</v>
      </c>
      <c r="D71" s="19" t="s">
        <v>31</v>
      </c>
      <c r="E71" s="23">
        <v>0.0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-6</v>
      </c>
      <c r="N71" s="19" t="str">
        <f t="shared" si="110"/>
        <v>0</v>
      </c>
      <c r="O71" s="19" t="str">
        <f t="shared" si="111"/>
        <v>6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1.0</v>
      </c>
      <c r="D72" s="19" t="s">
        <v>31</v>
      </c>
      <c r="E72" s="23">
        <v>1.0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4</v>
      </c>
      <c r="M72" s="19" t="str">
        <f t="shared" si="109"/>
        <v>0</v>
      </c>
      <c r="N72" s="19" t="str">
        <f t="shared" si="110"/>
        <v>3</v>
      </c>
      <c r="O72" s="19" t="str">
        <f t="shared" si="111"/>
        <v>3</v>
      </c>
      <c r="P72" s="19" t="str">
        <f t="shared" si="112"/>
        <v>1</v>
      </c>
      <c r="Q72" s="19" t="str">
        <f t="shared" si="113"/>
        <v>1</v>
      </c>
      <c r="R72" s="36" t="str">
        <f t="shared" si="114"/>
        <v>1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4</v>
      </c>
      <c r="M73" s="38" t="str">
        <f t="shared" si="109"/>
        <v>0</v>
      </c>
      <c r="N73" s="38" t="str">
        <f t="shared" si="110"/>
        <v>4</v>
      </c>
      <c r="O73" s="38" t="str">
        <f t="shared" si="111"/>
        <v>4</v>
      </c>
      <c r="P73" s="38" t="str">
        <f t="shared" si="112"/>
        <v>1</v>
      </c>
      <c r="Q73" s="38" t="str">
        <f t="shared" si="113"/>
        <v>1</v>
      </c>
      <c r="R73" s="39" t="str">
        <f t="shared" si="114"/>
        <v>1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2.0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1.0</v>
      </c>
      <c r="D77" s="19" t="s">
        <v>31</v>
      </c>
      <c r="E77" s="23">
        <v>0.0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1.0</v>
      </c>
      <c r="D78" s="19" t="s">
        <v>31</v>
      </c>
      <c r="E78" s="23">
        <v>1.0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4</v>
      </c>
      <c r="N78" s="19" t="str">
        <f t="shared" ref="N78:N81" si="123">SUM(INDIRECT($AC78),INDIRECT($AD78),INDIRECT($AE78))</f>
        <v>6</v>
      </c>
      <c r="O78" s="19" t="str">
        <f t="shared" ref="O78:O81" si="124">SUM(INDIRECT($AF78),INDIRECT($AG78),INDIRECT($AH78))</f>
        <v>2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0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0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2.0</v>
      </c>
      <c r="D79" s="19" t="s">
        <v>31</v>
      </c>
      <c r="E79" s="23">
        <v>1.0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1</v>
      </c>
      <c r="M79" s="19" t="str">
        <f t="shared" si="122"/>
        <v>-2</v>
      </c>
      <c r="N79" s="19" t="str">
        <f t="shared" si="123"/>
        <v>2</v>
      </c>
      <c r="O79" s="19" t="str">
        <f t="shared" si="124"/>
        <v>4</v>
      </c>
      <c r="P79" s="19" t="str">
        <f t="shared" si="125"/>
        <v>0</v>
      </c>
      <c r="Q79" s="19" t="str">
        <f t="shared" si="126"/>
        <v>1</v>
      </c>
      <c r="R79" s="36" t="str">
        <f t="shared" si="127"/>
        <v>2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1.0</v>
      </c>
      <c r="D80" s="19" t="s">
        <v>31</v>
      </c>
      <c r="E80" s="23">
        <v>1.0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2</v>
      </c>
      <c r="M80" s="19" t="str">
        <f t="shared" si="122"/>
        <v>-2</v>
      </c>
      <c r="N80" s="19" t="str">
        <f t="shared" si="123"/>
        <v>3</v>
      </c>
      <c r="O80" s="19" t="str">
        <f t="shared" si="124"/>
        <v>5</v>
      </c>
      <c r="P80" s="19" t="str">
        <f t="shared" si="125"/>
        <v>0</v>
      </c>
      <c r="Q80" s="19" t="str">
        <f t="shared" si="126"/>
        <v>2</v>
      </c>
      <c r="R80" s="36" t="str">
        <f t="shared" si="127"/>
        <v>1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1.0</v>
      </c>
      <c r="D81" s="19" t="s">
        <v>31</v>
      </c>
      <c r="E81" s="23">
        <v>3.0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4</v>
      </c>
      <c r="M81" s="38" t="str">
        <f t="shared" si="122"/>
        <v>0</v>
      </c>
      <c r="N81" s="38" t="str">
        <f t="shared" si="123"/>
        <v>4</v>
      </c>
      <c r="O81" s="38" t="str">
        <f t="shared" si="124"/>
        <v>4</v>
      </c>
      <c r="P81" s="38" t="str">
        <f t="shared" si="125"/>
        <v>1</v>
      </c>
      <c r="Q81" s="38" t="str">
        <f t="shared" si="126"/>
        <v>1</v>
      </c>
      <c r="R81" s="39" t="str">
        <f t="shared" si="127"/>
        <v>1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1.0</v>
      </c>
      <c r="D82" s="38" t="s">
        <v>31</v>
      </c>
      <c r="E82" s="42">
        <v>2.0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5.0</v>
      </c>
      <c r="D85" s="19" t="s">
        <v>31</v>
      </c>
      <c r="E85" s="23">
        <v>0.0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0.0</v>
      </c>
      <c r="D86" s="19" t="s">
        <v>31</v>
      </c>
      <c r="E86" s="23">
        <v>3.0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3</v>
      </c>
      <c r="N86" s="19" t="str">
        <f t="shared" ref="N86:N89" si="136">SUM(INDIRECT($AC86),INDIRECT($AD86),INDIRECT($AE86))</f>
        <v>6</v>
      </c>
      <c r="O86" s="19" t="str">
        <f t="shared" ref="O86:O89" si="137">SUM(INDIRECT($AF86),INDIRECT($AG86),INDIRECT($AH86))</f>
        <v>3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3.0</v>
      </c>
      <c r="D87" s="19" t="s">
        <v>31</v>
      </c>
      <c r="E87" s="23">
        <v>0.0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10</v>
      </c>
      <c r="N87" s="19" t="str">
        <f t="shared" si="136"/>
        <v>11</v>
      </c>
      <c r="O87" s="19" t="str">
        <f t="shared" si="137"/>
        <v>1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2.0</v>
      </c>
      <c r="D88" s="19" t="s">
        <v>31</v>
      </c>
      <c r="E88" s="23">
        <v>0.0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1</v>
      </c>
      <c r="M88" s="19" t="str">
        <f t="shared" si="135"/>
        <v>-7</v>
      </c>
      <c r="N88" s="19" t="str">
        <f t="shared" si="136"/>
        <v>1</v>
      </c>
      <c r="O88" s="19" t="str">
        <f t="shared" si="137"/>
        <v>8</v>
      </c>
      <c r="P88" s="19" t="str">
        <f t="shared" si="138"/>
        <v>0</v>
      </c>
      <c r="Q88" s="19" t="str">
        <f t="shared" si="139"/>
        <v>1</v>
      </c>
      <c r="R88" s="36" t="str">
        <f t="shared" si="140"/>
        <v>2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1.0</v>
      </c>
      <c r="D89" s="19" t="s">
        <v>31</v>
      </c>
      <c r="E89" s="23">
        <v>1.0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1</v>
      </c>
      <c r="M89" s="38" t="str">
        <f t="shared" si="135"/>
        <v>-6</v>
      </c>
      <c r="N89" s="38" t="str">
        <f t="shared" si="136"/>
        <v>1</v>
      </c>
      <c r="O89" s="38" t="str">
        <f t="shared" si="137"/>
        <v>7</v>
      </c>
      <c r="P89" s="38" t="str">
        <f t="shared" si="138"/>
        <v>0</v>
      </c>
      <c r="Q89" s="38" t="str">
        <f t="shared" si="139"/>
        <v>1</v>
      </c>
      <c r="R89" s="39" t="str">
        <f t="shared" si="140"/>
        <v>2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1.0</v>
      </c>
      <c r="D90" s="38" t="s">
        <v>31</v>
      </c>
      <c r="E90" s="42">
        <v>3.0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2.0</v>
      </c>
      <c r="D93" s="19" t="s">
        <v>31</v>
      </c>
      <c r="E93" s="23">
        <v>1.0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1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1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2.0</v>
      </c>
      <c r="D94" s="19" t="s">
        <v>31</v>
      </c>
      <c r="E94" s="23">
        <v>0.0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6</v>
      </c>
      <c r="M94" s="19" t="str">
        <f t="shared" ref="M94:M97" si="148">N94-O94</f>
        <v>2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3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0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1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2.0</v>
      </c>
      <c r="D95" s="19" t="s">
        <v>31</v>
      </c>
      <c r="E95" s="23">
        <v>0.0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-1</v>
      </c>
      <c r="N95" s="19" t="str">
        <f t="shared" si="149"/>
        <v>3</v>
      </c>
      <c r="O95" s="19" t="str">
        <f t="shared" si="150"/>
        <v>4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0.0</v>
      </c>
      <c r="D96" s="19" t="s">
        <v>31</v>
      </c>
      <c r="E96" s="23">
        <v>2.0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9</v>
      </c>
      <c r="M96" s="19" t="str">
        <f t="shared" si="148"/>
        <v>6</v>
      </c>
      <c r="N96" s="19" t="str">
        <f t="shared" si="149"/>
        <v>7</v>
      </c>
      <c r="O96" s="19" t="str">
        <f t="shared" si="150"/>
        <v>1</v>
      </c>
      <c r="P96" s="19" t="str">
        <f t="shared" si="151"/>
        <v>3</v>
      </c>
      <c r="Q96" s="19" t="str">
        <f t="shared" si="152"/>
        <v>0</v>
      </c>
      <c r="R96" s="36" t="str">
        <f t="shared" si="153"/>
        <v>0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2.0</v>
      </c>
      <c r="D97" s="19" t="s">
        <v>31</v>
      </c>
      <c r="E97" s="23">
        <v>1.0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-7</v>
      </c>
      <c r="N97" s="38" t="str">
        <f t="shared" si="149"/>
        <v>0</v>
      </c>
      <c r="O97" s="38" t="str">
        <f t="shared" si="150"/>
        <v>7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3.0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43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6"/>
      <c r="Z1" s="7"/>
      <c r="AA1" s="7"/>
      <c r="AB1" s="7"/>
      <c r="AC1" s="7"/>
      <c r="AD1" s="7"/>
      <c r="AE1" s="7"/>
      <c r="AF1" s="7"/>
      <c r="AG1" s="7"/>
      <c r="AH1" s="7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244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9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1.0</v>
      </c>
      <c r="D5" s="19" t="s">
        <v>31</v>
      </c>
      <c r="E5" s="23">
        <v>0.0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2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2.0</v>
      </c>
      <c r="D6" s="19" t="s">
        <v>31</v>
      </c>
      <c r="E6" s="23">
        <v>2.0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1</v>
      </c>
      <c r="M6" s="19" t="str">
        <f t="shared" ref="M6:M9" si="5">N6-O6</f>
        <v>-5</v>
      </c>
      <c r="N6" s="19" t="str">
        <f t="shared" ref="N6:N9" si="6">SUM(INDIRECT($AC6),INDIRECT($AD6),INDIRECT($AE6))</f>
        <v>2</v>
      </c>
      <c r="O6" s="19" t="str">
        <f t="shared" ref="O6:O9" si="7">SUM(INDIRECT($AF6),INDIRECT($AG6),INDIRECT($AH6))</f>
        <v>7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0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1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2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1.0</v>
      </c>
      <c r="D7" s="19" t="s">
        <v>31</v>
      </c>
      <c r="E7" s="23">
        <v>1.0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9</v>
      </c>
      <c r="M7" s="19" t="str">
        <f t="shared" si="5"/>
        <v>4</v>
      </c>
      <c r="N7" s="19" t="str">
        <f t="shared" si="6"/>
        <v>5</v>
      </c>
      <c r="O7" s="19" t="str">
        <f t="shared" si="7"/>
        <v>1</v>
      </c>
      <c r="P7" s="19" t="str">
        <f t="shared" si="8"/>
        <v>3</v>
      </c>
      <c r="Q7" s="19" t="str">
        <f t="shared" si="9"/>
        <v>0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2.0</v>
      </c>
      <c r="D8" s="19" t="s">
        <v>31</v>
      </c>
      <c r="E8" s="23">
        <v>0.0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2</v>
      </c>
      <c r="M8" s="19" t="str">
        <f t="shared" si="5"/>
        <v>-1</v>
      </c>
      <c r="N8" s="19" t="str">
        <f t="shared" si="6"/>
        <v>4</v>
      </c>
      <c r="O8" s="19" t="str">
        <f t="shared" si="7"/>
        <v>5</v>
      </c>
      <c r="P8" s="19" t="str">
        <f t="shared" si="8"/>
        <v>0</v>
      </c>
      <c r="Q8" s="19" t="str">
        <f t="shared" si="9"/>
        <v>2</v>
      </c>
      <c r="R8" s="36" t="str">
        <f t="shared" si="10"/>
        <v>1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3.0</v>
      </c>
      <c r="D9" s="19" t="s">
        <v>31</v>
      </c>
      <c r="E9" s="23">
        <v>0.0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4</v>
      </c>
      <c r="M9" s="38" t="str">
        <f t="shared" si="5"/>
        <v>2</v>
      </c>
      <c r="N9" s="38" t="str">
        <f t="shared" si="6"/>
        <v>4</v>
      </c>
      <c r="O9" s="38" t="str">
        <f t="shared" si="7"/>
        <v>2</v>
      </c>
      <c r="P9" s="38" t="str">
        <f t="shared" si="8"/>
        <v>1</v>
      </c>
      <c r="Q9" s="38" t="str">
        <f t="shared" si="9"/>
        <v>1</v>
      </c>
      <c r="R9" s="39" t="str">
        <f t="shared" si="10"/>
        <v>1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1.0</v>
      </c>
      <c r="D10" s="38" t="s">
        <v>31</v>
      </c>
      <c r="E10" s="42">
        <v>2.0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0.0</v>
      </c>
      <c r="D13" s="19" t="s">
        <v>31</v>
      </c>
      <c r="E13" s="23">
        <v>0.0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2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2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0.0</v>
      </c>
      <c r="D14" s="19" t="s">
        <v>31</v>
      </c>
      <c r="E14" s="23">
        <v>2.0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4</v>
      </c>
      <c r="M14" s="19" t="str">
        <f t="shared" ref="M14:M17" si="18">N14-O14</f>
        <v>0</v>
      </c>
      <c r="N14" s="19" t="str">
        <f t="shared" ref="N14:N17" si="19">SUM(INDIRECT($AC14),INDIRECT($AD14),INDIRECT($AE14))</f>
        <v>1</v>
      </c>
      <c r="O14" s="19" t="str">
        <f t="shared" ref="O14:O17" si="20">SUM(INDIRECT($AF14),INDIRECT($AG14),INDIRECT($AH14))</f>
        <v>1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1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1.0</v>
      </c>
      <c r="D15" s="19" t="s">
        <v>31</v>
      </c>
      <c r="E15" s="23">
        <v>0.0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4</v>
      </c>
      <c r="M15" s="19" t="str">
        <f t="shared" si="18"/>
        <v>0</v>
      </c>
      <c r="N15" s="19" t="str">
        <f t="shared" si="19"/>
        <v>3</v>
      </c>
      <c r="O15" s="19" t="str">
        <f t="shared" si="20"/>
        <v>3</v>
      </c>
      <c r="P15" s="19" t="str">
        <f t="shared" si="21"/>
        <v>1</v>
      </c>
      <c r="Q15" s="19" t="str">
        <f t="shared" si="22"/>
        <v>1</v>
      </c>
      <c r="R15" s="36" t="str">
        <f t="shared" si="23"/>
        <v>1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3.0</v>
      </c>
      <c r="D16" s="19" t="s">
        <v>31</v>
      </c>
      <c r="E16" s="23">
        <v>1.0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-5</v>
      </c>
      <c r="N16" s="19" t="str">
        <f t="shared" si="19"/>
        <v>1</v>
      </c>
      <c r="O16" s="19" t="str">
        <f t="shared" si="20"/>
        <v>6</v>
      </c>
      <c r="P16" s="19" t="str">
        <f t="shared" si="21"/>
        <v>0</v>
      </c>
      <c r="Q16" s="19" t="str">
        <f t="shared" si="22"/>
        <v>0</v>
      </c>
      <c r="R16" s="36" t="str">
        <f t="shared" si="23"/>
        <v>3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2.0</v>
      </c>
      <c r="D17" s="19" t="s">
        <v>31</v>
      </c>
      <c r="E17" s="23">
        <v>0.0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9</v>
      </c>
      <c r="M17" s="38" t="str">
        <f t="shared" si="18"/>
        <v>5</v>
      </c>
      <c r="N17" s="38" t="str">
        <f t="shared" si="19"/>
        <v>5</v>
      </c>
      <c r="O17" s="38" t="str">
        <f t="shared" si="20"/>
        <v>0</v>
      </c>
      <c r="P17" s="38" t="str">
        <f t="shared" si="21"/>
        <v>3</v>
      </c>
      <c r="Q17" s="38" t="str">
        <f t="shared" si="22"/>
        <v>0</v>
      </c>
      <c r="R17" s="39" t="str">
        <f t="shared" si="23"/>
        <v>0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1.0</v>
      </c>
      <c r="D18" s="38" t="s">
        <v>31</v>
      </c>
      <c r="E18" s="42">
        <v>0.0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2.0</v>
      </c>
      <c r="D21" s="19" t="s">
        <v>31</v>
      </c>
      <c r="E21" s="23">
        <v>1.0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0.0</v>
      </c>
      <c r="D22" s="19" t="s">
        <v>31</v>
      </c>
      <c r="E22" s="23">
        <v>2.0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8</v>
      </c>
      <c r="N22" s="19" t="str">
        <f t="shared" ref="N22:N25" si="32">SUM(INDIRECT($AC22),INDIRECT($AD22),INDIRECT($AE22))</f>
        <v>10</v>
      </c>
      <c r="O22" s="19" t="str">
        <f t="shared" ref="O22:O25" si="33">SUM(INDIRECT($AF22),INDIRECT($AG22),INDIRECT($AH22))</f>
        <v>2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1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3.0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-2</v>
      </c>
      <c r="N23" s="19" t="str">
        <f t="shared" si="32"/>
        <v>4</v>
      </c>
      <c r="O23" s="19" t="str">
        <f t="shared" si="33"/>
        <v>6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5.0</v>
      </c>
      <c r="D24" s="19" t="s">
        <v>31</v>
      </c>
      <c r="E24" s="23">
        <v>0.0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-10</v>
      </c>
      <c r="N24" s="19" t="str">
        <f t="shared" si="32"/>
        <v>0</v>
      </c>
      <c r="O24" s="19" t="str">
        <f t="shared" si="33"/>
        <v>10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3.0</v>
      </c>
      <c r="D25" s="19" t="s">
        <v>31</v>
      </c>
      <c r="E25" s="23">
        <v>0.0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4</v>
      </c>
      <c r="N25" s="38" t="str">
        <f t="shared" si="32"/>
        <v>7</v>
      </c>
      <c r="O25" s="38" t="str">
        <f t="shared" si="33"/>
        <v>3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1.0</v>
      </c>
      <c r="D26" s="38" t="s">
        <v>31</v>
      </c>
      <c r="E26" s="42">
        <v>3.0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1.0</v>
      </c>
      <c r="D29" s="19" t="s">
        <v>31</v>
      </c>
      <c r="E29" s="23">
        <v>2.0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2.0</v>
      </c>
      <c r="D30" s="19" t="s">
        <v>31</v>
      </c>
      <c r="E30" s="23">
        <v>2.0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3</v>
      </c>
      <c r="M30" s="19" t="str">
        <f t="shared" ref="M30:M33" si="44">N30-O30</f>
        <v>0</v>
      </c>
      <c r="N30" s="19" t="str">
        <f t="shared" ref="N30:N33" si="45">SUM(INDIRECT($AC30),INDIRECT($AD30),INDIRECT($AE30))</f>
        <v>5</v>
      </c>
      <c r="O30" s="19" t="str">
        <f t="shared" ref="O30:O33" si="46">SUM(INDIRECT($AF30),INDIRECT($AG30),INDIRECT($AH30))</f>
        <v>5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3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0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1.0</v>
      </c>
      <c r="D31" s="19" t="s">
        <v>31</v>
      </c>
      <c r="E31" s="23">
        <v>1.0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1</v>
      </c>
      <c r="M31" s="19" t="str">
        <f t="shared" si="44"/>
        <v>-2</v>
      </c>
      <c r="N31" s="19" t="str">
        <f t="shared" si="45"/>
        <v>2</v>
      </c>
      <c r="O31" s="19" t="str">
        <f t="shared" si="46"/>
        <v>4</v>
      </c>
      <c r="P31" s="19" t="str">
        <f t="shared" si="47"/>
        <v>0</v>
      </c>
      <c r="Q31" s="19" t="str">
        <f t="shared" si="48"/>
        <v>1</v>
      </c>
      <c r="R31" s="36" t="str">
        <f t="shared" si="49"/>
        <v>2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1.0</v>
      </c>
      <c r="D32" s="19" t="s">
        <v>31</v>
      </c>
      <c r="E32" s="23">
        <v>2.0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7</v>
      </c>
      <c r="M32" s="19" t="str">
        <f t="shared" si="44"/>
        <v>2</v>
      </c>
      <c r="N32" s="19" t="str">
        <f t="shared" si="45"/>
        <v>6</v>
      </c>
      <c r="O32" s="19" t="str">
        <f t="shared" si="46"/>
        <v>4</v>
      </c>
      <c r="P32" s="19" t="str">
        <f t="shared" si="47"/>
        <v>2</v>
      </c>
      <c r="Q32" s="19" t="str">
        <f t="shared" si="48"/>
        <v>1</v>
      </c>
      <c r="R32" s="36" t="str">
        <f t="shared" si="49"/>
        <v>0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1.0</v>
      </c>
      <c r="D33" s="19" t="s">
        <v>31</v>
      </c>
      <c r="E33" s="23">
        <v>0.0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4</v>
      </c>
      <c r="M33" s="38" t="str">
        <f t="shared" si="44"/>
        <v>0</v>
      </c>
      <c r="N33" s="38" t="str">
        <f t="shared" si="45"/>
        <v>4</v>
      </c>
      <c r="O33" s="38" t="str">
        <f t="shared" si="46"/>
        <v>4</v>
      </c>
      <c r="P33" s="38" t="str">
        <f t="shared" si="47"/>
        <v>1</v>
      </c>
      <c r="Q33" s="38" t="str">
        <f t="shared" si="48"/>
        <v>1</v>
      </c>
      <c r="R33" s="39" t="str">
        <f t="shared" si="49"/>
        <v>1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2.0</v>
      </c>
      <c r="D34" s="38" t="s">
        <v>31</v>
      </c>
      <c r="E34" s="42">
        <v>2.0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4.0</v>
      </c>
      <c r="D37" s="19" t="s">
        <v>31</v>
      </c>
      <c r="E37" s="23">
        <v>0.0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1.0</v>
      </c>
      <c r="D38" s="19" t="s">
        <v>31</v>
      </c>
      <c r="E38" s="23">
        <v>1.0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9</v>
      </c>
      <c r="M38" s="19" t="str">
        <f t="shared" ref="M38:M41" si="57">N38-O38</f>
        <v>8</v>
      </c>
      <c r="N38" s="19" t="str">
        <f t="shared" ref="N38:N41" si="58">SUM(INDIRECT($AC38),INDIRECT($AD38),INDIRECT($AE38))</f>
        <v>9</v>
      </c>
      <c r="O38" s="19" t="str">
        <f t="shared" ref="O38:O41" si="59">SUM(INDIRECT($AF38),INDIRECT($AG38),INDIRECT($AH38))</f>
        <v>1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3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3.0</v>
      </c>
      <c r="D39" s="19" t="s">
        <v>31</v>
      </c>
      <c r="E39" s="23">
        <v>1.0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4</v>
      </c>
      <c r="M39" s="19" t="str">
        <f t="shared" si="57"/>
        <v>1</v>
      </c>
      <c r="N39" s="19" t="str">
        <f t="shared" si="58"/>
        <v>5</v>
      </c>
      <c r="O39" s="19" t="str">
        <f t="shared" si="59"/>
        <v>4</v>
      </c>
      <c r="P39" s="19" t="str">
        <f t="shared" si="60"/>
        <v>1</v>
      </c>
      <c r="Q39" s="19" t="str">
        <f t="shared" si="61"/>
        <v>1</v>
      </c>
      <c r="R39" s="36" t="str">
        <f t="shared" si="62"/>
        <v>1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2.0</v>
      </c>
      <c r="D40" s="19" t="s">
        <v>31</v>
      </c>
      <c r="E40" s="23">
        <v>1.0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-8</v>
      </c>
      <c r="N40" s="19" t="str">
        <f t="shared" si="58"/>
        <v>1</v>
      </c>
      <c r="O40" s="19" t="str">
        <f t="shared" si="59"/>
        <v>9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0.0</v>
      </c>
      <c r="D41" s="19" t="s">
        <v>31</v>
      </c>
      <c r="E41" s="23">
        <v>2.0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4</v>
      </c>
      <c r="M41" s="38" t="str">
        <f t="shared" si="57"/>
        <v>-1</v>
      </c>
      <c r="N41" s="38" t="str">
        <f t="shared" si="58"/>
        <v>3</v>
      </c>
      <c r="O41" s="38" t="str">
        <f t="shared" si="59"/>
        <v>4</v>
      </c>
      <c r="P41" s="38" t="str">
        <f t="shared" si="60"/>
        <v>1</v>
      </c>
      <c r="Q41" s="38" t="str">
        <f t="shared" si="61"/>
        <v>1</v>
      </c>
      <c r="R41" s="39" t="str">
        <f t="shared" si="62"/>
        <v>1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0.0</v>
      </c>
      <c r="D42" s="38" t="s">
        <v>31</v>
      </c>
      <c r="E42" s="42">
        <v>3.0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1.0</v>
      </c>
      <c r="D45" s="19" t="s">
        <v>31</v>
      </c>
      <c r="E45" s="23">
        <v>2.0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2.0</v>
      </c>
      <c r="D46" s="19" t="s">
        <v>31</v>
      </c>
      <c r="E46" s="23">
        <v>1.0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1</v>
      </c>
      <c r="M46" s="19" t="str">
        <f t="shared" ref="M46:M49" si="70">N46-O46</f>
        <v>-2</v>
      </c>
      <c r="N46" s="19" t="str">
        <f t="shared" ref="N46:N49" si="71">SUM(INDIRECT($AC46),INDIRECT($AD46),INDIRECT($AE46))</f>
        <v>3</v>
      </c>
      <c r="O46" s="19" t="str">
        <f t="shared" ref="O46:O49" si="72">SUM(INDIRECT($AF46),INDIRECT($AG46),INDIRECT($AH46))</f>
        <v>5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0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1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2</v>
      </c>
      <c r="S46" s="31"/>
      <c r="T46" s="32" t="str">
        <f t="shared" si="66"/>
        <v/>
      </c>
      <c r="U46" s="19" t="str">
        <f t="shared" si="67"/>
        <v>2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1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2.0</v>
      </c>
      <c r="D47" s="19" t="s">
        <v>31</v>
      </c>
      <c r="E47" s="23">
        <v>2.0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9</v>
      </c>
      <c r="M47" s="19" t="str">
        <f t="shared" si="70"/>
        <v>4</v>
      </c>
      <c r="N47" s="19" t="str">
        <f t="shared" si="71"/>
        <v>6</v>
      </c>
      <c r="O47" s="19" t="str">
        <f t="shared" si="72"/>
        <v>2</v>
      </c>
      <c r="P47" s="19" t="str">
        <f t="shared" si="73"/>
        <v>3</v>
      </c>
      <c r="Q47" s="19" t="str">
        <f t="shared" si="74"/>
        <v>0</v>
      </c>
      <c r="R47" s="36" t="str">
        <f t="shared" si="75"/>
        <v>0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0.0</v>
      </c>
      <c r="D48" s="19" t="s">
        <v>31</v>
      </c>
      <c r="E48" s="23">
        <v>2.0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4</v>
      </c>
      <c r="M48" s="19" t="str">
        <f t="shared" si="70"/>
        <v>0</v>
      </c>
      <c r="N48" s="19" t="str">
        <f t="shared" si="71"/>
        <v>5</v>
      </c>
      <c r="O48" s="19" t="str">
        <f t="shared" si="72"/>
        <v>5</v>
      </c>
      <c r="P48" s="19" t="str">
        <f t="shared" si="73"/>
        <v>1</v>
      </c>
      <c r="Q48" s="19" t="str">
        <f t="shared" si="74"/>
        <v>1</v>
      </c>
      <c r="R48" s="36" t="str">
        <f t="shared" si="75"/>
        <v>1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1.0</v>
      </c>
      <c r="D49" s="19" t="s">
        <v>31</v>
      </c>
      <c r="E49" s="23">
        <v>0.0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3</v>
      </c>
      <c r="M49" s="38" t="str">
        <f t="shared" si="70"/>
        <v>-2</v>
      </c>
      <c r="N49" s="38" t="str">
        <f t="shared" si="71"/>
        <v>2</v>
      </c>
      <c r="O49" s="38" t="str">
        <f t="shared" si="72"/>
        <v>4</v>
      </c>
      <c r="P49" s="38" t="str">
        <f t="shared" si="73"/>
        <v>1</v>
      </c>
      <c r="Q49" s="38" t="str">
        <f t="shared" si="74"/>
        <v>0</v>
      </c>
      <c r="R49" s="39" t="str">
        <f t="shared" si="75"/>
        <v>2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2.0</v>
      </c>
      <c r="D50" s="38" t="s">
        <v>31</v>
      </c>
      <c r="E50" s="42">
        <v>1.0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1.0</v>
      </c>
      <c r="D53" s="19" t="s">
        <v>31</v>
      </c>
      <c r="E53" s="23">
        <v>0.0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1.0</v>
      </c>
      <c r="D54" s="19" t="s">
        <v>31</v>
      </c>
      <c r="E54" s="23">
        <v>0.0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9</v>
      </c>
      <c r="M54" s="19" t="str">
        <f t="shared" ref="M54:M57" si="83">N54-O54</f>
        <v>5</v>
      </c>
      <c r="N54" s="19" t="str">
        <f t="shared" ref="N54:N57" si="84">SUM(INDIRECT($AC54),INDIRECT($AD54),INDIRECT($AE54))</f>
        <v>5</v>
      </c>
      <c r="O54" s="19" t="str">
        <f t="shared" ref="O54:O57" si="85">SUM(INDIRECT($AF54),INDIRECT($AG54),INDIRECT($AH54))</f>
        <v>0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3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2.0</v>
      </c>
      <c r="D55" s="19" t="s">
        <v>31</v>
      </c>
      <c r="E55" s="23">
        <v>0.0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1</v>
      </c>
      <c r="M55" s="19" t="str">
        <f t="shared" si="83"/>
        <v>-2</v>
      </c>
      <c r="N55" s="19" t="str">
        <f t="shared" si="84"/>
        <v>0</v>
      </c>
      <c r="O55" s="19" t="str">
        <f t="shared" si="85"/>
        <v>2</v>
      </c>
      <c r="P55" s="19" t="str">
        <f t="shared" si="86"/>
        <v>0</v>
      </c>
      <c r="Q55" s="19" t="str">
        <f t="shared" si="87"/>
        <v>1</v>
      </c>
      <c r="R55" s="36" t="str">
        <f t="shared" si="88"/>
        <v>2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0.0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6</v>
      </c>
      <c r="M56" s="19" t="str">
        <f t="shared" si="83"/>
        <v>0</v>
      </c>
      <c r="N56" s="19" t="str">
        <f t="shared" si="84"/>
        <v>2</v>
      </c>
      <c r="O56" s="19" t="str">
        <f t="shared" si="85"/>
        <v>2</v>
      </c>
      <c r="P56" s="19" t="str">
        <f t="shared" si="86"/>
        <v>2</v>
      </c>
      <c r="Q56" s="19" t="str">
        <f t="shared" si="87"/>
        <v>0</v>
      </c>
      <c r="R56" s="36" t="str">
        <f t="shared" si="88"/>
        <v>1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0.0</v>
      </c>
      <c r="D57" s="19" t="s">
        <v>31</v>
      </c>
      <c r="E57" s="23">
        <v>1.0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1</v>
      </c>
      <c r="M57" s="38" t="str">
        <f t="shared" si="83"/>
        <v>-3</v>
      </c>
      <c r="N57" s="38" t="str">
        <f t="shared" si="84"/>
        <v>0</v>
      </c>
      <c r="O57" s="38" t="str">
        <f t="shared" si="85"/>
        <v>3</v>
      </c>
      <c r="P57" s="38" t="str">
        <f t="shared" si="86"/>
        <v>0</v>
      </c>
      <c r="Q57" s="38" t="str">
        <f t="shared" si="87"/>
        <v>1</v>
      </c>
      <c r="R57" s="39" t="str">
        <f t="shared" si="88"/>
        <v>2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0.0</v>
      </c>
      <c r="D58" s="38" t="s">
        <v>31</v>
      </c>
      <c r="E58" s="42">
        <v>2.0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2.0</v>
      </c>
      <c r="D61" s="19" t="s">
        <v>31</v>
      </c>
      <c r="E61" s="23">
        <v>0.0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0.0</v>
      </c>
      <c r="D62" s="19" t="s">
        <v>31</v>
      </c>
      <c r="E62" s="23">
        <v>1.0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3</v>
      </c>
      <c r="M62" s="19" t="str">
        <f t="shared" ref="M62:M65" si="96">N62-O62</f>
        <v>-1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4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2.0</v>
      </c>
      <c r="D63" s="19" t="s">
        <v>31</v>
      </c>
      <c r="E63" s="23">
        <v>1.0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-6</v>
      </c>
      <c r="N63" s="19" t="str">
        <f t="shared" si="97"/>
        <v>1</v>
      </c>
      <c r="O63" s="19" t="str">
        <f t="shared" si="98"/>
        <v>7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3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3.0</v>
      </c>
      <c r="D64" s="19" t="s">
        <v>31</v>
      </c>
      <c r="E64" s="23">
        <v>0.0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7</v>
      </c>
      <c r="M64" s="19" t="str">
        <f t="shared" si="96"/>
        <v>3</v>
      </c>
      <c r="N64" s="19" t="str">
        <f t="shared" si="97"/>
        <v>5</v>
      </c>
      <c r="O64" s="19" t="str">
        <f t="shared" si="98"/>
        <v>2</v>
      </c>
      <c r="P64" s="19" t="str">
        <f t="shared" si="99"/>
        <v>2</v>
      </c>
      <c r="Q64" s="19" t="str">
        <f t="shared" si="100"/>
        <v>1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1.0</v>
      </c>
      <c r="D65" s="19" t="s">
        <v>31</v>
      </c>
      <c r="E65" s="23">
        <v>2.0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7</v>
      </c>
      <c r="M65" s="38" t="str">
        <f t="shared" si="96"/>
        <v>4</v>
      </c>
      <c r="N65" s="38" t="str">
        <f t="shared" si="97"/>
        <v>5</v>
      </c>
      <c r="O65" s="38" t="str">
        <f t="shared" si="98"/>
        <v>1</v>
      </c>
      <c r="P65" s="38" t="str">
        <f t="shared" si="99"/>
        <v>2</v>
      </c>
      <c r="Q65" s="38" t="str">
        <f t="shared" si="100"/>
        <v>1</v>
      </c>
      <c r="R65" s="39" t="str">
        <f t="shared" si="101"/>
        <v>0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1.0</v>
      </c>
      <c r="D66" s="38" t="s">
        <v>31</v>
      </c>
      <c r="E66" s="42">
        <v>1.0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2.0</v>
      </c>
      <c r="D69" s="19" t="s">
        <v>31</v>
      </c>
      <c r="E69" s="23">
        <v>2.0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0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0</v>
      </c>
      <c r="AA69" s="33" t="str">
        <f>IF(AND(ISNUMBER(RESULTADOS!C69),ISNUMBER(RESULTADOS!E69),ISNUMBER(C69),ISNUMBER(E69),AND(Z69=1,OR(C69=RESULTADOS!C69,E69=RESULTADOS!E69))),1,0)</f>
        <v>0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2.0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7</v>
      </c>
      <c r="M70" s="19" t="str">
        <f t="shared" ref="M70:M73" si="109">N70-O70</f>
        <v>5</v>
      </c>
      <c r="N70" s="19" t="str">
        <f t="shared" ref="N70:N73" si="110">SUM(INDIRECT($AC70),INDIRECT($AD70),INDIRECT($AE70))</f>
        <v>9</v>
      </c>
      <c r="O70" s="19" t="str">
        <f t="shared" ref="O70:O73" si="111">SUM(INDIRECT($AF70),INDIRECT($AG70),INDIRECT($AH70))</f>
        <v>4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2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1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3.0</v>
      </c>
      <c r="D71" s="19" t="s">
        <v>31</v>
      </c>
      <c r="E71" s="23">
        <v>1.0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-6</v>
      </c>
      <c r="N71" s="19" t="str">
        <f t="shared" si="110"/>
        <v>2</v>
      </c>
      <c r="O71" s="19" t="str">
        <f t="shared" si="111"/>
        <v>8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2.0</v>
      </c>
      <c r="D72" s="19" t="s">
        <v>31</v>
      </c>
      <c r="E72" s="23">
        <v>2.0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4</v>
      </c>
      <c r="M72" s="19" t="str">
        <f t="shared" si="109"/>
        <v>-1</v>
      </c>
      <c r="N72" s="19" t="str">
        <f t="shared" si="110"/>
        <v>5</v>
      </c>
      <c r="O72" s="19" t="str">
        <f t="shared" si="111"/>
        <v>6</v>
      </c>
      <c r="P72" s="19" t="str">
        <f t="shared" si="112"/>
        <v>1</v>
      </c>
      <c r="Q72" s="19" t="str">
        <f t="shared" si="113"/>
        <v>1</v>
      </c>
      <c r="R72" s="36" t="str">
        <f t="shared" si="114"/>
        <v>1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3.0</v>
      </c>
      <c r="D73" s="19" t="s">
        <v>31</v>
      </c>
      <c r="E73" s="23">
        <v>1.0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5</v>
      </c>
      <c r="M73" s="38" t="str">
        <f t="shared" si="109"/>
        <v>2</v>
      </c>
      <c r="N73" s="38" t="str">
        <f t="shared" si="110"/>
        <v>7</v>
      </c>
      <c r="O73" s="38" t="str">
        <f t="shared" si="111"/>
        <v>5</v>
      </c>
      <c r="P73" s="38" t="str">
        <f t="shared" si="112"/>
        <v>1</v>
      </c>
      <c r="Q73" s="38" t="str">
        <f t="shared" si="113"/>
        <v>2</v>
      </c>
      <c r="R73" s="39" t="str">
        <f t="shared" si="114"/>
        <v>0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4.0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2.0</v>
      </c>
      <c r="D77" s="19" t="s">
        <v>31</v>
      </c>
      <c r="E77" s="23">
        <v>0.0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3.0</v>
      </c>
      <c r="D78" s="19" t="s">
        <v>31</v>
      </c>
      <c r="E78" s="23">
        <v>1.0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7</v>
      </c>
      <c r="M78" s="19" t="str">
        <f t="shared" ref="M78:M81" si="122">N78-O78</f>
        <v>6</v>
      </c>
      <c r="N78" s="19" t="str">
        <f t="shared" ref="N78:N81" si="123">SUM(INDIRECT($AC78),INDIRECT($AD78),INDIRECT($AE78))</f>
        <v>7</v>
      </c>
      <c r="O78" s="19" t="str">
        <f t="shared" ref="O78:O81" si="124">SUM(INDIRECT($AF78),INDIRECT($AG78),INDIRECT($AH78))</f>
        <v>1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2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1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4</v>
      </c>
      <c r="Y78" s="33" t="str">
        <f>IF(AND(ISNUMBER(RESULTADOS!C78),ISNUMBER(RESULTADOS!E78),ISNUMBER(C78),ISNUMBER(E78),C78=RESULTADOS!C78,E78=RESULTADOS!E78),2,0)</f>
        <v>2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1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1.0</v>
      </c>
      <c r="D79" s="19" t="s">
        <v>31</v>
      </c>
      <c r="E79" s="23">
        <v>1.0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3</v>
      </c>
      <c r="M79" s="19" t="str">
        <f t="shared" si="122"/>
        <v>-3</v>
      </c>
      <c r="N79" s="19" t="str">
        <f t="shared" si="123"/>
        <v>2</v>
      </c>
      <c r="O79" s="19" t="str">
        <f t="shared" si="124"/>
        <v>5</v>
      </c>
      <c r="P79" s="19" t="str">
        <f t="shared" si="125"/>
        <v>1</v>
      </c>
      <c r="Q79" s="19" t="str">
        <f t="shared" si="126"/>
        <v>0</v>
      </c>
      <c r="R79" s="36" t="str">
        <f t="shared" si="127"/>
        <v>2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0.0</v>
      </c>
      <c r="D80" s="19" t="s">
        <v>31</v>
      </c>
      <c r="E80" s="23">
        <v>1.0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-7</v>
      </c>
      <c r="N80" s="19" t="str">
        <f t="shared" si="123"/>
        <v>1</v>
      </c>
      <c r="O80" s="19" t="str">
        <f t="shared" si="124"/>
        <v>8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3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4.0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7</v>
      </c>
      <c r="M81" s="38" t="str">
        <f t="shared" si="122"/>
        <v>4</v>
      </c>
      <c r="N81" s="38" t="str">
        <f t="shared" si="123"/>
        <v>7</v>
      </c>
      <c r="O81" s="38" t="str">
        <f t="shared" si="124"/>
        <v>3</v>
      </c>
      <c r="P81" s="38" t="str">
        <f t="shared" si="125"/>
        <v>2</v>
      </c>
      <c r="Q81" s="38" t="str">
        <f t="shared" si="126"/>
        <v>1</v>
      </c>
      <c r="R81" s="39" t="str">
        <f t="shared" si="127"/>
        <v>0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1.0</v>
      </c>
      <c r="D82" s="38" t="s">
        <v>31</v>
      </c>
      <c r="E82" s="42">
        <v>3.0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2.0</v>
      </c>
      <c r="D85" s="19" t="s">
        <v>31</v>
      </c>
      <c r="E85" s="23">
        <v>0.0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0.0</v>
      </c>
      <c r="D86" s="19" t="s">
        <v>31</v>
      </c>
      <c r="E86" s="23">
        <v>3.0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9</v>
      </c>
      <c r="M86" s="19" t="str">
        <f t="shared" ref="M86:M89" si="135">N86-O86</f>
        <v>9</v>
      </c>
      <c r="N86" s="19" t="str">
        <f t="shared" ref="N86:N89" si="136">SUM(INDIRECT($AC86),INDIRECT($AD86),INDIRECT($AE86))</f>
        <v>10</v>
      </c>
      <c r="O86" s="19" t="str">
        <f t="shared" ref="O86:O89" si="137">SUM(INDIRECT($AF86),INDIRECT($AG86),INDIRECT($AH86))</f>
        <v>1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3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0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2.0</v>
      </c>
      <c r="D87" s="19" t="s">
        <v>31</v>
      </c>
      <c r="E87" s="23">
        <v>1.0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6</v>
      </c>
      <c r="M87" s="19" t="str">
        <f t="shared" si="135"/>
        <v>1</v>
      </c>
      <c r="N87" s="19" t="str">
        <f t="shared" si="136"/>
        <v>5</v>
      </c>
      <c r="O87" s="19" t="str">
        <f t="shared" si="137"/>
        <v>4</v>
      </c>
      <c r="P87" s="19" t="str">
        <f t="shared" si="138"/>
        <v>2</v>
      </c>
      <c r="Q87" s="19" t="str">
        <f t="shared" si="139"/>
        <v>0</v>
      </c>
      <c r="R87" s="36" t="str">
        <f t="shared" si="140"/>
        <v>1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4.0</v>
      </c>
      <c r="D88" s="19" t="s">
        <v>31</v>
      </c>
      <c r="E88" s="23">
        <v>0.0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-5</v>
      </c>
      <c r="N88" s="19" t="str">
        <f t="shared" si="136"/>
        <v>2</v>
      </c>
      <c r="O88" s="19" t="str">
        <f t="shared" si="137"/>
        <v>7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2.0</v>
      </c>
      <c r="D89" s="19" t="s">
        <v>31</v>
      </c>
      <c r="E89" s="23">
        <v>1.0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-5</v>
      </c>
      <c r="N89" s="38" t="str">
        <f t="shared" si="136"/>
        <v>2</v>
      </c>
      <c r="O89" s="38" t="str">
        <f t="shared" si="137"/>
        <v>7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3.0</v>
      </c>
      <c r="D90" s="38" t="s">
        <v>31</v>
      </c>
      <c r="E90" s="42">
        <v>1.0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1.0</v>
      </c>
      <c r="D93" s="19" t="s">
        <v>31</v>
      </c>
      <c r="E93" s="23">
        <v>1.0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2.0</v>
      </c>
      <c r="D94" s="19" t="s">
        <v>31</v>
      </c>
      <c r="E94" s="23">
        <v>0.0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5</v>
      </c>
      <c r="M94" s="19" t="str">
        <f t="shared" ref="M94:M97" si="148">N94-O94</f>
        <v>2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3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1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2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2.0</v>
      </c>
      <c r="D95" s="19" t="s">
        <v>31</v>
      </c>
      <c r="E95" s="23">
        <v>2.0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5</v>
      </c>
      <c r="M95" s="19" t="str">
        <f t="shared" si="148"/>
        <v>2</v>
      </c>
      <c r="N95" s="19" t="str">
        <f t="shared" si="149"/>
        <v>6</v>
      </c>
      <c r="O95" s="19" t="str">
        <f t="shared" si="150"/>
        <v>4</v>
      </c>
      <c r="P95" s="19" t="str">
        <f t="shared" si="151"/>
        <v>1</v>
      </c>
      <c r="Q95" s="19" t="str">
        <f t="shared" si="152"/>
        <v>2</v>
      </c>
      <c r="R95" s="36" t="str">
        <f t="shared" si="153"/>
        <v>0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0.0</v>
      </c>
      <c r="D96" s="19" t="s">
        <v>31</v>
      </c>
      <c r="E96" s="23">
        <v>2.0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5</v>
      </c>
      <c r="M96" s="19" t="str">
        <f t="shared" si="148"/>
        <v>2</v>
      </c>
      <c r="N96" s="19" t="str">
        <f t="shared" si="149"/>
        <v>5</v>
      </c>
      <c r="O96" s="19" t="str">
        <f t="shared" si="150"/>
        <v>3</v>
      </c>
      <c r="P96" s="19" t="str">
        <f t="shared" si="151"/>
        <v>1</v>
      </c>
      <c r="Q96" s="19" t="str">
        <f t="shared" si="152"/>
        <v>2</v>
      </c>
      <c r="R96" s="36" t="str">
        <f t="shared" si="153"/>
        <v>0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2.0</v>
      </c>
      <c r="D97" s="19" t="s">
        <v>31</v>
      </c>
      <c r="E97" s="23">
        <v>2.0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-6</v>
      </c>
      <c r="N97" s="38" t="str">
        <f t="shared" si="149"/>
        <v>0</v>
      </c>
      <c r="O97" s="38" t="str">
        <f t="shared" si="150"/>
        <v>6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2.0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43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A1" s="60"/>
      <c r="B1" s="61"/>
      <c r="C1" s="62"/>
      <c r="D1" s="62"/>
      <c r="E1" s="62"/>
      <c r="F1" s="62"/>
      <c r="G1" s="63"/>
      <c r="H1" s="64"/>
      <c r="I1" s="62"/>
      <c r="J1" s="63"/>
      <c r="K1" s="64"/>
      <c r="L1" s="62"/>
      <c r="M1" s="62"/>
      <c r="N1" s="62"/>
      <c r="O1" s="62"/>
      <c r="P1" s="62"/>
      <c r="Q1" s="62"/>
      <c r="R1" s="62"/>
      <c r="S1" s="63"/>
      <c r="T1" s="64"/>
      <c r="U1" s="65"/>
      <c r="V1" s="62"/>
      <c r="W1" s="62"/>
      <c r="X1" s="62"/>
      <c r="Y1" s="66"/>
      <c r="Z1" s="67"/>
      <c r="AA1" s="67"/>
      <c r="AB1" s="67"/>
      <c r="AC1" s="67"/>
      <c r="AD1" s="67"/>
      <c r="AE1" s="67"/>
      <c r="AF1" s="67"/>
      <c r="AG1" s="67"/>
      <c r="AH1" s="67"/>
      <c r="AI1" s="63"/>
      <c r="AJ1" s="63"/>
      <c r="AK1" s="63"/>
      <c r="AL1" s="63"/>
      <c r="AM1" s="63"/>
      <c r="AN1" s="63"/>
      <c r="AO1" s="63"/>
      <c r="AP1" s="63"/>
      <c r="AQ1" s="63"/>
      <c r="AR1" s="68"/>
    </row>
    <row r="2" ht="18.75" customHeight="1">
      <c r="A2" s="69"/>
      <c r="B2" s="70" t="s">
        <v>245</v>
      </c>
      <c r="C2" s="9"/>
      <c r="D2" s="9"/>
      <c r="E2" s="9"/>
      <c r="F2" s="10"/>
      <c r="G2" s="71"/>
      <c r="H2" s="72" t="s">
        <v>23</v>
      </c>
      <c r="I2" s="10"/>
      <c r="J2" s="71"/>
      <c r="K2" s="72" t="s">
        <v>24</v>
      </c>
      <c r="L2" s="9"/>
      <c r="M2" s="9"/>
      <c r="N2" s="9"/>
      <c r="O2" s="9"/>
      <c r="P2" s="9"/>
      <c r="Q2" s="9"/>
      <c r="R2" s="10"/>
      <c r="S2" s="71"/>
      <c r="T2" s="73" t="s">
        <v>25</v>
      </c>
      <c r="U2" s="9"/>
      <c r="V2" s="9"/>
      <c r="W2" s="9"/>
      <c r="X2" s="10"/>
      <c r="Y2" s="74"/>
      <c r="Z2" s="75"/>
      <c r="AA2" s="75"/>
      <c r="AB2" s="75"/>
      <c r="AC2" s="75"/>
      <c r="AD2" s="75"/>
      <c r="AE2" s="75"/>
      <c r="AF2" s="75"/>
      <c r="AG2" s="75"/>
      <c r="AH2" s="75"/>
      <c r="AI2" s="2"/>
      <c r="AJ2" s="2"/>
      <c r="AK2" s="2"/>
      <c r="AL2" s="2"/>
      <c r="AM2" s="2"/>
      <c r="AN2" s="2"/>
      <c r="AO2" s="2"/>
      <c r="AP2" s="2"/>
      <c r="AQ2" s="2"/>
      <c r="AR2" s="76"/>
    </row>
    <row r="3" ht="15.0" customHeight="1">
      <c r="A3" s="77"/>
      <c r="B3" s="78"/>
      <c r="C3" s="62"/>
      <c r="D3" s="62"/>
      <c r="E3" s="62"/>
      <c r="F3" s="62"/>
      <c r="G3" s="2"/>
      <c r="H3" s="62"/>
      <c r="I3" s="62"/>
      <c r="J3" s="2"/>
      <c r="K3" s="79"/>
      <c r="L3" s="63"/>
      <c r="M3" s="63"/>
      <c r="N3" s="63"/>
      <c r="O3" s="63"/>
      <c r="P3" s="63"/>
      <c r="Q3" s="63"/>
      <c r="R3" s="63"/>
      <c r="S3" s="76"/>
      <c r="T3" s="80" t="s">
        <v>26</v>
      </c>
      <c r="U3" s="81" t="str">
        <f t="array" ref="U3">SUM(U5:U10,U13:U18,U21:U26,U29:U34,U37:U42,U45:U50,U53:U58,U61:U66)</f>
        <v>19</v>
      </c>
      <c r="V3" s="9"/>
      <c r="W3" s="9"/>
      <c r="X3" s="10"/>
      <c r="Y3" s="74"/>
      <c r="Z3" s="82"/>
      <c r="AA3" s="82"/>
      <c r="AB3" s="82"/>
      <c r="AC3" s="82"/>
      <c r="AD3" s="82"/>
      <c r="AE3" s="82"/>
      <c r="AF3" s="82"/>
      <c r="AG3" s="82"/>
      <c r="AH3" s="82"/>
      <c r="AI3" s="83"/>
      <c r="AJ3" s="83"/>
      <c r="AK3" s="83"/>
      <c r="AL3" s="83"/>
      <c r="AM3" s="83"/>
      <c r="AN3" s="83"/>
      <c r="AO3" s="83"/>
      <c r="AP3" s="83"/>
      <c r="AQ3" s="83"/>
      <c r="AR3" s="84"/>
    </row>
    <row r="4" ht="13.5" customHeight="1">
      <c r="A4" s="69"/>
      <c r="B4" s="85" t="s">
        <v>27</v>
      </c>
      <c r="C4" s="9"/>
      <c r="D4" s="9"/>
      <c r="E4" s="9"/>
      <c r="F4" s="10"/>
      <c r="G4" s="71"/>
      <c r="H4" s="86" t="s">
        <v>28</v>
      </c>
      <c r="I4" s="87" t="s">
        <v>29</v>
      </c>
      <c r="J4" s="88"/>
      <c r="K4" s="89"/>
      <c r="L4" s="89"/>
      <c r="M4" s="89"/>
      <c r="N4" s="89"/>
      <c r="O4" s="89"/>
      <c r="P4" s="89"/>
      <c r="Q4" s="89"/>
      <c r="R4" s="89"/>
      <c r="S4" s="2"/>
      <c r="T4" s="90"/>
      <c r="U4" s="91"/>
      <c r="V4" s="91"/>
      <c r="W4" s="91"/>
      <c r="X4" s="91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3"/>
      <c r="AJ4" s="83"/>
      <c r="AK4" s="83"/>
      <c r="AL4" s="83"/>
      <c r="AM4" s="83"/>
      <c r="AN4" s="83"/>
      <c r="AO4" s="83"/>
      <c r="AP4" s="83"/>
      <c r="AQ4" s="83"/>
      <c r="AR4" s="84"/>
    </row>
    <row r="5" ht="13.5" customHeight="1">
      <c r="A5" s="69"/>
      <c r="B5" s="92" t="s">
        <v>30</v>
      </c>
      <c r="C5" s="93">
        <v>2.0</v>
      </c>
      <c r="D5" s="94" t="s">
        <v>31</v>
      </c>
      <c r="E5" s="95">
        <v>0.0</v>
      </c>
      <c r="F5" s="96" t="s">
        <v>32</v>
      </c>
      <c r="G5" s="71"/>
      <c r="H5" s="97">
        <v>46184.0</v>
      </c>
      <c r="I5" s="98">
        <v>1.66666666666667</v>
      </c>
      <c r="J5" s="99"/>
      <c r="K5" s="100"/>
      <c r="L5" s="94" t="s">
        <v>33</v>
      </c>
      <c r="M5" s="94" t="s">
        <v>34</v>
      </c>
      <c r="N5" s="94" t="s">
        <v>35</v>
      </c>
      <c r="O5" s="94" t="s">
        <v>36</v>
      </c>
      <c r="P5" s="94" t="s">
        <v>37</v>
      </c>
      <c r="Q5" s="94" t="s">
        <v>38</v>
      </c>
      <c r="R5" s="101" t="s">
        <v>39</v>
      </c>
      <c r="S5" s="102"/>
      <c r="T5" s="103" t="str">
        <f t="array" ref="T5">IF(NOT(AND(ISNUMBER(C5),ISNUMBER(E5))),"XXX","")</f>
        <v/>
      </c>
      <c r="U5" s="19" t="str">
        <f t="shared" ref="U5:U10" si="1">SUM(Y5,Z5,AA5, AB5)</f>
        <v>4</v>
      </c>
      <c r="Y5" s="33" t="str">
        <f>IF(AND(ISNUMBER(RESULTADOS!C5),ISNUMBER(RESULTADOS!E5),ISNUMBER(C5),ISNUMBER(E5),C5=RESULTADOS!C5,E5=RESULTADOS!E5),2,0)</f>
        <v>2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82"/>
      <c r="AD5" s="82"/>
      <c r="AE5" s="82"/>
      <c r="AF5" s="82"/>
      <c r="AG5" s="82"/>
      <c r="AH5" s="82"/>
      <c r="AI5" s="83"/>
      <c r="AJ5" s="83"/>
      <c r="AK5" s="83"/>
      <c r="AL5" s="83"/>
      <c r="AM5" s="83"/>
      <c r="AN5" s="83"/>
      <c r="AO5" s="83"/>
      <c r="AP5" s="83"/>
      <c r="AQ5" s="83"/>
      <c r="AR5" s="84"/>
    </row>
    <row r="6" ht="13.5" customHeight="1">
      <c r="A6" s="69"/>
      <c r="B6" s="104" t="s">
        <v>40</v>
      </c>
      <c r="C6" s="105">
        <v>3.0</v>
      </c>
      <c r="D6" s="106" t="s">
        <v>31</v>
      </c>
      <c r="E6" s="107">
        <v>3.0</v>
      </c>
      <c r="F6" s="108" t="s">
        <v>41</v>
      </c>
      <c r="G6" s="71"/>
      <c r="H6" s="97">
        <v>46184.0</v>
      </c>
      <c r="I6" s="98">
        <v>1.95833333333333</v>
      </c>
      <c r="J6" s="99"/>
      <c r="K6" s="109" t="s">
        <v>40</v>
      </c>
      <c r="L6" s="110">
        <v>0.0</v>
      </c>
      <c r="M6" s="110" t="str">
        <f t="array" ref="M6">N6-O6</f>
        <v>0</v>
      </c>
      <c r="N6" s="110">
        <v>0.0</v>
      </c>
      <c r="O6" s="110">
        <v>0.0</v>
      </c>
      <c r="P6" s="110">
        <v>0.0</v>
      </c>
      <c r="Q6" s="110">
        <v>0.0</v>
      </c>
      <c r="R6" s="111">
        <v>0.0</v>
      </c>
      <c r="S6" s="102"/>
      <c r="T6" s="103" t="str">
        <f t="array" ref="T6">IF(NOT(AND(ISNUMBER(C6),ISNUMBER(E6))),"XXX","")</f>
        <v/>
      </c>
      <c r="U6" s="19" t="str">
        <f t="shared" si="1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112" t="s">
        <v>42</v>
      </c>
      <c r="AD6" s="112" t="s">
        <v>43</v>
      </c>
      <c r="AE6" s="112" t="s">
        <v>44</v>
      </c>
      <c r="AF6" s="82" t="str">
        <f t="array" ref="AF6">IF(ISNUMBER(FIND("C",AC6,1)),SUBSTITUTE(AC6,"C","E"),SUBSTITUTE(AC6,"E","C"))</f>
        <v>E6</v>
      </c>
      <c r="AG6" s="82" t="str">
        <f t="array" ref="AG6">IF(ISNUMBER(FIND("C",AD6,1)),SUBSTITUTE(AD6,"C","E"),SUBSTITUTE(AD6,"E","C"))</f>
        <v>C8</v>
      </c>
      <c r="AH6" s="82" t="str">
        <f t="array" ref="AH6">IF(ISNUMBER(FIND("C",AE6,1)),SUBSTITUTE(AE6,"C","E"),SUBSTITUTE(AE6,"E","C"))</f>
        <v>C9</v>
      </c>
      <c r="AI6" s="83"/>
      <c r="AJ6" s="83"/>
      <c r="AK6" s="83"/>
      <c r="AL6" s="83"/>
      <c r="AM6" s="83"/>
      <c r="AN6" s="83"/>
      <c r="AO6" s="83"/>
      <c r="AP6" s="83"/>
      <c r="AQ6" s="83"/>
      <c r="AR6" s="84"/>
    </row>
    <row r="7" ht="12.75" customHeight="1">
      <c r="A7" s="69"/>
      <c r="B7" s="104" t="s">
        <v>41</v>
      </c>
      <c r="C7" s="105">
        <v>2.0</v>
      </c>
      <c r="D7" s="106" t="s">
        <v>31</v>
      </c>
      <c r="E7" s="107">
        <v>1.0</v>
      </c>
      <c r="F7" s="108" t="s">
        <v>32</v>
      </c>
      <c r="G7" s="71"/>
      <c r="H7" s="97">
        <v>46191.0</v>
      </c>
      <c r="I7" s="98">
        <v>1.54166666666667</v>
      </c>
      <c r="J7" s="99"/>
      <c r="K7" s="109" t="s">
        <v>30</v>
      </c>
      <c r="L7" s="110">
        <v>0.0</v>
      </c>
      <c r="M7" s="110" t="str">
        <f t="array" ref="M7">N7-O7</f>
        <v>0</v>
      </c>
      <c r="N7" s="110">
        <v>0.0</v>
      </c>
      <c r="O7" s="110">
        <v>0.0</v>
      </c>
      <c r="P7" s="110">
        <v>0.0</v>
      </c>
      <c r="Q7" s="110">
        <v>0.0</v>
      </c>
      <c r="R7" s="111">
        <v>0.0</v>
      </c>
      <c r="S7" s="113"/>
      <c r="T7" s="103" t="str">
        <f t="array" ref="T7">IF(NOT(AND(ISNUMBER(C7),ISNUMBER(E7))),"XXX","")</f>
        <v/>
      </c>
      <c r="U7" s="19" t="str">
        <f t="shared" si="1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112" t="s">
        <v>45</v>
      </c>
      <c r="AD7" s="112" t="s">
        <v>46</v>
      </c>
      <c r="AE7" s="112" t="s">
        <v>47</v>
      </c>
      <c r="AF7" s="82" t="str">
        <f t="array" ref="AF7">IF(ISNUMBER(FIND("C",AC7,1)),SUBSTITUTE(AC7,"C","E"),SUBSTITUTE(AC7,"E","C"))</f>
        <v>E5</v>
      </c>
      <c r="AG7" s="82" t="str">
        <f t="array" ref="AG7">IF(ISNUMBER(FIND("C",AD7,1)),SUBSTITUTE(AD7,"C","E"),SUBSTITUTE(AD7,"E","C"))</f>
        <v>E8</v>
      </c>
      <c r="AH7" s="82" t="str">
        <f t="array" ref="AH7">IF(ISNUMBER(FIND("C",AE7,1)),SUBSTITUTE(AE7,"C","E"),SUBSTITUTE(AE7,"E","C"))</f>
        <v>C10</v>
      </c>
      <c r="AI7" s="83"/>
      <c r="AJ7" s="83"/>
      <c r="AK7" s="83"/>
      <c r="AL7" s="83"/>
      <c r="AM7" s="83"/>
      <c r="AN7" s="83"/>
      <c r="AO7" s="83"/>
      <c r="AP7" s="83"/>
      <c r="AQ7" s="83"/>
      <c r="AR7" s="84"/>
    </row>
    <row r="8" ht="12.75" customHeight="1">
      <c r="A8" s="69"/>
      <c r="B8" s="104" t="s">
        <v>30</v>
      </c>
      <c r="C8" s="105">
        <v>1.0</v>
      </c>
      <c r="D8" s="106" t="s">
        <v>31</v>
      </c>
      <c r="E8" s="107">
        <v>1.0</v>
      </c>
      <c r="F8" s="108" t="s">
        <v>40</v>
      </c>
      <c r="G8" s="71"/>
      <c r="H8" s="97">
        <v>46191.0</v>
      </c>
      <c r="I8" s="98">
        <v>1.91666666666667</v>
      </c>
      <c r="J8" s="99"/>
      <c r="K8" s="109" t="s">
        <v>41</v>
      </c>
      <c r="L8" s="110">
        <v>0.0</v>
      </c>
      <c r="M8" s="110" t="str">
        <f t="array" ref="M8">N8-O8</f>
        <v>0</v>
      </c>
      <c r="N8" s="110">
        <v>0.0</v>
      </c>
      <c r="O8" s="110">
        <v>0.0</v>
      </c>
      <c r="P8" s="110">
        <v>0.0</v>
      </c>
      <c r="Q8" s="110">
        <v>0.0</v>
      </c>
      <c r="R8" s="111">
        <v>0.0</v>
      </c>
      <c r="S8" s="113"/>
      <c r="T8" s="103" t="str">
        <f t="array" ref="T8">IF(NOT(AND(ISNUMBER(C8),ISNUMBER(E8))),"XXX","")</f>
        <v/>
      </c>
      <c r="U8" s="19" t="str">
        <f t="shared" si="1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112" t="s">
        <v>48</v>
      </c>
      <c r="AD8" s="112" t="s">
        <v>49</v>
      </c>
      <c r="AE8" s="112" t="s">
        <v>50</v>
      </c>
      <c r="AF8" s="82" t="str">
        <f t="array" ref="AF8">IF(ISNUMBER(FIND("C",AC8,1)),SUBSTITUTE(AC8,"C","E"),SUBSTITUTE(AC8,"E","C"))</f>
        <v>C6</v>
      </c>
      <c r="AG8" s="82" t="str">
        <f t="array" ref="AG8">IF(ISNUMBER(FIND("C",AD8,1)),SUBSTITUTE(AD8,"C","E"),SUBSTITUTE(AD8,"E","C"))</f>
        <v>E7</v>
      </c>
      <c r="AH8" s="82" t="str">
        <f t="array" ref="AH8">IF(ISNUMBER(FIND("C",AE8,1)),SUBSTITUTE(AE8,"C","E"),SUBSTITUTE(AE8,"E","C"))</f>
        <v>E10</v>
      </c>
      <c r="AI8" s="83"/>
      <c r="AJ8" s="83"/>
      <c r="AK8" s="83"/>
      <c r="AL8" s="83"/>
      <c r="AM8" s="83"/>
      <c r="AN8" s="83"/>
      <c r="AO8" s="83"/>
      <c r="AP8" s="83"/>
      <c r="AQ8" s="83"/>
      <c r="AR8" s="84"/>
    </row>
    <row r="9" ht="12.75" customHeight="1">
      <c r="A9" s="69"/>
      <c r="B9" s="104" t="s">
        <v>32</v>
      </c>
      <c r="C9" s="105">
        <v>0.0</v>
      </c>
      <c r="D9" s="106" t="s">
        <v>31</v>
      </c>
      <c r="E9" s="107">
        <v>2.0</v>
      </c>
      <c r="F9" s="108" t="s">
        <v>40</v>
      </c>
      <c r="G9" s="71"/>
      <c r="H9" s="97">
        <v>46197.0</v>
      </c>
      <c r="I9" s="98">
        <v>1.91666666666667</v>
      </c>
      <c r="J9" s="99"/>
      <c r="K9" s="114" t="s">
        <v>32</v>
      </c>
      <c r="L9" s="115">
        <v>0.0</v>
      </c>
      <c r="M9" s="115" t="str">
        <f t="array" ref="M9">N9-O9</f>
        <v>0</v>
      </c>
      <c r="N9" s="115">
        <v>0.0</v>
      </c>
      <c r="O9" s="115">
        <v>0.0</v>
      </c>
      <c r="P9" s="115">
        <v>0.0</v>
      </c>
      <c r="Q9" s="115">
        <v>0.0</v>
      </c>
      <c r="R9" s="116">
        <v>0.0</v>
      </c>
      <c r="S9" s="113"/>
      <c r="T9" s="103" t="str">
        <f t="array" ref="T9">IF(NOT(AND(ISNUMBER(C9),ISNUMBER(E9))),"XXX","")</f>
        <v/>
      </c>
      <c r="U9" s="19" t="str">
        <f t="shared" si="1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112" t="s">
        <v>51</v>
      </c>
      <c r="AD9" s="112" t="s">
        <v>52</v>
      </c>
      <c r="AE9" s="112" t="s">
        <v>53</v>
      </c>
      <c r="AF9" s="82" t="str">
        <f t="array" ref="AF9">IF(ISNUMBER(FIND("C",AC9,1)),SUBSTITUTE(AC9,"C","E"),SUBSTITUTE(AC9,"E","C"))</f>
        <v>C5</v>
      </c>
      <c r="AG9" s="82" t="str">
        <f t="array" ref="AG9">IF(ISNUMBER(FIND("C",AD9,1)),SUBSTITUTE(AD9,"C","E"),SUBSTITUTE(AD9,"E","C"))</f>
        <v>C7</v>
      </c>
      <c r="AH9" s="82" t="str">
        <f t="array" ref="AH9">IF(ISNUMBER(FIND("C",AE9,1)),SUBSTITUTE(AE9,"C","E"),SUBSTITUTE(AE9,"E","C"))</f>
        <v>E9</v>
      </c>
      <c r="AI9" s="83"/>
      <c r="AJ9" s="83"/>
      <c r="AK9" s="83"/>
      <c r="AL9" s="83"/>
      <c r="AM9" s="83"/>
      <c r="AN9" s="83"/>
      <c r="AO9" s="83"/>
      <c r="AP9" s="83"/>
      <c r="AQ9" s="83"/>
      <c r="AR9" s="84"/>
    </row>
    <row r="10" ht="13.5" customHeight="1">
      <c r="A10" s="69"/>
      <c r="B10" s="117" t="s">
        <v>41</v>
      </c>
      <c r="C10" s="118">
        <v>0.0</v>
      </c>
      <c r="D10" s="119" t="s">
        <v>31</v>
      </c>
      <c r="E10" s="120">
        <v>0.0</v>
      </c>
      <c r="F10" s="121" t="s">
        <v>30</v>
      </c>
      <c r="G10" s="71"/>
      <c r="H10" s="122">
        <v>46197.0</v>
      </c>
      <c r="I10" s="123">
        <v>1.91666666666667</v>
      </c>
      <c r="J10" s="124"/>
      <c r="K10" s="125"/>
      <c r="L10" s="90"/>
      <c r="M10" s="90"/>
      <c r="N10" s="90"/>
      <c r="O10" s="90"/>
      <c r="P10" s="90"/>
      <c r="Q10" s="90"/>
      <c r="R10" s="90"/>
      <c r="S10" s="2"/>
      <c r="T10" s="103" t="str">
        <f t="array" ref="T10">IF(NOT(AND(ISNUMBER(C10),ISNUMBER(E10))),"XXX","")</f>
        <v/>
      </c>
      <c r="U10" s="19" t="str">
        <f t="shared" si="1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82"/>
      <c r="AD10" s="82"/>
      <c r="AE10" s="82"/>
      <c r="AF10" s="82"/>
      <c r="AG10" s="82"/>
      <c r="AH10" s="82"/>
      <c r="AI10" s="83"/>
      <c r="AJ10" s="83"/>
      <c r="AK10" s="83"/>
      <c r="AL10" s="83"/>
      <c r="AM10" s="83"/>
      <c r="AN10" s="83"/>
      <c r="AO10" s="83"/>
      <c r="AP10" s="83"/>
      <c r="AQ10" s="83"/>
      <c r="AR10" s="84"/>
    </row>
    <row r="11" ht="13.5" customHeight="1">
      <c r="A11" s="77"/>
      <c r="B11" s="126"/>
      <c r="C11" s="62"/>
      <c r="D11" s="62"/>
      <c r="E11" s="62"/>
      <c r="F11" s="62"/>
      <c r="G11" s="2"/>
      <c r="H11" s="62"/>
      <c r="I11" s="62"/>
      <c r="J11" s="2"/>
      <c r="K11" s="2"/>
      <c r="L11" s="2"/>
      <c r="M11" s="2"/>
      <c r="N11" s="2"/>
      <c r="O11" s="2"/>
      <c r="P11" s="2"/>
      <c r="Q11" s="2"/>
      <c r="R11" s="2"/>
      <c r="S11" s="2"/>
      <c r="T11" s="83"/>
      <c r="U11" s="2"/>
      <c r="V11" s="2"/>
      <c r="W11" s="2"/>
      <c r="X11" s="5"/>
      <c r="Y11" s="7"/>
      <c r="Z11" s="7"/>
      <c r="AA11" s="7"/>
      <c r="AB11" s="6"/>
      <c r="AC11" s="82"/>
      <c r="AD11" s="82"/>
      <c r="AE11" s="82"/>
      <c r="AF11" s="82"/>
      <c r="AG11" s="82"/>
      <c r="AH11" s="82"/>
      <c r="AI11" s="83"/>
      <c r="AJ11" s="83"/>
      <c r="AK11" s="83"/>
      <c r="AL11" s="83"/>
      <c r="AM11" s="83"/>
      <c r="AN11" s="83"/>
      <c r="AO11" s="83"/>
      <c r="AP11" s="83"/>
      <c r="AQ11" s="83"/>
      <c r="AR11" s="84"/>
    </row>
    <row r="12" ht="13.5" customHeight="1">
      <c r="A12" s="69"/>
      <c r="B12" s="85" t="s">
        <v>54</v>
      </c>
      <c r="C12" s="9"/>
      <c r="D12" s="9"/>
      <c r="E12" s="9"/>
      <c r="F12" s="10"/>
      <c r="G12" s="71"/>
      <c r="H12" s="86" t="s">
        <v>28</v>
      </c>
      <c r="I12" s="87" t="s">
        <v>29</v>
      </c>
      <c r="J12" s="88"/>
      <c r="K12" s="89"/>
      <c r="L12" s="89"/>
      <c r="M12" s="89"/>
      <c r="N12" s="89"/>
      <c r="O12" s="89"/>
      <c r="P12" s="89"/>
      <c r="Q12" s="89"/>
      <c r="R12" s="89"/>
      <c r="S12" s="2"/>
      <c r="T12" s="83"/>
      <c r="U12" s="19"/>
      <c r="V12" s="19"/>
      <c r="W12" s="19"/>
      <c r="X12" s="20"/>
      <c r="Y12" s="33"/>
      <c r="Z12" s="33"/>
      <c r="AA12" s="33"/>
      <c r="AB12" s="6"/>
      <c r="AC12" s="82"/>
      <c r="AD12" s="82"/>
      <c r="AE12" s="82"/>
      <c r="AF12" s="82"/>
      <c r="AG12" s="82"/>
      <c r="AH12" s="82"/>
      <c r="AI12" s="83"/>
      <c r="AJ12" s="83"/>
      <c r="AK12" s="83"/>
      <c r="AL12" s="83"/>
      <c r="AM12" s="83"/>
      <c r="AN12" s="83"/>
      <c r="AO12" s="83"/>
      <c r="AP12" s="83"/>
      <c r="AQ12" s="83"/>
      <c r="AR12" s="84"/>
    </row>
    <row r="13" ht="13.5" customHeight="1">
      <c r="A13" s="69"/>
      <c r="B13" s="92" t="s">
        <v>55</v>
      </c>
      <c r="C13" s="93">
        <v>2.0</v>
      </c>
      <c r="D13" s="94" t="s">
        <v>31</v>
      </c>
      <c r="E13" s="95">
        <v>1.0</v>
      </c>
      <c r="F13" s="96" t="s">
        <v>56</v>
      </c>
      <c r="G13" s="71"/>
      <c r="H13" s="97">
        <v>46185.0</v>
      </c>
      <c r="I13" s="98">
        <v>1.66666666666667</v>
      </c>
      <c r="J13" s="99"/>
      <c r="K13" s="127"/>
      <c r="L13" s="94" t="s">
        <v>33</v>
      </c>
      <c r="M13" s="94" t="s">
        <v>34</v>
      </c>
      <c r="N13" s="94" t="s">
        <v>35</v>
      </c>
      <c r="O13" s="94" t="s">
        <v>36</v>
      </c>
      <c r="P13" s="94" t="s">
        <v>37</v>
      </c>
      <c r="Q13" s="94" t="s">
        <v>38</v>
      </c>
      <c r="R13" s="101" t="s">
        <v>39</v>
      </c>
      <c r="S13" s="102"/>
      <c r="T13" s="103" t="str">
        <f t="array" ref="T13">IF(NOT(AND(ISNUMBER(C13),ISNUMBER(E13))),"XXX","")</f>
        <v/>
      </c>
      <c r="U13" s="19" t="str">
        <f t="shared" ref="U13:U18" si="2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82"/>
      <c r="AD13" s="82"/>
      <c r="AE13" s="82"/>
      <c r="AF13" s="82"/>
      <c r="AG13" s="82"/>
      <c r="AH13" s="82"/>
      <c r="AI13" s="83"/>
      <c r="AJ13" s="83"/>
      <c r="AK13" s="83"/>
      <c r="AL13" s="83"/>
      <c r="AM13" s="83"/>
      <c r="AN13" s="83"/>
      <c r="AO13" s="83"/>
      <c r="AP13" s="83"/>
      <c r="AQ13" s="83"/>
      <c r="AR13" s="84"/>
    </row>
    <row r="14" ht="13.5" customHeight="1">
      <c r="A14" s="69"/>
      <c r="B14" s="104" t="s">
        <v>57</v>
      </c>
      <c r="C14" s="105">
        <v>0.0</v>
      </c>
      <c r="D14" s="106" t="s">
        <v>31</v>
      </c>
      <c r="E14" s="107">
        <v>3.0</v>
      </c>
      <c r="F14" s="128" t="s">
        <v>58</v>
      </c>
      <c r="G14" s="71"/>
      <c r="H14" s="97">
        <v>46186.0</v>
      </c>
      <c r="I14" s="98">
        <v>1.66666666666667</v>
      </c>
      <c r="J14" s="99"/>
      <c r="K14" s="109" t="s">
        <v>56</v>
      </c>
      <c r="L14" s="110">
        <v>0.0</v>
      </c>
      <c r="M14" s="110" t="str">
        <f t="array" ref="M14">N14-O14</f>
        <v>0</v>
      </c>
      <c r="N14" s="110">
        <v>0.0</v>
      </c>
      <c r="O14" s="110">
        <v>0.0</v>
      </c>
      <c r="P14" s="110">
        <v>0.0</v>
      </c>
      <c r="Q14" s="110">
        <v>0.0</v>
      </c>
      <c r="R14" s="111">
        <v>0.0</v>
      </c>
      <c r="S14" s="102"/>
      <c r="T14" s="103" t="str">
        <f t="array" ref="T14">IF(NOT(AND(ISNUMBER(C14),ISNUMBER(E14))),"XXX","")</f>
        <v/>
      </c>
      <c r="U14" s="19" t="str">
        <f t="shared" si="2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112" t="s">
        <v>59</v>
      </c>
      <c r="AD14" s="112" t="s">
        <v>60</v>
      </c>
      <c r="AE14" s="112" t="s">
        <v>61</v>
      </c>
      <c r="AF14" s="82" t="str">
        <f t="array" ref="AF14">IF(ISNUMBER(FIND("C",AC14,1)),SUBSTITUTE(AC14,"C","E"),SUBSTITUTE(AC14,"E","C"))</f>
        <v>C13</v>
      </c>
      <c r="AG14" s="82" t="str">
        <f t="array" ref="AG14">IF(ISNUMBER(FIND("C",AD14,1)),SUBSTITUTE(AD14,"C","E"),SUBSTITUTE(AD14,"E","C"))</f>
        <v>C15</v>
      </c>
      <c r="AH14" s="82" t="str">
        <f t="array" ref="AH14">IF(ISNUMBER(FIND("C",AE14,1)),SUBSTITUTE(AE14,"C","E"),SUBSTITUTE(AE14,"E","C"))</f>
        <v>E18</v>
      </c>
      <c r="AI14" s="83"/>
      <c r="AJ14" s="83"/>
      <c r="AK14" s="83"/>
      <c r="AL14" s="83"/>
      <c r="AM14" s="83"/>
      <c r="AN14" s="83"/>
      <c r="AO14" s="83"/>
      <c r="AP14" s="83"/>
      <c r="AQ14" s="83"/>
      <c r="AR14" s="84"/>
    </row>
    <row r="15" ht="12.75" customHeight="1">
      <c r="A15" s="69"/>
      <c r="B15" s="104" t="s">
        <v>58</v>
      </c>
      <c r="C15" s="105">
        <v>0.0</v>
      </c>
      <c r="D15" s="106" t="s">
        <v>31</v>
      </c>
      <c r="E15" s="107">
        <v>0.0</v>
      </c>
      <c r="F15" s="128" t="s">
        <v>56</v>
      </c>
      <c r="G15" s="71"/>
      <c r="H15" s="97">
        <v>46191.0</v>
      </c>
      <c r="I15" s="98">
        <v>1.66666666666667</v>
      </c>
      <c r="J15" s="99"/>
      <c r="K15" s="109" t="s">
        <v>55</v>
      </c>
      <c r="L15" s="110">
        <v>0.0</v>
      </c>
      <c r="M15" s="110" t="str">
        <f t="array" ref="M15">N15-O15</f>
        <v>0</v>
      </c>
      <c r="N15" s="110">
        <v>0.0</v>
      </c>
      <c r="O15" s="110">
        <v>0.0</v>
      </c>
      <c r="P15" s="110">
        <v>0.0</v>
      </c>
      <c r="Q15" s="110">
        <v>0.0</v>
      </c>
      <c r="R15" s="111">
        <v>0.0</v>
      </c>
      <c r="S15" s="113"/>
      <c r="T15" s="103" t="str">
        <f t="array" ref="T15">IF(NOT(AND(ISNUMBER(C15),ISNUMBER(E15))),"XXX","")</f>
        <v/>
      </c>
      <c r="U15" s="19" t="str">
        <f t="shared" si="2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112" t="s">
        <v>62</v>
      </c>
      <c r="AD15" s="112" t="s">
        <v>63</v>
      </c>
      <c r="AE15" s="112" t="s">
        <v>64</v>
      </c>
      <c r="AF15" s="82" t="str">
        <f t="array" ref="AF15">IF(ISNUMBER(FIND("C",AC15,1)),SUBSTITUTE(AC15,"C","E"),SUBSTITUTE(AC15,"E","C"))</f>
        <v>E13</v>
      </c>
      <c r="AG15" s="82" t="str">
        <f t="array" ref="AG15">IF(ISNUMBER(FIND("C",AD15,1)),SUBSTITUTE(AD15,"C","E"),SUBSTITUTE(AD15,"E","C"))</f>
        <v>E16</v>
      </c>
      <c r="AH15" s="82" t="str">
        <f t="array" ref="AH15">IF(ISNUMBER(FIND("C",AE15,1)),SUBSTITUTE(AE15,"C","E"),SUBSTITUTE(AE15,"E","C"))</f>
        <v>C17</v>
      </c>
      <c r="AI15" s="83"/>
      <c r="AJ15" s="83"/>
      <c r="AK15" s="83"/>
      <c r="AL15" s="83"/>
      <c r="AM15" s="83"/>
      <c r="AN15" s="83"/>
      <c r="AO15" s="83"/>
      <c r="AP15" s="83"/>
      <c r="AQ15" s="83"/>
      <c r="AR15" s="84"/>
    </row>
    <row r="16" ht="12.75" customHeight="1">
      <c r="A16" s="69"/>
      <c r="B16" s="104" t="s">
        <v>55</v>
      </c>
      <c r="C16" s="105">
        <v>1.0</v>
      </c>
      <c r="D16" s="106" t="s">
        <v>31</v>
      </c>
      <c r="E16" s="107">
        <v>0.0</v>
      </c>
      <c r="F16" s="128" t="s">
        <v>57</v>
      </c>
      <c r="G16" s="71"/>
      <c r="H16" s="97">
        <v>46191.0</v>
      </c>
      <c r="I16" s="98">
        <v>1.79166666666667</v>
      </c>
      <c r="J16" s="99"/>
      <c r="K16" s="109" t="s">
        <v>57</v>
      </c>
      <c r="L16" s="110">
        <v>0.0</v>
      </c>
      <c r="M16" s="110" t="str">
        <f t="array" ref="M16">N16-O16</f>
        <v>0</v>
      </c>
      <c r="N16" s="110">
        <v>0.0</v>
      </c>
      <c r="O16" s="110">
        <v>0.0</v>
      </c>
      <c r="P16" s="110">
        <v>0.0</v>
      </c>
      <c r="Q16" s="110">
        <v>0.0</v>
      </c>
      <c r="R16" s="111">
        <v>0.0</v>
      </c>
      <c r="S16" s="113"/>
      <c r="T16" s="103" t="str">
        <f t="array" ref="T16">IF(NOT(AND(ISNUMBER(C16),ISNUMBER(E16))),"XXX","")</f>
        <v/>
      </c>
      <c r="U16" s="19" t="str">
        <f t="shared" si="2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112" t="s">
        <v>65</v>
      </c>
      <c r="AD16" s="112" t="s">
        <v>66</v>
      </c>
      <c r="AE16" s="112" t="s">
        <v>67</v>
      </c>
      <c r="AF16" s="82" t="str">
        <f t="array" ref="AF16">IF(ISNUMBER(FIND("C",AC16,1)),SUBSTITUTE(AC16,"C","E"),SUBSTITUTE(AC16,"E","C"))</f>
        <v>E14</v>
      </c>
      <c r="AG16" s="82" t="str">
        <f t="array" ref="AG16">IF(ISNUMBER(FIND("C",AD16,1)),SUBSTITUTE(AD16,"C","E"),SUBSTITUTE(AD16,"E","C"))</f>
        <v>C16</v>
      </c>
      <c r="AH16" s="82" t="str">
        <f t="array" ref="AH16">IF(ISNUMBER(FIND("C",AE16,1)),SUBSTITUTE(AE16,"C","E"),SUBSTITUTE(AE16,"E","C"))</f>
        <v>C18</v>
      </c>
      <c r="AI16" s="83"/>
      <c r="AJ16" s="83"/>
      <c r="AK16" s="83"/>
      <c r="AL16" s="83"/>
      <c r="AM16" s="83"/>
      <c r="AN16" s="83"/>
      <c r="AO16" s="83"/>
      <c r="AP16" s="83"/>
      <c r="AQ16" s="83"/>
      <c r="AR16" s="84"/>
    </row>
    <row r="17" ht="12.75" customHeight="1">
      <c r="A17" s="69"/>
      <c r="B17" s="104" t="s">
        <v>58</v>
      </c>
      <c r="C17" s="105">
        <v>0.0</v>
      </c>
      <c r="D17" s="106" t="s">
        <v>31</v>
      </c>
      <c r="E17" s="107">
        <v>0.0</v>
      </c>
      <c r="F17" s="128" t="s">
        <v>55</v>
      </c>
      <c r="G17" s="71"/>
      <c r="H17" s="97">
        <v>46197.0</v>
      </c>
      <c r="I17" s="98">
        <v>1.66666666666667</v>
      </c>
      <c r="J17" s="99"/>
      <c r="K17" s="114" t="s">
        <v>58</v>
      </c>
      <c r="L17" s="115">
        <v>0.0</v>
      </c>
      <c r="M17" s="115" t="str">
        <f t="array" ref="M17">N17-O17</f>
        <v>0</v>
      </c>
      <c r="N17" s="115">
        <v>0.0</v>
      </c>
      <c r="O17" s="115">
        <v>0.0</v>
      </c>
      <c r="P17" s="115">
        <v>0.0</v>
      </c>
      <c r="Q17" s="115">
        <v>0.0</v>
      </c>
      <c r="R17" s="116">
        <v>0.0</v>
      </c>
      <c r="S17" s="113"/>
      <c r="T17" s="103" t="str">
        <f t="array" ref="T17">IF(NOT(AND(ISNUMBER(C17),ISNUMBER(E17))),"XXX","")</f>
        <v/>
      </c>
      <c r="U17" s="19" t="str">
        <f t="shared" si="2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112" t="s">
        <v>68</v>
      </c>
      <c r="AD17" s="112" t="s">
        <v>69</v>
      </c>
      <c r="AE17" s="112" t="s">
        <v>70</v>
      </c>
      <c r="AF17" s="82" t="str">
        <f t="array" ref="AF17">IF(ISNUMBER(FIND("C",AC17,1)),SUBSTITUTE(AC17,"C","E"),SUBSTITUTE(AC17,"E","C"))</f>
        <v>C14</v>
      </c>
      <c r="AG17" s="82" t="str">
        <f t="array" ref="AG17">IF(ISNUMBER(FIND("C",AD17,1)),SUBSTITUTE(AD17,"C","E"),SUBSTITUTE(AD17,"E","C"))</f>
        <v>E15</v>
      </c>
      <c r="AH17" s="82" t="str">
        <f t="array" ref="AH17">IF(ISNUMBER(FIND("C",AE17,1)),SUBSTITUTE(AE17,"C","E"),SUBSTITUTE(AE17,"E","C"))</f>
        <v>E17</v>
      </c>
      <c r="AI17" s="83"/>
      <c r="AJ17" s="83"/>
      <c r="AK17" s="83"/>
      <c r="AL17" s="83"/>
      <c r="AM17" s="83"/>
      <c r="AN17" s="83"/>
      <c r="AO17" s="83"/>
      <c r="AP17" s="83"/>
      <c r="AQ17" s="83"/>
      <c r="AR17" s="84"/>
    </row>
    <row r="18" ht="13.5" customHeight="1">
      <c r="A18" s="69"/>
      <c r="B18" s="117" t="s">
        <v>56</v>
      </c>
      <c r="C18" s="118">
        <v>1.0</v>
      </c>
      <c r="D18" s="119" t="s">
        <v>31</v>
      </c>
      <c r="E18" s="120">
        <v>0.0</v>
      </c>
      <c r="F18" s="129" t="s">
        <v>57</v>
      </c>
      <c r="G18" s="71"/>
      <c r="H18" s="122">
        <v>46197.0</v>
      </c>
      <c r="I18" s="123">
        <v>1.66666666666667</v>
      </c>
      <c r="J18" s="124"/>
      <c r="K18" s="125"/>
      <c r="L18" s="90"/>
      <c r="M18" s="90"/>
      <c r="N18" s="90"/>
      <c r="O18" s="90"/>
      <c r="P18" s="90"/>
      <c r="Q18" s="90"/>
      <c r="R18" s="90"/>
      <c r="S18" s="2"/>
      <c r="T18" s="103" t="str">
        <f t="array" ref="T18">IF(NOT(AND(ISNUMBER(C18),ISNUMBER(E18))),"XXX","")</f>
        <v/>
      </c>
      <c r="U18" s="19" t="str">
        <f t="shared" si="2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82"/>
      <c r="AD18" s="82"/>
      <c r="AE18" s="82"/>
      <c r="AF18" s="82"/>
      <c r="AG18" s="82"/>
      <c r="AH18" s="82"/>
      <c r="AI18" s="83"/>
      <c r="AJ18" s="83"/>
      <c r="AK18" s="83"/>
      <c r="AL18" s="83"/>
      <c r="AM18" s="83"/>
      <c r="AN18" s="83"/>
      <c r="AO18" s="83"/>
      <c r="AP18" s="83"/>
      <c r="AQ18" s="83"/>
      <c r="AR18" s="84"/>
    </row>
    <row r="19" ht="13.5" customHeight="1">
      <c r="A19" s="77"/>
      <c r="B19" s="126"/>
      <c r="C19" s="62"/>
      <c r="D19" s="62"/>
      <c r="E19" s="62"/>
      <c r="F19" s="62"/>
      <c r="G19" s="2"/>
      <c r="H19" s="62"/>
      <c r="I19" s="62"/>
      <c r="J19" s="2"/>
      <c r="K19" s="2"/>
      <c r="L19" s="2"/>
      <c r="M19" s="2"/>
      <c r="N19" s="2"/>
      <c r="O19" s="2"/>
      <c r="P19" s="2"/>
      <c r="Q19" s="2"/>
      <c r="R19" s="2"/>
      <c r="S19" s="2"/>
      <c r="T19" s="83"/>
      <c r="U19" s="2"/>
      <c r="V19" s="2"/>
      <c r="W19" s="2"/>
      <c r="X19" s="5"/>
      <c r="Y19" s="7"/>
      <c r="Z19" s="7"/>
      <c r="AA19" s="7"/>
      <c r="AB19" s="6"/>
      <c r="AC19" s="82"/>
      <c r="AD19" s="82"/>
      <c r="AE19" s="82"/>
      <c r="AF19" s="82"/>
      <c r="AG19" s="82"/>
      <c r="AH19" s="82"/>
      <c r="AI19" s="83"/>
      <c r="AJ19" s="83"/>
      <c r="AK19" s="83"/>
      <c r="AL19" s="83"/>
      <c r="AM19" s="83"/>
      <c r="AN19" s="83"/>
      <c r="AO19" s="83"/>
      <c r="AP19" s="83"/>
      <c r="AQ19" s="83"/>
      <c r="AR19" s="84"/>
    </row>
    <row r="20" ht="13.5" customHeight="1">
      <c r="A20" s="69"/>
      <c r="B20" s="85" t="s">
        <v>71</v>
      </c>
      <c r="C20" s="9"/>
      <c r="D20" s="9"/>
      <c r="E20" s="9"/>
      <c r="F20" s="10"/>
      <c r="G20" s="71"/>
      <c r="H20" s="86" t="s">
        <v>28</v>
      </c>
      <c r="I20" s="87" t="s">
        <v>29</v>
      </c>
      <c r="J20" s="88"/>
      <c r="K20" s="89"/>
      <c r="L20" s="89"/>
      <c r="M20" s="89"/>
      <c r="N20" s="89"/>
      <c r="O20" s="89"/>
      <c r="P20" s="89"/>
      <c r="Q20" s="89"/>
      <c r="R20" s="89"/>
      <c r="S20" s="2"/>
      <c r="T20" s="83"/>
      <c r="U20" s="19"/>
      <c r="V20" s="19"/>
      <c r="W20" s="19"/>
      <c r="X20" s="20"/>
      <c r="Y20" s="33"/>
      <c r="Z20" s="33"/>
      <c r="AA20" s="33"/>
      <c r="AB20" s="6"/>
      <c r="AC20" s="82"/>
      <c r="AD20" s="82"/>
      <c r="AE20" s="82"/>
      <c r="AF20" s="82"/>
      <c r="AG20" s="82"/>
      <c r="AH20" s="82"/>
      <c r="AI20" s="83"/>
      <c r="AJ20" s="83"/>
      <c r="AK20" s="83"/>
      <c r="AL20" s="83"/>
      <c r="AM20" s="83"/>
      <c r="AN20" s="83"/>
      <c r="AO20" s="83"/>
      <c r="AP20" s="83"/>
      <c r="AQ20" s="83"/>
      <c r="AR20" s="84"/>
    </row>
    <row r="21" ht="13.5" customHeight="1">
      <c r="A21" s="69"/>
      <c r="B21" s="92" t="s">
        <v>72</v>
      </c>
      <c r="C21" s="93">
        <v>2.0</v>
      </c>
      <c r="D21" s="94" t="s">
        <v>31</v>
      </c>
      <c r="E21" s="95">
        <v>2.0</v>
      </c>
      <c r="F21" s="96" t="s">
        <v>73</v>
      </c>
      <c r="G21" s="71"/>
      <c r="H21" s="97">
        <v>46186.0</v>
      </c>
      <c r="I21" s="98">
        <v>1.79166666666667</v>
      </c>
      <c r="J21" s="99"/>
      <c r="K21" s="127"/>
      <c r="L21" s="94" t="s">
        <v>33</v>
      </c>
      <c r="M21" s="94" t="s">
        <v>34</v>
      </c>
      <c r="N21" s="94" t="s">
        <v>35</v>
      </c>
      <c r="O21" s="94" t="s">
        <v>36</v>
      </c>
      <c r="P21" s="94" t="s">
        <v>37</v>
      </c>
      <c r="Q21" s="94" t="s">
        <v>38</v>
      </c>
      <c r="R21" s="101" t="s">
        <v>39</v>
      </c>
      <c r="S21" s="102"/>
      <c r="T21" s="103" t="str">
        <f t="array" ref="T21">IF(NOT(AND(ISNUMBER(C21),ISNUMBER(E21))),"XXX","")</f>
        <v/>
      </c>
      <c r="U21" s="19" t="str">
        <f t="shared" ref="U21:U26" si="3">SUM(Y21,Z21,AA21, AB21)</f>
        <v>2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2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82"/>
      <c r="AD21" s="82"/>
      <c r="AE21" s="82"/>
      <c r="AF21" s="82"/>
      <c r="AG21" s="82"/>
      <c r="AH21" s="82"/>
      <c r="AI21" s="83"/>
      <c r="AJ21" s="83"/>
      <c r="AK21" s="83"/>
      <c r="AL21" s="83"/>
      <c r="AM21" s="83"/>
      <c r="AN21" s="83"/>
      <c r="AO21" s="83"/>
      <c r="AP21" s="83"/>
      <c r="AQ21" s="83"/>
      <c r="AR21" s="84"/>
    </row>
    <row r="22" ht="13.5" customHeight="1">
      <c r="A22" s="69"/>
      <c r="B22" s="104" t="s">
        <v>74</v>
      </c>
      <c r="C22" s="105">
        <v>1.0</v>
      </c>
      <c r="D22" s="106" t="s">
        <v>31</v>
      </c>
      <c r="E22" s="107">
        <v>1.0</v>
      </c>
      <c r="F22" s="128" t="s">
        <v>75</v>
      </c>
      <c r="G22" s="71"/>
      <c r="H22" s="97">
        <v>46186.0</v>
      </c>
      <c r="I22" s="98">
        <v>1.91666666666667</v>
      </c>
      <c r="J22" s="99"/>
      <c r="K22" s="109" t="s">
        <v>72</v>
      </c>
      <c r="L22" s="110">
        <v>0.0</v>
      </c>
      <c r="M22" s="110" t="str">
        <f t="array" ref="M22">N22-O22</f>
        <v>0</v>
      </c>
      <c r="N22" s="110">
        <v>0.0</v>
      </c>
      <c r="O22" s="110">
        <v>0.0</v>
      </c>
      <c r="P22" s="110">
        <v>0.0</v>
      </c>
      <c r="Q22" s="110">
        <v>0.0</v>
      </c>
      <c r="R22" s="111">
        <v>0.0</v>
      </c>
      <c r="S22" s="102"/>
      <c r="T22" s="103" t="str">
        <f t="array" ref="T22">IF(NOT(AND(ISNUMBER(C22),ISNUMBER(E22))),"XXX","")</f>
        <v/>
      </c>
      <c r="U22" s="19" t="str">
        <f t="shared" si="3"/>
        <v>0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0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112" t="s">
        <v>76</v>
      </c>
      <c r="AD22" s="112" t="s">
        <v>77</v>
      </c>
      <c r="AE22" s="112" t="s">
        <v>78</v>
      </c>
      <c r="AF22" s="82" t="str">
        <f t="array" ref="AF22">IF(ISNUMBER(FIND("C",AC22,1)),SUBSTITUTE(AC22,"C","E"),SUBSTITUTE(AC22,"E","C"))</f>
        <v>E21</v>
      </c>
      <c r="AG22" s="82" t="str">
        <f t="array" ref="AG22">IF(ISNUMBER(FIND("C",AD22,1)),SUBSTITUTE(AD22,"C","E"),SUBSTITUTE(AD22,"E","C"))</f>
        <v>E24</v>
      </c>
      <c r="AH22" s="82" t="str">
        <f t="array" ref="AH22">IF(ISNUMBER(FIND("C",AE22,1)),SUBSTITUTE(AE22,"C","E"),SUBSTITUTE(AE22,"E","C"))</f>
        <v>C26</v>
      </c>
      <c r="AI22" s="83"/>
      <c r="AJ22" s="83"/>
      <c r="AK22" s="83"/>
      <c r="AL22" s="83"/>
      <c r="AM22" s="83"/>
      <c r="AN22" s="83"/>
      <c r="AO22" s="83"/>
      <c r="AP22" s="83"/>
      <c r="AQ22" s="83"/>
      <c r="AR22" s="84"/>
    </row>
    <row r="23" ht="12.75" customHeight="1">
      <c r="A23" s="69"/>
      <c r="B23" s="104" t="s">
        <v>75</v>
      </c>
      <c r="C23" s="105">
        <v>1.0</v>
      </c>
      <c r="D23" s="106" t="s">
        <v>31</v>
      </c>
      <c r="E23" s="107">
        <v>3.0</v>
      </c>
      <c r="F23" s="128" t="s">
        <v>73</v>
      </c>
      <c r="G23" s="71"/>
      <c r="H23" s="97">
        <v>46192.0</v>
      </c>
      <c r="I23" s="98">
        <v>1.79166666666667</v>
      </c>
      <c r="J23" s="99"/>
      <c r="K23" s="109" t="s">
        <v>75</v>
      </c>
      <c r="L23" s="110">
        <v>0.0</v>
      </c>
      <c r="M23" s="110" t="str">
        <f t="array" ref="M23">N23-O23</f>
        <v>0</v>
      </c>
      <c r="N23" s="110">
        <v>0.0</v>
      </c>
      <c r="O23" s="110">
        <v>0.0</v>
      </c>
      <c r="P23" s="110">
        <v>0.0</v>
      </c>
      <c r="Q23" s="110">
        <v>0.0</v>
      </c>
      <c r="R23" s="111">
        <v>0.0</v>
      </c>
      <c r="S23" s="113"/>
      <c r="T23" s="103" t="str">
        <f t="array" ref="T23">IF(NOT(AND(ISNUMBER(C23),ISNUMBER(E23))),"XXX","")</f>
        <v/>
      </c>
      <c r="U23" s="19" t="str">
        <f t="shared" si="3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112" t="s">
        <v>79</v>
      </c>
      <c r="AD23" s="112" t="s">
        <v>80</v>
      </c>
      <c r="AE23" s="112" t="s">
        <v>81</v>
      </c>
      <c r="AF23" s="82" t="str">
        <f t="array" ref="AF23">IF(ISNUMBER(FIND("C",AC23,1)),SUBSTITUTE(AC23,"C","E"),SUBSTITUTE(AC23,"E","C"))</f>
        <v>C22</v>
      </c>
      <c r="AG23" s="82" t="str">
        <f t="array" ref="AG23">IF(ISNUMBER(FIND("C",AD23,1)),SUBSTITUTE(AD23,"C","E"),SUBSTITUTE(AD23,"E","C"))</f>
        <v>E23</v>
      </c>
      <c r="AH23" s="82" t="str">
        <f t="array" ref="AH23">IF(ISNUMBER(FIND("C",AE23,1)),SUBSTITUTE(AE23,"C","E"),SUBSTITUTE(AE23,"E","C"))</f>
        <v>E26</v>
      </c>
      <c r="AI23" s="83"/>
      <c r="AJ23" s="83"/>
      <c r="AK23" s="83"/>
      <c r="AL23" s="83"/>
      <c r="AM23" s="83"/>
      <c r="AN23" s="83"/>
      <c r="AO23" s="83"/>
      <c r="AP23" s="83"/>
      <c r="AQ23" s="83"/>
      <c r="AR23" s="84"/>
    </row>
    <row r="24" ht="12.75" customHeight="1">
      <c r="A24" s="69"/>
      <c r="B24" s="104" t="s">
        <v>72</v>
      </c>
      <c r="C24" s="105">
        <v>4.0</v>
      </c>
      <c r="D24" s="106" t="s">
        <v>31</v>
      </c>
      <c r="E24" s="107">
        <v>1.0</v>
      </c>
      <c r="F24" s="128" t="s">
        <v>74</v>
      </c>
      <c r="G24" s="71"/>
      <c r="H24" s="97">
        <v>46192.0</v>
      </c>
      <c r="I24" s="98">
        <v>1.89583333333333</v>
      </c>
      <c r="J24" s="99"/>
      <c r="K24" s="109" t="s">
        <v>74</v>
      </c>
      <c r="L24" s="110">
        <v>0.0</v>
      </c>
      <c r="M24" s="110" t="str">
        <f t="array" ref="M24">N24-O24</f>
        <v>0</v>
      </c>
      <c r="N24" s="110">
        <v>0.0</v>
      </c>
      <c r="O24" s="110">
        <v>0.0</v>
      </c>
      <c r="P24" s="110">
        <v>0.0</v>
      </c>
      <c r="Q24" s="110">
        <v>0.0</v>
      </c>
      <c r="R24" s="111">
        <v>0.0</v>
      </c>
      <c r="S24" s="113"/>
      <c r="T24" s="103" t="str">
        <f t="array" ref="T24">IF(NOT(AND(ISNUMBER(C24),ISNUMBER(E24))),"XXX","")</f>
        <v/>
      </c>
      <c r="U24" s="19" t="str">
        <f t="shared" si="3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112" t="s">
        <v>82</v>
      </c>
      <c r="AD24" s="112" t="s">
        <v>83</v>
      </c>
      <c r="AE24" s="112" t="s">
        <v>84</v>
      </c>
      <c r="AF24" s="82" t="str">
        <f t="array" ref="AF24">IF(ISNUMBER(FIND("C",AC24,1)),SUBSTITUTE(AC24,"C","E"),SUBSTITUTE(AC24,"E","C"))</f>
        <v>E22</v>
      </c>
      <c r="AG24" s="82" t="str">
        <f t="array" ref="AG24">IF(ISNUMBER(FIND("C",AD24,1)),SUBSTITUTE(AD24,"C","E"),SUBSTITUTE(AD24,"E","C"))</f>
        <v>C24</v>
      </c>
      <c r="AH24" s="82" t="str">
        <f t="array" ref="AH24">IF(ISNUMBER(FIND("C",AE24,1)),SUBSTITUTE(AE24,"C","E"),SUBSTITUTE(AE24,"E","C"))</f>
        <v>C25</v>
      </c>
      <c r="AI24" s="83"/>
      <c r="AJ24" s="83"/>
      <c r="AK24" s="83"/>
      <c r="AL24" s="83"/>
      <c r="AM24" s="83"/>
      <c r="AN24" s="83"/>
      <c r="AO24" s="83"/>
      <c r="AP24" s="83"/>
      <c r="AQ24" s="83"/>
      <c r="AR24" s="84"/>
    </row>
    <row r="25" ht="12.75" customHeight="1">
      <c r="A25" s="69"/>
      <c r="B25" s="104" t="s">
        <v>73</v>
      </c>
      <c r="C25" s="105">
        <v>2.0</v>
      </c>
      <c r="D25" s="106" t="s">
        <v>31</v>
      </c>
      <c r="E25" s="107">
        <v>1.0</v>
      </c>
      <c r="F25" s="128" t="s">
        <v>74</v>
      </c>
      <c r="G25" s="71"/>
      <c r="H25" s="97">
        <v>46197.0</v>
      </c>
      <c r="I25" s="98">
        <v>1.79166666666667</v>
      </c>
      <c r="J25" s="99"/>
      <c r="K25" s="114" t="s">
        <v>73</v>
      </c>
      <c r="L25" s="115">
        <v>0.0</v>
      </c>
      <c r="M25" s="115" t="str">
        <f t="array" ref="M25">N25-O25</f>
        <v>0</v>
      </c>
      <c r="N25" s="115">
        <v>0.0</v>
      </c>
      <c r="O25" s="115">
        <v>0.0</v>
      </c>
      <c r="P25" s="115">
        <v>0.0</v>
      </c>
      <c r="Q25" s="115">
        <v>0.0</v>
      </c>
      <c r="R25" s="116">
        <v>0.0</v>
      </c>
      <c r="S25" s="113"/>
      <c r="T25" s="103" t="str">
        <f t="array" ref="T25">IF(NOT(AND(ISNUMBER(C25),ISNUMBER(E25))),"XXX","")</f>
        <v/>
      </c>
      <c r="U25" s="19" t="str">
        <f t="shared" si="3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112" t="s">
        <v>85</v>
      </c>
      <c r="AD25" s="112" t="s">
        <v>86</v>
      </c>
      <c r="AE25" s="112" t="s">
        <v>87</v>
      </c>
      <c r="AF25" s="82" t="str">
        <f t="array" ref="AF25">IF(ISNUMBER(FIND("C",AC25,1)),SUBSTITUTE(AC25,"C","E"),SUBSTITUTE(AC25,"E","C"))</f>
        <v>C21</v>
      </c>
      <c r="AG25" s="82" t="str">
        <f t="array" ref="AG25">IF(ISNUMBER(FIND("C",AD25,1)),SUBSTITUTE(AD25,"C","E"),SUBSTITUTE(AD25,"E","C"))</f>
        <v>C23</v>
      </c>
      <c r="AH25" s="82" t="str">
        <f t="array" ref="AH25">IF(ISNUMBER(FIND("C",AE25,1)),SUBSTITUTE(AE25,"C","E"),SUBSTITUTE(AE25,"E","C"))</f>
        <v>E25</v>
      </c>
      <c r="AI25" s="83"/>
      <c r="AJ25" s="83"/>
      <c r="AK25" s="83"/>
      <c r="AL25" s="83"/>
      <c r="AM25" s="83"/>
      <c r="AN25" s="83"/>
      <c r="AO25" s="83"/>
      <c r="AP25" s="83"/>
      <c r="AQ25" s="83"/>
      <c r="AR25" s="84"/>
    </row>
    <row r="26" ht="13.5" customHeight="1">
      <c r="A26" s="69"/>
      <c r="B26" s="117" t="s">
        <v>75</v>
      </c>
      <c r="C26" s="118">
        <v>0.0</v>
      </c>
      <c r="D26" s="119" t="s">
        <v>31</v>
      </c>
      <c r="E26" s="120">
        <v>1.0</v>
      </c>
      <c r="F26" s="129" t="s">
        <v>72</v>
      </c>
      <c r="G26" s="71"/>
      <c r="H26" s="122">
        <v>46197.0</v>
      </c>
      <c r="I26" s="123">
        <v>1.79166666666667</v>
      </c>
      <c r="J26" s="124"/>
      <c r="K26" s="130"/>
      <c r="L26" s="90"/>
      <c r="M26" s="90"/>
      <c r="N26" s="90"/>
      <c r="O26" s="90"/>
      <c r="P26" s="90"/>
      <c r="Q26" s="90"/>
      <c r="R26" s="90"/>
      <c r="S26" s="2"/>
      <c r="T26" s="103" t="str">
        <f t="array" ref="T26">IF(NOT(AND(ISNUMBER(C26),ISNUMBER(E26))),"XXX","")</f>
        <v/>
      </c>
      <c r="U26" s="19" t="str">
        <f t="shared" si="3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82"/>
      <c r="AD26" s="82"/>
      <c r="AE26" s="82"/>
      <c r="AF26" s="82"/>
      <c r="AG26" s="82"/>
      <c r="AH26" s="82"/>
      <c r="AI26" s="83"/>
      <c r="AJ26" s="83"/>
      <c r="AK26" s="83"/>
      <c r="AL26" s="83"/>
      <c r="AM26" s="83"/>
      <c r="AN26" s="83"/>
      <c r="AO26" s="83"/>
      <c r="AP26" s="83"/>
      <c r="AQ26" s="83"/>
      <c r="AR26" s="84"/>
    </row>
    <row r="27" ht="13.5" customHeight="1">
      <c r="A27" s="77"/>
      <c r="B27" s="126"/>
      <c r="C27" s="62"/>
      <c r="D27" s="62"/>
      <c r="E27" s="62"/>
      <c r="F27" s="62"/>
      <c r="G27" s="2"/>
      <c r="H27" s="62"/>
      <c r="I27" s="62"/>
      <c r="J27" s="2"/>
      <c r="K27" s="2"/>
      <c r="L27" s="2"/>
      <c r="M27" s="2"/>
      <c r="N27" s="2"/>
      <c r="O27" s="2"/>
      <c r="P27" s="2"/>
      <c r="Q27" s="2"/>
      <c r="R27" s="2"/>
      <c r="S27" s="2"/>
      <c r="T27" s="83"/>
      <c r="U27" s="2"/>
      <c r="V27" s="2"/>
      <c r="W27" s="2"/>
      <c r="X27" s="5"/>
      <c r="Y27" s="7"/>
      <c r="Z27" s="7"/>
      <c r="AA27" s="7"/>
      <c r="AB27" s="6"/>
      <c r="AC27" s="82"/>
      <c r="AD27" s="82"/>
      <c r="AE27" s="82"/>
      <c r="AF27" s="82"/>
      <c r="AG27" s="82"/>
      <c r="AH27" s="82"/>
      <c r="AI27" s="83"/>
      <c r="AJ27" s="83"/>
      <c r="AK27" s="83"/>
      <c r="AL27" s="83"/>
      <c r="AM27" s="83"/>
      <c r="AN27" s="83"/>
      <c r="AO27" s="83"/>
      <c r="AP27" s="83"/>
      <c r="AQ27" s="83"/>
      <c r="AR27" s="84"/>
    </row>
    <row r="28" ht="13.5" customHeight="1">
      <c r="A28" s="69"/>
      <c r="B28" s="85" t="s">
        <v>88</v>
      </c>
      <c r="C28" s="9"/>
      <c r="D28" s="9"/>
      <c r="E28" s="9"/>
      <c r="F28" s="10"/>
      <c r="G28" s="71"/>
      <c r="H28" s="86" t="s">
        <v>28</v>
      </c>
      <c r="I28" s="87" t="s">
        <v>29</v>
      </c>
      <c r="J28" s="88"/>
      <c r="K28" s="89"/>
      <c r="L28" s="89"/>
      <c r="M28" s="89"/>
      <c r="N28" s="89"/>
      <c r="O28" s="89"/>
      <c r="P28" s="89"/>
      <c r="Q28" s="89"/>
      <c r="R28" s="89"/>
      <c r="S28" s="2"/>
      <c r="T28" s="83"/>
      <c r="U28" s="19"/>
      <c r="V28" s="19"/>
      <c r="W28" s="19"/>
      <c r="X28" s="20"/>
      <c r="Y28" s="33"/>
      <c r="Z28" s="33"/>
      <c r="AA28" s="33"/>
      <c r="AB28" s="6"/>
      <c r="AC28" s="82"/>
      <c r="AD28" s="82"/>
      <c r="AE28" s="82"/>
      <c r="AF28" s="82"/>
      <c r="AG28" s="82"/>
      <c r="AH28" s="82"/>
      <c r="AI28" s="83"/>
      <c r="AJ28" s="83"/>
      <c r="AK28" s="83"/>
      <c r="AL28" s="83"/>
      <c r="AM28" s="83"/>
      <c r="AN28" s="83"/>
      <c r="AO28" s="83"/>
      <c r="AP28" s="83"/>
      <c r="AQ28" s="83"/>
      <c r="AR28" s="84"/>
    </row>
    <row r="29" ht="13.5" customHeight="1">
      <c r="A29" s="69"/>
      <c r="B29" s="92" t="s">
        <v>89</v>
      </c>
      <c r="C29" s="93">
        <v>3.0</v>
      </c>
      <c r="D29" s="94" t="s">
        <v>31</v>
      </c>
      <c r="E29" s="95">
        <v>0.0</v>
      </c>
      <c r="F29" s="96" t="s">
        <v>90</v>
      </c>
      <c r="G29" s="71"/>
      <c r="H29" s="97">
        <v>46185.0</v>
      </c>
      <c r="I29" s="98">
        <v>1.91666666666667</v>
      </c>
      <c r="J29" s="99"/>
      <c r="K29" s="100"/>
      <c r="L29" s="94" t="s">
        <v>33</v>
      </c>
      <c r="M29" s="94" t="s">
        <v>34</v>
      </c>
      <c r="N29" s="94" t="s">
        <v>35</v>
      </c>
      <c r="O29" s="94" t="s">
        <v>36</v>
      </c>
      <c r="P29" s="94" t="s">
        <v>37</v>
      </c>
      <c r="Q29" s="94" t="s">
        <v>38</v>
      </c>
      <c r="R29" s="101" t="s">
        <v>39</v>
      </c>
      <c r="S29" s="102"/>
      <c r="T29" s="103" t="str">
        <f t="array" ref="T29">IF(NOT(AND(ISNUMBER(C29),ISNUMBER(E29))),"XXX","")</f>
        <v/>
      </c>
      <c r="U29" s="19" t="str">
        <f t="shared" ref="U29:U34" si="4">SUM(Y29,Z29,AA29, AB29)</f>
        <v>2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1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1</v>
      </c>
      <c r="AC29" s="82"/>
      <c r="AD29" s="82"/>
      <c r="AE29" s="82"/>
      <c r="AF29" s="82"/>
      <c r="AG29" s="82"/>
      <c r="AH29" s="82"/>
      <c r="AI29" s="83"/>
      <c r="AJ29" s="83"/>
      <c r="AK29" s="83"/>
      <c r="AL29" s="83"/>
      <c r="AM29" s="83"/>
      <c r="AN29" s="83"/>
      <c r="AO29" s="83"/>
      <c r="AP29" s="83"/>
      <c r="AQ29" s="83"/>
      <c r="AR29" s="84"/>
    </row>
    <row r="30" ht="13.5" customHeight="1">
      <c r="A30" s="69"/>
      <c r="B30" s="104" t="s">
        <v>91</v>
      </c>
      <c r="C30" s="105">
        <v>1.0</v>
      </c>
      <c r="D30" s="106" t="s">
        <v>31</v>
      </c>
      <c r="E30" s="107">
        <v>1.0</v>
      </c>
      <c r="F30" s="128" t="s">
        <v>92</v>
      </c>
      <c r="G30" s="71"/>
      <c r="H30" s="97">
        <v>46187.0</v>
      </c>
      <c r="I30" s="98">
        <v>1.04166666666667</v>
      </c>
      <c r="J30" s="99"/>
      <c r="K30" s="109" t="s">
        <v>91</v>
      </c>
      <c r="L30" s="110">
        <v>0.0</v>
      </c>
      <c r="M30" s="110" t="str">
        <f t="array" ref="M30">N30-O30</f>
        <v>0</v>
      </c>
      <c r="N30" s="110">
        <v>0.0</v>
      </c>
      <c r="O30" s="110">
        <v>0.0</v>
      </c>
      <c r="P30" s="110">
        <v>0.0</v>
      </c>
      <c r="Q30" s="110">
        <v>0.0</v>
      </c>
      <c r="R30" s="111">
        <v>0.0</v>
      </c>
      <c r="S30" s="102"/>
      <c r="T30" s="103" t="str">
        <f t="array" ref="T30">IF(NOT(AND(ISNUMBER(C30),ISNUMBER(E30))),"XXX","")</f>
        <v/>
      </c>
      <c r="U30" s="19" t="str">
        <f t="shared" si="4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112" t="s">
        <v>93</v>
      </c>
      <c r="AD30" s="112" t="s">
        <v>94</v>
      </c>
      <c r="AE30" s="112" t="s">
        <v>95</v>
      </c>
      <c r="AF30" s="82" t="str">
        <f t="array" ref="AF30">IF(ISNUMBER(FIND("C",AC30,1)),SUBSTITUTE(AC30,"C","E"),SUBSTITUTE(AC30,"E","C"))</f>
        <v>E30</v>
      </c>
      <c r="AG30" s="82" t="str">
        <f t="array" ref="AG30">IF(ISNUMBER(FIND("C",AD30,1)),SUBSTITUTE(AD30,"C","E"),SUBSTITUTE(AD30,"E","C"))</f>
        <v>C31</v>
      </c>
      <c r="AH30" s="82" t="str">
        <f t="array" ref="AH30">IF(ISNUMBER(FIND("C",AE30,1)),SUBSTITUTE(AE30,"C","E"),SUBSTITUTE(AE30,"E","C"))</f>
        <v>C34</v>
      </c>
      <c r="AI30" s="83"/>
      <c r="AJ30" s="83"/>
      <c r="AK30" s="83"/>
      <c r="AL30" s="83"/>
      <c r="AM30" s="83"/>
      <c r="AN30" s="83"/>
      <c r="AO30" s="83"/>
      <c r="AP30" s="83"/>
      <c r="AQ30" s="83"/>
      <c r="AR30" s="84"/>
    </row>
    <row r="31" ht="12.75" customHeight="1">
      <c r="A31" s="69"/>
      <c r="B31" s="104" t="s">
        <v>89</v>
      </c>
      <c r="C31" s="105">
        <v>3.0</v>
      </c>
      <c r="D31" s="106" t="s">
        <v>31</v>
      </c>
      <c r="E31" s="107">
        <v>1.0</v>
      </c>
      <c r="F31" s="128" t="s">
        <v>91</v>
      </c>
      <c r="G31" s="71"/>
      <c r="H31" s="97">
        <v>46192.0</v>
      </c>
      <c r="I31" s="98">
        <v>1.66666666666667</v>
      </c>
      <c r="J31" s="99"/>
      <c r="K31" s="109" t="s">
        <v>89</v>
      </c>
      <c r="L31" s="110">
        <v>0.0</v>
      </c>
      <c r="M31" s="110" t="str">
        <f t="array" ref="M31">N31-O31</f>
        <v>0</v>
      </c>
      <c r="N31" s="110">
        <v>0.0</v>
      </c>
      <c r="O31" s="110">
        <v>0.0</v>
      </c>
      <c r="P31" s="110">
        <v>0.0</v>
      </c>
      <c r="Q31" s="110">
        <v>0.0</v>
      </c>
      <c r="R31" s="111">
        <v>0.0</v>
      </c>
      <c r="S31" s="113"/>
      <c r="T31" s="103" t="str">
        <f t="array" ref="T31">IF(NOT(AND(ISNUMBER(C31),ISNUMBER(E31))),"XXX","")</f>
        <v/>
      </c>
      <c r="U31" s="19" t="str">
        <f t="shared" si="4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112" t="s">
        <v>96</v>
      </c>
      <c r="AD31" s="112" t="s">
        <v>97</v>
      </c>
      <c r="AE31" s="112" t="s">
        <v>98</v>
      </c>
      <c r="AF31" s="82" t="str">
        <f t="array" ref="AF31">IF(ISNUMBER(FIND("C",AC31,1)),SUBSTITUTE(AC31,"C","E"),SUBSTITUTE(AC31,"E","C"))</f>
        <v>E29</v>
      </c>
      <c r="AG31" s="82" t="str">
        <f t="array" ref="AG31">IF(ISNUMBER(FIND("C",AD31,1)),SUBSTITUTE(AD31,"C","E"),SUBSTITUTE(AD31,"E","C"))</f>
        <v>E31</v>
      </c>
      <c r="AH31" s="82" t="str">
        <f t="array" ref="AH31">IF(ISNUMBER(FIND("C",AE31,1)),SUBSTITUTE(AE31,"C","E"),SUBSTITUTE(AE31,"E","C"))</f>
        <v>C33</v>
      </c>
      <c r="AI31" s="83"/>
      <c r="AJ31" s="83"/>
      <c r="AK31" s="83"/>
      <c r="AL31" s="83"/>
      <c r="AM31" s="83"/>
      <c r="AN31" s="83"/>
      <c r="AO31" s="83"/>
      <c r="AP31" s="83"/>
      <c r="AQ31" s="83"/>
      <c r="AR31" s="84"/>
    </row>
    <row r="32" ht="12.75" customHeight="1">
      <c r="A32" s="69"/>
      <c r="B32" s="104" t="s">
        <v>92</v>
      </c>
      <c r="C32" s="105">
        <v>2.0</v>
      </c>
      <c r="D32" s="106" t="s">
        <v>31</v>
      </c>
      <c r="E32" s="107">
        <v>2.0</v>
      </c>
      <c r="F32" s="128" t="s">
        <v>90</v>
      </c>
      <c r="G32" s="71"/>
      <c r="H32" s="97">
        <v>46193.0</v>
      </c>
      <c r="I32" s="98">
        <v>1.04166666666667</v>
      </c>
      <c r="J32" s="99"/>
      <c r="K32" s="109" t="s">
        <v>90</v>
      </c>
      <c r="L32" s="110">
        <v>0.0</v>
      </c>
      <c r="M32" s="110" t="str">
        <f t="array" ref="M32">N32-O32</f>
        <v>0</v>
      </c>
      <c r="N32" s="110">
        <v>0.0</v>
      </c>
      <c r="O32" s="110">
        <v>0.0</v>
      </c>
      <c r="P32" s="110">
        <v>0.0</v>
      </c>
      <c r="Q32" s="110">
        <v>0.0</v>
      </c>
      <c r="R32" s="111">
        <v>0.0</v>
      </c>
      <c r="S32" s="113"/>
      <c r="T32" s="103" t="str">
        <f t="array" ref="T32">IF(NOT(AND(ISNUMBER(C32),ISNUMBER(E32))),"XXX","")</f>
        <v/>
      </c>
      <c r="U32" s="19" t="str">
        <f t="shared" si="4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112" t="s">
        <v>99</v>
      </c>
      <c r="AD32" s="112" t="s">
        <v>100</v>
      </c>
      <c r="AE32" s="112" t="s">
        <v>95</v>
      </c>
      <c r="AF32" s="82" t="str">
        <f t="array" ref="AF32">IF(ISNUMBER(FIND("C",AC32,1)),SUBSTITUTE(AC32,"C","E"),SUBSTITUTE(AC32,"E","C"))</f>
        <v>C29</v>
      </c>
      <c r="AG32" s="82" t="str">
        <f t="array" ref="AG32">IF(ISNUMBER(FIND("C",AD32,1)),SUBSTITUTE(AD32,"C","E"),SUBSTITUTE(AD32,"E","C"))</f>
        <v>C32</v>
      </c>
      <c r="AH32" s="82" t="str">
        <f t="array" ref="AH32">IF(ISNUMBER(FIND("C",AE32,1)),SUBSTITUTE(AE32,"C","E"),SUBSTITUTE(AE32,"E","C"))</f>
        <v>C34</v>
      </c>
      <c r="AI32" s="83"/>
      <c r="AJ32" s="83"/>
      <c r="AK32" s="83"/>
      <c r="AL32" s="83"/>
      <c r="AM32" s="83"/>
      <c r="AN32" s="83"/>
      <c r="AO32" s="83"/>
      <c r="AP32" s="83"/>
      <c r="AQ32" s="83"/>
      <c r="AR32" s="84"/>
    </row>
    <row r="33" ht="12.75" customHeight="1">
      <c r="A33" s="69"/>
      <c r="B33" s="104" t="s">
        <v>92</v>
      </c>
      <c r="C33" s="105">
        <v>1.0</v>
      </c>
      <c r="D33" s="106" t="s">
        <v>31</v>
      </c>
      <c r="E33" s="107">
        <v>1.0</v>
      </c>
      <c r="F33" s="128" t="s">
        <v>89</v>
      </c>
      <c r="G33" s="71"/>
      <c r="H33" s="97">
        <v>46198.0</v>
      </c>
      <c r="I33" s="98">
        <v>1.95833333333333</v>
      </c>
      <c r="J33" s="99"/>
      <c r="K33" s="114" t="s">
        <v>92</v>
      </c>
      <c r="L33" s="115">
        <v>0.0</v>
      </c>
      <c r="M33" s="115" t="str">
        <f t="array" ref="M33">N33-O33</f>
        <v>0</v>
      </c>
      <c r="N33" s="115">
        <v>0.0</v>
      </c>
      <c r="O33" s="115">
        <v>0.0</v>
      </c>
      <c r="P33" s="115">
        <v>0.0</v>
      </c>
      <c r="Q33" s="115">
        <v>0.0</v>
      </c>
      <c r="R33" s="116">
        <v>0.0</v>
      </c>
      <c r="S33" s="113"/>
      <c r="T33" s="103" t="str">
        <f t="array" ref="T33">IF(NOT(AND(ISNUMBER(C33),ISNUMBER(E33))),"XXX","")</f>
        <v/>
      </c>
      <c r="U33" s="19" t="str">
        <f t="shared" si="4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112" t="s">
        <v>101</v>
      </c>
      <c r="AD33" s="112" t="s">
        <v>102</v>
      </c>
      <c r="AE33" s="112" t="s">
        <v>103</v>
      </c>
      <c r="AF33" s="82" t="str">
        <f t="array" ref="AF33">IF(ISNUMBER(FIND("C",AC33,1)),SUBSTITUTE(AC33,"C","E"),SUBSTITUTE(AC33,"E","C"))</f>
        <v>C30</v>
      </c>
      <c r="AG33" s="82" t="str">
        <f t="array" ref="AG33">IF(ISNUMBER(FIND("C",AD33,1)),SUBSTITUTE(AD33,"C","E"),SUBSTITUTE(AD33,"E","C"))</f>
        <v>E32</v>
      </c>
      <c r="AH33" s="82" t="str">
        <f t="array" ref="AH33">IF(ISNUMBER(FIND("C",AE33,1)),SUBSTITUTE(AE33,"C","E"),SUBSTITUTE(AE33,"E","C"))</f>
        <v>E33</v>
      </c>
      <c r="AI33" s="83"/>
      <c r="AJ33" s="83"/>
      <c r="AK33" s="83"/>
      <c r="AL33" s="83"/>
      <c r="AM33" s="83"/>
      <c r="AN33" s="83"/>
      <c r="AO33" s="83"/>
      <c r="AP33" s="83"/>
      <c r="AQ33" s="83"/>
      <c r="AR33" s="84"/>
    </row>
    <row r="34" ht="13.5" customHeight="1">
      <c r="A34" s="69"/>
      <c r="B34" s="117" t="s">
        <v>90</v>
      </c>
      <c r="C34" s="118">
        <v>2.0</v>
      </c>
      <c r="D34" s="119" t="s">
        <v>31</v>
      </c>
      <c r="E34" s="120">
        <v>1.0</v>
      </c>
      <c r="F34" s="129" t="s">
        <v>91</v>
      </c>
      <c r="G34" s="71"/>
      <c r="H34" s="122">
        <v>46198.0</v>
      </c>
      <c r="I34" s="123">
        <v>1.95833333333333</v>
      </c>
      <c r="J34" s="124"/>
      <c r="K34" s="130"/>
      <c r="L34" s="90"/>
      <c r="M34" s="90"/>
      <c r="N34" s="90"/>
      <c r="O34" s="90"/>
      <c r="P34" s="90"/>
      <c r="Q34" s="90"/>
      <c r="R34" s="90"/>
      <c r="S34" s="2"/>
      <c r="T34" s="103" t="str">
        <f t="array" ref="T34">IF(NOT(AND(ISNUMBER(C34),ISNUMBER(E34))),"XXX","")</f>
        <v/>
      </c>
      <c r="U34" s="19" t="str">
        <f t="shared" si="4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82"/>
      <c r="AD34" s="82"/>
      <c r="AE34" s="82"/>
      <c r="AF34" s="82"/>
      <c r="AG34" s="82"/>
      <c r="AH34" s="82"/>
      <c r="AI34" s="83"/>
      <c r="AJ34" s="83"/>
      <c r="AK34" s="83"/>
      <c r="AL34" s="83"/>
      <c r="AM34" s="83"/>
      <c r="AN34" s="83"/>
      <c r="AO34" s="83"/>
      <c r="AP34" s="83"/>
      <c r="AQ34" s="83"/>
      <c r="AR34" s="84"/>
    </row>
    <row r="35" ht="13.5" customHeight="1">
      <c r="A35" s="77"/>
      <c r="B35" s="126"/>
      <c r="C35" s="62"/>
      <c r="D35" s="62"/>
      <c r="E35" s="62"/>
      <c r="F35" s="62"/>
      <c r="G35" s="2"/>
      <c r="H35" s="62"/>
      <c r="I35" s="62"/>
      <c r="J35" s="2"/>
      <c r="K35" s="2"/>
      <c r="L35" s="2"/>
      <c r="M35" s="2"/>
      <c r="N35" s="2"/>
      <c r="O35" s="2"/>
      <c r="P35" s="2"/>
      <c r="Q35" s="2"/>
      <c r="R35" s="2"/>
      <c r="S35" s="2"/>
      <c r="T35" s="83"/>
      <c r="U35" s="2"/>
      <c r="V35" s="2"/>
      <c r="W35" s="2"/>
      <c r="X35" s="5"/>
      <c r="Y35" s="7"/>
      <c r="Z35" s="7"/>
      <c r="AA35" s="7"/>
      <c r="AB35" s="6"/>
      <c r="AC35" s="82"/>
      <c r="AD35" s="82"/>
      <c r="AE35" s="82"/>
      <c r="AF35" s="82"/>
      <c r="AG35" s="82"/>
      <c r="AH35" s="82"/>
      <c r="AI35" s="83"/>
      <c r="AJ35" s="83"/>
      <c r="AK35" s="83"/>
      <c r="AL35" s="83"/>
      <c r="AM35" s="83"/>
      <c r="AN35" s="83"/>
      <c r="AO35" s="83"/>
      <c r="AP35" s="83"/>
      <c r="AQ35" s="83"/>
      <c r="AR35" s="84"/>
    </row>
    <row r="36" ht="13.5" customHeight="1">
      <c r="A36" s="69"/>
      <c r="B36" s="85" t="s">
        <v>104</v>
      </c>
      <c r="C36" s="9"/>
      <c r="D36" s="9"/>
      <c r="E36" s="9"/>
      <c r="F36" s="10"/>
      <c r="G36" s="71"/>
      <c r="H36" s="86" t="s">
        <v>28</v>
      </c>
      <c r="I36" s="87" t="s">
        <v>29</v>
      </c>
      <c r="J36" s="88"/>
      <c r="K36" s="89"/>
      <c r="L36" s="89"/>
      <c r="M36" s="89"/>
      <c r="N36" s="89"/>
      <c r="O36" s="89"/>
      <c r="P36" s="89"/>
      <c r="Q36" s="89"/>
      <c r="R36" s="89"/>
      <c r="S36" s="2"/>
      <c r="T36" s="83"/>
      <c r="U36" s="19"/>
      <c r="V36" s="19"/>
      <c r="W36" s="19"/>
      <c r="X36" s="20"/>
      <c r="Y36" s="33"/>
      <c r="Z36" s="33"/>
      <c r="AA36" s="33"/>
      <c r="AB36" s="6"/>
      <c r="AC36" s="82"/>
      <c r="AD36" s="82"/>
      <c r="AE36" s="82"/>
      <c r="AF36" s="82"/>
      <c r="AG36" s="82"/>
      <c r="AH36" s="82"/>
      <c r="AI36" s="83"/>
      <c r="AJ36" s="83"/>
      <c r="AK36" s="83"/>
      <c r="AL36" s="83"/>
      <c r="AM36" s="83"/>
      <c r="AN36" s="83"/>
      <c r="AO36" s="83"/>
      <c r="AP36" s="83"/>
      <c r="AQ36" s="83"/>
      <c r="AR36" s="84"/>
    </row>
    <row r="37" ht="13.5" customHeight="1">
      <c r="A37" s="69"/>
      <c r="B37" s="92" t="s">
        <v>105</v>
      </c>
      <c r="C37" s="93">
        <v>4.0</v>
      </c>
      <c r="D37" s="94" t="s">
        <v>31</v>
      </c>
      <c r="E37" s="95">
        <v>1.0</v>
      </c>
      <c r="F37" s="131" t="s">
        <v>106</v>
      </c>
      <c r="G37" s="71"/>
      <c r="H37" s="97">
        <v>46187.0</v>
      </c>
      <c r="I37" s="98">
        <v>1.58333333333333</v>
      </c>
      <c r="J37" s="99"/>
      <c r="K37" s="100"/>
      <c r="L37" s="94" t="s">
        <v>33</v>
      </c>
      <c r="M37" s="94" t="s">
        <v>34</v>
      </c>
      <c r="N37" s="94" t="s">
        <v>35</v>
      </c>
      <c r="O37" s="94" t="s">
        <v>36</v>
      </c>
      <c r="P37" s="94" t="s">
        <v>37</v>
      </c>
      <c r="Q37" s="94" t="s">
        <v>38</v>
      </c>
      <c r="R37" s="101" t="s">
        <v>39</v>
      </c>
      <c r="S37" s="102"/>
      <c r="T37" s="103" t="str">
        <f t="array" ref="T37">IF(NOT(AND(ISNUMBER(C37),ISNUMBER(E37))),"XXX","")</f>
        <v/>
      </c>
      <c r="U37" s="19" t="str">
        <f t="shared" ref="U37:U42" si="5">SUM(Y37,Z37,AA37, AB37)</f>
        <v>2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1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82"/>
      <c r="AD37" s="82"/>
      <c r="AE37" s="82"/>
      <c r="AF37" s="82"/>
      <c r="AG37" s="82"/>
      <c r="AH37" s="82"/>
      <c r="AI37" s="83"/>
      <c r="AJ37" s="83"/>
      <c r="AK37" s="83"/>
      <c r="AL37" s="83"/>
      <c r="AM37" s="83"/>
      <c r="AN37" s="83"/>
      <c r="AO37" s="83"/>
      <c r="AP37" s="83"/>
      <c r="AQ37" s="83"/>
      <c r="AR37" s="84"/>
    </row>
    <row r="38" ht="13.5" customHeight="1">
      <c r="A38" s="69"/>
      <c r="B38" s="104" t="s">
        <v>107</v>
      </c>
      <c r="C38" s="105">
        <v>3.0</v>
      </c>
      <c r="D38" s="106" t="s">
        <v>31</v>
      </c>
      <c r="E38" s="107">
        <v>0.0</v>
      </c>
      <c r="F38" s="108" t="s">
        <v>108</v>
      </c>
      <c r="G38" s="71"/>
      <c r="H38" s="97">
        <v>46187.0</v>
      </c>
      <c r="I38" s="98">
        <v>1.83333333333333</v>
      </c>
      <c r="J38" s="99"/>
      <c r="K38" s="132" t="s">
        <v>105</v>
      </c>
      <c r="L38" s="110">
        <v>0.0</v>
      </c>
      <c r="M38" s="110" t="str">
        <f t="array" ref="M38">N38-O38</f>
        <v>0</v>
      </c>
      <c r="N38" s="110">
        <v>0.0</v>
      </c>
      <c r="O38" s="110">
        <v>0.0</v>
      </c>
      <c r="P38" s="110">
        <v>0.0</v>
      </c>
      <c r="Q38" s="110">
        <v>0.0</v>
      </c>
      <c r="R38" s="111">
        <v>0.0</v>
      </c>
      <c r="S38" s="102"/>
      <c r="T38" s="103" t="str">
        <f t="array" ref="T38">IF(NOT(AND(ISNUMBER(C38),ISNUMBER(E38))),"XXX","")</f>
        <v/>
      </c>
      <c r="U38" s="19" t="str">
        <f t="shared" si="5"/>
        <v>2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1</v>
      </c>
      <c r="AA38" s="33" t="str">
        <f>IF(AND(ISNUMBER(RESULTADOS!C38),ISNUMBER(RESULTADOS!E38),ISNUMBER(C38),ISNUMBER(E38),AND(Z38=1,OR(C38=RESULTADOS!C38,E38=RESULTADOS!E38))),1,0)</f>
        <v>1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112" t="s">
        <v>109</v>
      </c>
      <c r="AD38" s="112" t="s">
        <v>110</v>
      </c>
      <c r="AE38" s="112" t="s">
        <v>111</v>
      </c>
      <c r="AF38" s="82" t="str">
        <f t="array" ref="AF38">IF(ISNUMBER(FIND("C",AC38,1)),SUBSTITUTE(AC38,"C","E"),SUBSTITUTE(AC38,"E","C"))</f>
        <v>E37</v>
      </c>
      <c r="AG38" s="82" t="str">
        <f t="array" ref="AG38">IF(ISNUMBER(FIND("C",AD38,1)),SUBSTITUTE(AD38,"C","E"),SUBSTITUTE(AD38,"E","C"))</f>
        <v>E39</v>
      </c>
      <c r="AH38" s="82" t="str">
        <f t="array" ref="AH38">IF(ISNUMBER(FIND("C",AE38,1)),SUBSTITUTE(AE38,"C","E"),SUBSTITUTE(AE38,"E","C"))</f>
        <v>C41</v>
      </c>
      <c r="AI38" s="83"/>
      <c r="AJ38" s="83"/>
      <c r="AK38" s="83"/>
      <c r="AL38" s="83"/>
      <c r="AM38" s="83"/>
      <c r="AN38" s="83"/>
      <c r="AO38" s="83"/>
      <c r="AP38" s="83"/>
      <c r="AQ38" s="83"/>
      <c r="AR38" s="84"/>
    </row>
    <row r="39" ht="12.75" customHeight="1">
      <c r="A39" s="69"/>
      <c r="B39" s="104" t="s">
        <v>105</v>
      </c>
      <c r="C39" s="105">
        <v>2.0</v>
      </c>
      <c r="D39" s="106" t="s">
        <v>31</v>
      </c>
      <c r="E39" s="107">
        <v>2.0</v>
      </c>
      <c r="F39" s="108" t="s">
        <v>107</v>
      </c>
      <c r="G39" s="71"/>
      <c r="H39" s="97">
        <v>46193.0</v>
      </c>
      <c r="I39" s="98">
        <v>1.70833333333333</v>
      </c>
      <c r="J39" s="99"/>
      <c r="K39" s="132" t="s">
        <v>107</v>
      </c>
      <c r="L39" s="110">
        <v>0.0</v>
      </c>
      <c r="M39" s="110" t="str">
        <f t="array" ref="M39">N39-O39</f>
        <v>0</v>
      </c>
      <c r="N39" s="110">
        <v>0.0</v>
      </c>
      <c r="O39" s="110">
        <v>0.0</v>
      </c>
      <c r="P39" s="110">
        <v>0.0</v>
      </c>
      <c r="Q39" s="110">
        <v>0.0</v>
      </c>
      <c r="R39" s="111">
        <v>0.0</v>
      </c>
      <c r="S39" s="113"/>
      <c r="T39" s="103" t="str">
        <f t="array" ref="T39">IF(NOT(AND(ISNUMBER(C39),ISNUMBER(E39))),"XXX","")</f>
        <v/>
      </c>
      <c r="U39" s="19" t="str">
        <f t="shared" si="5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112" t="s">
        <v>112</v>
      </c>
      <c r="AD39" s="112" t="s">
        <v>113</v>
      </c>
      <c r="AE39" s="112" t="s">
        <v>114</v>
      </c>
      <c r="AF39" s="82" t="str">
        <f t="array" ref="AF39">IF(ISNUMBER(FIND("C",AC39,1)),SUBSTITUTE(AC39,"C","E"),SUBSTITUTE(AC39,"E","C"))</f>
        <v>E38</v>
      </c>
      <c r="AG39" s="82" t="str">
        <f t="array" ref="AG39">IF(ISNUMBER(FIND("C",AD39,1)),SUBSTITUTE(AD39,"C","E"),SUBSTITUTE(AD39,"E","C"))</f>
        <v>C39</v>
      </c>
      <c r="AH39" s="82" t="str">
        <f t="array" ref="AH39">IF(ISNUMBER(FIND("C",AE39,1)),SUBSTITUTE(AE39,"C","E"),SUBSTITUTE(AE39,"E","C"))</f>
        <v>C42</v>
      </c>
      <c r="AI39" s="83"/>
      <c r="AJ39" s="83"/>
      <c r="AK39" s="83"/>
      <c r="AL39" s="83"/>
      <c r="AM39" s="83"/>
      <c r="AN39" s="83"/>
      <c r="AO39" s="83"/>
      <c r="AP39" s="83"/>
      <c r="AQ39" s="83"/>
      <c r="AR39" s="84"/>
    </row>
    <row r="40" ht="12.75" customHeight="1">
      <c r="A40" s="69"/>
      <c r="B40" s="104" t="s">
        <v>108</v>
      </c>
      <c r="C40" s="105">
        <v>3.0</v>
      </c>
      <c r="D40" s="106" t="s">
        <v>31</v>
      </c>
      <c r="E40" s="107">
        <v>0.0</v>
      </c>
      <c r="F40" s="108" t="s">
        <v>106</v>
      </c>
      <c r="G40" s="71"/>
      <c r="H40" s="97">
        <v>46193.0</v>
      </c>
      <c r="I40" s="98">
        <v>1.875</v>
      </c>
      <c r="J40" s="99"/>
      <c r="K40" s="132" t="s">
        <v>106</v>
      </c>
      <c r="L40" s="110">
        <v>0.0</v>
      </c>
      <c r="M40" s="110" t="str">
        <f t="array" ref="M40">N40-O40</f>
        <v>0</v>
      </c>
      <c r="N40" s="110">
        <v>0.0</v>
      </c>
      <c r="O40" s="110">
        <v>0.0</v>
      </c>
      <c r="P40" s="110">
        <v>0.0</v>
      </c>
      <c r="Q40" s="110">
        <v>0.0</v>
      </c>
      <c r="R40" s="111">
        <v>0.0</v>
      </c>
      <c r="S40" s="113"/>
      <c r="T40" s="103" t="str">
        <f t="array" ref="T40">IF(NOT(AND(ISNUMBER(C40),ISNUMBER(E40))),"XXX","")</f>
        <v/>
      </c>
      <c r="U40" s="19" t="str">
        <f t="shared" si="5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112" t="s">
        <v>115</v>
      </c>
      <c r="AD40" s="112" t="s">
        <v>116</v>
      </c>
      <c r="AE40" s="112" t="s">
        <v>117</v>
      </c>
      <c r="AF40" s="82" t="str">
        <f t="array" ref="AF40">IF(ISNUMBER(FIND("C",AC40,1)),SUBSTITUTE(AC40,"C","E"),SUBSTITUTE(AC40,"E","C"))</f>
        <v>C37</v>
      </c>
      <c r="AG40" s="82" t="str">
        <f t="array" ref="AG40">IF(ISNUMBER(FIND("C",AD40,1)),SUBSTITUTE(AD40,"C","E"),SUBSTITUTE(AD40,"E","C"))</f>
        <v>C40</v>
      </c>
      <c r="AH40" s="82" t="str">
        <f t="array" ref="AH40">IF(ISNUMBER(FIND("C",AE40,1)),SUBSTITUTE(AE40,"C","E"),SUBSTITUTE(AE40,"E","C"))</f>
        <v>E42</v>
      </c>
      <c r="AI40" s="83"/>
      <c r="AJ40" s="83"/>
      <c r="AK40" s="83"/>
      <c r="AL40" s="83"/>
      <c r="AM40" s="83"/>
      <c r="AN40" s="83"/>
      <c r="AO40" s="83"/>
      <c r="AP40" s="83"/>
      <c r="AQ40" s="83"/>
      <c r="AR40" s="84"/>
    </row>
    <row r="41" ht="12.75" customHeight="1">
      <c r="A41" s="69"/>
      <c r="B41" s="104" t="s">
        <v>108</v>
      </c>
      <c r="C41" s="105">
        <v>1.0</v>
      </c>
      <c r="D41" s="106" t="s">
        <v>31</v>
      </c>
      <c r="E41" s="107">
        <v>3.0</v>
      </c>
      <c r="F41" s="108" t="s">
        <v>105</v>
      </c>
      <c r="G41" s="71"/>
      <c r="H41" s="97">
        <v>46198.0</v>
      </c>
      <c r="I41" s="98">
        <v>1.70833333333333</v>
      </c>
      <c r="J41" s="99"/>
      <c r="K41" s="133" t="s">
        <v>108</v>
      </c>
      <c r="L41" s="115">
        <v>0.0</v>
      </c>
      <c r="M41" s="115" t="str">
        <f t="array" ref="M41">N41-O41</f>
        <v>0</v>
      </c>
      <c r="N41" s="115">
        <v>0.0</v>
      </c>
      <c r="O41" s="115">
        <v>0.0</v>
      </c>
      <c r="P41" s="115">
        <v>0.0</v>
      </c>
      <c r="Q41" s="115">
        <v>0.0</v>
      </c>
      <c r="R41" s="116">
        <v>0.0</v>
      </c>
      <c r="S41" s="113"/>
      <c r="T41" s="103" t="str">
        <f t="array" ref="T41">IF(NOT(AND(ISNUMBER(C41),ISNUMBER(E41))),"XXX","")</f>
        <v/>
      </c>
      <c r="U41" s="19" t="str">
        <f t="shared" si="5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112" t="s">
        <v>118</v>
      </c>
      <c r="AD41" s="112" t="s">
        <v>119</v>
      </c>
      <c r="AE41" s="112" t="s">
        <v>120</v>
      </c>
      <c r="AF41" s="82" t="str">
        <f t="array" ref="AF41">IF(ISNUMBER(FIND("C",AC41,1)),SUBSTITUTE(AC41,"C","E"),SUBSTITUTE(AC41,"E","C"))</f>
        <v>C38</v>
      </c>
      <c r="AG41" s="82" t="str">
        <f t="array" ref="AG41">IF(ISNUMBER(FIND("C",AD41,1)),SUBSTITUTE(AD41,"C","E"),SUBSTITUTE(AD41,"E","C"))</f>
        <v>E40</v>
      </c>
      <c r="AH41" s="82" t="str">
        <f t="array" ref="AH41">IF(ISNUMBER(FIND("C",AE41,1)),SUBSTITUTE(AE41,"C","E"),SUBSTITUTE(AE41,"E","C"))</f>
        <v>E41</v>
      </c>
      <c r="AI41" s="83"/>
      <c r="AJ41" s="83"/>
      <c r="AK41" s="83"/>
      <c r="AL41" s="83"/>
      <c r="AM41" s="83"/>
      <c r="AN41" s="83"/>
      <c r="AO41" s="83"/>
      <c r="AP41" s="83"/>
      <c r="AQ41" s="83"/>
      <c r="AR41" s="84"/>
    </row>
    <row r="42" ht="13.5" customHeight="1">
      <c r="A42" s="69"/>
      <c r="B42" s="117" t="s">
        <v>106</v>
      </c>
      <c r="C42" s="118">
        <v>1.0</v>
      </c>
      <c r="D42" s="119" t="s">
        <v>31</v>
      </c>
      <c r="E42" s="120">
        <v>2.0</v>
      </c>
      <c r="F42" s="121" t="s">
        <v>107</v>
      </c>
      <c r="G42" s="71"/>
      <c r="H42" s="122">
        <v>46198.0</v>
      </c>
      <c r="I42" s="123">
        <v>1.70833333333333</v>
      </c>
      <c r="J42" s="124"/>
      <c r="K42" s="130"/>
      <c r="L42" s="90"/>
      <c r="M42" s="90"/>
      <c r="N42" s="90"/>
      <c r="O42" s="90"/>
      <c r="P42" s="90"/>
      <c r="Q42" s="90"/>
      <c r="R42" s="90"/>
      <c r="S42" s="2"/>
      <c r="T42" s="103" t="str">
        <f t="array" ref="T42">IF(NOT(AND(ISNUMBER(C42),ISNUMBER(E42))),"XXX","")</f>
        <v/>
      </c>
      <c r="U42" s="19" t="str">
        <f t="shared" si="5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82"/>
      <c r="AD42" s="82"/>
      <c r="AE42" s="82"/>
      <c r="AF42" s="82"/>
      <c r="AG42" s="82"/>
      <c r="AH42" s="82"/>
      <c r="AI42" s="83"/>
      <c r="AJ42" s="83"/>
      <c r="AK42" s="83"/>
      <c r="AL42" s="83"/>
      <c r="AM42" s="83"/>
      <c r="AN42" s="83"/>
      <c r="AO42" s="83"/>
      <c r="AP42" s="83"/>
      <c r="AQ42" s="83"/>
      <c r="AR42" s="84"/>
    </row>
    <row r="43" ht="13.5" customHeight="1">
      <c r="A43" s="77"/>
      <c r="B43" s="126"/>
      <c r="C43" s="62"/>
      <c r="D43" s="62"/>
      <c r="E43" s="62"/>
      <c r="F43" s="62"/>
      <c r="G43" s="2"/>
      <c r="H43" s="62"/>
      <c r="I43" s="62"/>
      <c r="J43" s="2"/>
      <c r="K43" s="2"/>
      <c r="L43" s="2"/>
      <c r="M43" s="2"/>
      <c r="N43" s="2"/>
      <c r="O43" s="2"/>
      <c r="P43" s="2"/>
      <c r="Q43" s="2"/>
      <c r="R43" s="2"/>
      <c r="S43" s="2"/>
      <c r="T43" s="83"/>
      <c r="U43" s="2"/>
      <c r="V43" s="2"/>
      <c r="W43" s="2"/>
      <c r="X43" s="5"/>
      <c r="Y43" s="7"/>
      <c r="Z43" s="7"/>
      <c r="AA43" s="7"/>
      <c r="AB43" s="6"/>
      <c r="AC43" s="82"/>
      <c r="AD43" s="82"/>
      <c r="AE43" s="82"/>
      <c r="AF43" s="82"/>
      <c r="AG43" s="82"/>
      <c r="AH43" s="82"/>
      <c r="AI43" s="83"/>
      <c r="AJ43" s="83"/>
      <c r="AK43" s="83"/>
      <c r="AL43" s="83"/>
      <c r="AM43" s="83"/>
      <c r="AN43" s="83"/>
      <c r="AO43" s="83"/>
      <c r="AP43" s="83"/>
      <c r="AQ43" s="83"/>
      <c r="AR43" s="84"/>
    </row>
    <row r="44" ht="13.5" customHeight="1">
      <c r="A44" s="69"/>
      <c r="B44" s="85" t="s">
        <v>121</v>
      </c>
      <c r="C44" s="9"/>
      <c r="D44" s="9"/>
      <c r="E44" s="9"/>
      <c r="F44" s="10"/>
      <c r="G44" s="71"/>
      <c r="H44" s="86" t="s">
        <v>28</v>
      </c>
      <c r="I44" s="87" t="s">
        <v>29</v>
      </c>
      <c r="J44" s="88"/>
      <c r="K44" s="89"/>
      <c r="L44" s="89"/>
      <c r="M44" s="89"/>
      <c r="N44" s="89"/>
      <c r="O44" s="89"/>
      <c r="P44" s="89"/>
      <c r="Q44" s="89"/>
      <c r="R44" s="89"/>
      <c r="S44" s="2"/>
      <c r="T44" s="83"/>
      <c r="U44" s="19"/>
      <c r="V44" s="19"/>
      <c r="W44" s="19"/>
      <c r="X44" s="20"/>
      <c r="Y44" s="33"/>
      <c r="Z44" s="33"/>
      <c r="AA44" s="33"/>
      <c r="AB44" s="6"/>
      <c r="AC44" s="82"/>
      <c r="AD44" s="82"/>
      <c r="AE44" s="82"/>
      <c r="AF44" s="82"/>
      <c r="AG44" s="82"/>
      <c r="AH44" s="82"/>
      <c r="AI44" s="83"/>
      <c r="AJ44" s="83"/>
      <c r="AK44" s="83"/>
      <c r="AL44" s="83"/>
      <c r="AM44" s="83"/>
      <c r="AN44" s="83"/>
      <c r="AO44" s="83"/>
      <c r="AP44" s="83"/>
      <c r="AQ44" s="83"/>
      <c r="AR44" s="84"/>
    </row>
    <row r="45" ht="13.5" customHeight="1">
      <c r="A45" s="69"/>
      <c r="B45" s="92" t="s">
        <v>122</v>
      </c>
      <c r="C45" s="93">
        <v>2.0</v>
      </c>
      <c r="D45" s="94" t="s">
        <v>31</v>
      </c>
      <c r="E45" s="95">
        <v>2.0</v>
      </c>
      <c r="F45" s="131" t="s">
        <v>123</v>
      </c>
      <c r="G45" s="71"/>
      <c r="H45" s="97">
        <v>46187.0</v>
      </c>
      <c r="I45" s="98">
        <v>1.70833333333333</v>
      </c>
      <c r="J45" s="99"/>
      <c r="K45" s="100"/>
      <c r="L45" s="94" t="s">
        <v>33</v>
      </c>
      <c r="M45" s="94" t="s">
        <v>34</v>
      </c>
      <c r="N45" s="94" t="s">
        <v>35</v>
      </c>
      <c r="O45" s="94" t="s">
        <v>36</v>
      </c>
      <c r="P45" s="94" t="s">
        <v>37</v>
      </c>
      <c r="Q45" s="94" t="s">
        <v>38</v>
      </c>
      <c r="R45" s="101" t="s">
        <v>39</v>
      </c>
      <c r="S45" s="102"/>
      <c r="T45" s="103" t="str">
        <f t="array" ref="T45">IF(NOT(AND(ISNUMBER(C45),ISNUMBER(E45))),"XXX","")</f>
        <v/>
      </c>
      <c r="U45" s="19" t="str">
        <f t="shared" ref="U45:U50" si="6">SUM(Y45,Z45,AA45, AB45)</f>
        <v>4</v>
      </c>
      <c r="Y45" s="33" t="str">
        <f>IF(AND(ISNUMBER(RESULTADOS!C45),ISNUMBER(RESULTADOS!E45),ISNUMBER(C45),ISNUMBER(E45),C45=RESULTADOS!C45,E45=RESULTADOS!E45),2,0)</f>
        <v>2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2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82"/>
      <c r="AD45" s="82"/>
      <c r="AE45" s="82"/>
      <c r="AF45" s="82"/>
      <c r="AG45" s="82"/>
      <c r="AH45" s="82"/>
      <c r="AI45" s="83"/>
      <c r="AJ45" s="83"/>
      <c r="AK45" s="83"/>
      <c r="AL45" s="83"/>
      <c r="AM45" s="83"/>
      <c r="AN45" s="83"/>
      <c r="AO45" s="83"/>
      <c r="AP45" s="83"/>
      <c r="AQ45" s="83"/>
      <c r="AR45" s="84"/>
    </row>
    <row r="46" ht="13.5" customHeight="1">
      <c r="A46" s="69"/>
      <c r="B46" s="104" t="s">
        <v>124</v>
      </c>
      <c r="C46" s="105">
        <v>2.0</v>
      </c>
      <c r="D46" s="106" t="s">
        <v>31</v>
      </c>
      <c r="E46" s="107">
        <v>0.0</v>
      </c>
      <c r="F46" s="108" t="s">
        <v>125</v>
      </c>
      <c r="G46" s="71"/>
      <c r="H46" s="97">
        <v>46187.0</v>
      </c>
      <c r="I46" s="98">
        <v>1.95833333333333</v>
      </c>
      <c r="J46" s="99"/>
      <c r="K46" s="132" t="s">
        <v>122</v>
      </c>
      <c r="L46" s="110">
        <v>0.0</v>
      </c>
      <c r="M46" s="110" t="str">
        <f t="array" ref="M46">N46-O46</f>
        <v>0</v>
      </c>
      <c r="N46" s="110">
        <v>0.0</v>
      </c>
      <c r="O46" s="110">
        <v>0.0</v>
      </c>
      <c r="P46" s="110">
        <v>0.0</v>
      </c>
      <c r="Q46" s="110">
        <v>0.0</v>
      </c>
      <c r="R46" s="111">
        <v>0.0</v>
      </c>
      <c r="S46" s="102"/>
      <c r="T46" s="103" t="str">
        <f t="array" ref="T46">IF(NOT(AND(ISNUMBER(C46),ISNUMBER(E46))),"XXX","")</f>
        <v/>
      </c>
      <c r="U46" s="19" t="str">
        <f t="shared" si="6"/>
        <v>1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112" t="s">
        <v>126</v>
      </c>
      <c r="AD46" s="112" t="s">
        <v>127</v>
      </c>
      <c r="AE46" s="112" t="s">
        <v>128</v>
      </c>
      <c r="AF46" s="82" t="str">
        <f t="array" ref="AF46">IF(ISNUMBER(FIND("C",AC46,1)),SUBSTITUTE(AC46,"C","E"),SUBSTITUTE(AC46,"E","C"))</f>
        <v>E45</v>
      </c>
      <c r="AG46" s="82" t="str">
        <f t="array" ref="AG46">IF(ISNUMBER(FIND("C",AD46,1)),SUBSTITUTE(AD46,"C","E"),SUBSTITUTE(AD46,"E","C"))</f>
        <v>E47</v>
      </c>
      <c r="AH46" s="82" t="str">
        <f t="array" ref="AH46">IF(ISNUMBER(FIND("C",AE46,1)),SUBSTITUTE(AE46,"C","E"),SUBSTITUTE(AE46,"E","C"))</f>
        <v>C49</v>
      </c>
      <c r="AI46" s="83"/>
      <c r="AJ46" s="83"/>
      <c r="AK46" s="83"/>
      <c r="AL46" s="83"/>
      <c r="AM46" s="83"/>
      <c r="AN46" s="83"/>
      <c r="AO46" s="83"/>
      <c r="AP46" s="83"/>
      <c r="AQ46" s="83"/>
      <c r="AR46" s="84"/>
    </row>
    <row r="47" ht="12.75" customHeight="1">
      <c r="A47" s="69"/>
      <c r="B47" s="104" t="s">
        <v>122</v>
      </c>
      <c r="C47" s="105">
        <v>3.0</v>
      </c>
      <c r="D47" s="106" t="s">
        <v>31</v>
      </c>
      <c r="E47" s="107">
        <v>1.0</v>
      </c>
      <c r="F47" s="108" t="s">
        <v>124</v>
      </c>
      <c r="G47" s="71"/>
      <c r="H47" s="97">
        <v>46193.0</v>
      </c>
      <c r="I47" s="98">
        <v>1.58333333333333</v>
      </c>
      <c r="J47" s="99"/>
      <c r="K47" s="132" t="s">
        <v>123</v>
      </c>
      <c r="L47" s="110">
        <v>0.0</v>
      </c>
      <c r="M47" s="110" t="str">
        <f t="array" ref="M47">N47-O47</f>
        <v>0</v>
      </c>
      <c r="N47" s="110">
        <v>0.0</v>
      </c>
      <c r="O47" s="110">
        <v>0.0</v>
      </c>
      <c r="P47" s="110">
        <v>0.0</v>
      </c>
      <c r="Q47" s="110">
        <v>0.0</v>
      </c>
      <c r="R47" s="111">
        <v>0.0</v>
      </c>
      <c r="S47" s="113"/>
      <c r="T47" s="103" t="str">
        <f t="array" ref="T47">IF(NOT(AND(ISNUMBER(C47),ISNUMBER(E47))),"XXX","")</f>
        <v/>
      </c>
      <c r="U47" s="19" t="str">
        <f t="shared" si="6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112" t="s">
        <v>129</v>
      </c>
      <c r="AD47" s="112" t="s">
        <v>130</v>
      </c>
      <c r="AE47" s="112" t="s">
        <v>131</v>
      </c>
      <c r="AF47" s="82" t="str">
        <f t="array" ref="AF47">IF(ISNUMBER(FIND("C",AC47,1)),SUBSTITUTE(AC47,"C","E"),SUBSTITUTE(AC47,"E","C"))</f>
        <v>C45</v>
      </c>
      <c r="AG47" s="82" t="str">
        <f t="array" ref="AG47">IF(ISNUMBER(FIND("C",AD47,1)),SUBSTITUTE(AD47,"C","E"),SUBSTITUTE(AD47,"E","C"))</f>
        <v>C48</v>
      </c>
      <c r="AH47" s="82" t="str">
        <f t="array" ref="AH47">IF(ISNUMBER(FIND("C",AE47,1)),SUBSTITUTE(AE47,"C","E"),SUBSTITUTE(AE47,"E","C"))</f>
        <v>E50</v>
      </c>
      <c r="AI47" s="83"/>
      <c r="AJ47" s="83"/>
      <c r="AK47" s="83"/>
      <c r="AL47" s="83"/>
      <c r="AM47" s="83"/>
      <c r="AN47" s="83"/>
      <c r="AO47" s="83"/>
      <c r="AP47" s="83"/>
      <c r="AQ47" s="83"/>
      <c r="AR47" s="84"/>
    </row>
    <row r="48" ht="12.75" customHeight="1">
      <c r="A48" s="69"/>
      <c r="B48" s="104" t="s">
        <v>125</v>
      </c>
      <c r="C48" s="105">
        <v>0.0</v>
      </c>
      <c r="D48" s="106" t="s">
        <v>31</v>
      </c>
      <c r="E48" s="107">
        <v>2.0</v>
      </c>
      <c r="F48" s="108" t="s">
        <v>123</v>
      </c>
      <c r="G48" s="71"/>
      <c r="H48" s="97">
        <v>46194.0</v>
      </c>
      <c r="I48" s="98">
        <v>1.04166666666667</v>
      </c>
      <c r="J48" s="99"/>
      <c r="K48" s="132" t="s">
        <v>124</v>
      </c>
      <c r="L48" s="110">
        <v>0.0</v>
      </c>
      <c r="M48" s="110" t="str">
        <f t="array" ref="M48">N48-O48</f>
        <v>0</v>
      </c>
      <c r="N48" s="110">
        <v>0.0</v>
      </c>
      <c r="O48" s="110">
        <v>0.0</v>
      </c>
      <c r="P48" s="110">
        <v>0.0</v>
      </c>
      <c r="Q48" s="110">
        <v>0.0</v>
      </c>
      <c r="R48" s="111">
        <v>0.0</v>
      </c>
      <c r="S48" s="113"/>
      <c r="T48" s="103" t="str">
        <f t="array" ref="T48">IF(NOT(AND(ISNUMBER(C48),ISNUMBER(E48))),"XXX","")</f>
        <v/>
      </c>
      <c r="U48" s="19" t="str">
        <f t="shared" si="6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112" t="s">
        <v>132</v>
      </c>
      <c r="AD48" s="112" t="s">
        <v>133</v>
      </c>
      <c r="AE48" s="112" t="s">
        <v>134</v>
      </c>
      <c r="AF48" s="82" t="str">
        <f t="array" ref="AF48">IF(ISNUMBER(FIND("C",AC48,1)),SUBSTITUTE(AC48,"C","E"),SUBSTITUTE(AC48,"E","C"))</f>
        <v>E46</v>
      </c>
      <c r="AG48" s="82" t="str">
        <f t="array" ref="AG48">IF(ISNUMBER(FIND("C",AD48,1)),SUBSTITUTE(AD48,"C","E"),SUBSTITUTE(AD48,"E","C"))</f>
        <v>C47</v>
      </c>
      <c r="AH48" s="82" t="str">
        <f t="array" ref="AH48">IF(ISNUMBER(FIND("C",AE48,1)),SUBSTITUTE(AE48,"C","E"),SUBSTITUTE(AE48,"E","C"))</f>
        <v>C50</v>
      </c>
      <c r="AI48" s="83"/>
      <c r="AJ48" s="83"/>
      <c r="AK48" s="83"/>
      <c r="AL48" s="83"/>
      <c r="AM48" s="83"/>
      <c r="AN48" s="83"/>
      <c r="AO48" s="83"/>
      <c r="AP48" s="83"/>
      <c r="AQ48" s="83"/>
      <c r="AR48" s="84"/>
    </row>
    <row r="49" ht="12.75" customHeight="1">
      <c r="A49" s="69"/>
      <c r="B49" s="104" t="s">
        <v>125</v>
      </c>
      <c r="C49" s="105">
        <v>1.0</v>
      </c>
      <c r="D49" s="106" t="s">
        <v>31</v>
      </c>
      <c r="E49" s="107">
        <v>3.0</v>
      </c>
      <c r="F49" s="108" t="s">
        <v>122</v>
      </c>
      <c r="G49" s="71"/>
      <c r="H49" s="97">
        <v>46198.0</v>
      </c>
      <c r="I49" s="98">
        <v>1.83333333333333</v>
      </c>
      <c r="J49" s="99"/>
      <c r="K49" s="133" t="s">
        <v>125</v>
      </c>
      <c r="L49" s="115">
        <v>0.0</v>
      </c>
      <c r="M49" s="115" t="str">
        <f t="array" ref="M49">N49-O49</f>
        <v>0</v>
      </c>
      <c r="N49" s="115">
        <v>0.0</v>
      </c>
      <c r="O49" s="115">
        <v>0.0</v>
      </c>
      <c r="P49" s="115">
        <v>0.0</v>
      </c>
      <c r="Q49" s="115">
        <v>0.0</v>
      </c>
      <c r="R49" s="116">
        <v>0.0</v>
      </c>
      <c r="S49" s="113"/>
      <c r="T49" s="103" t="str">
        <f t="array" ref="T49">IF(NOT(AND(ISNUMBER(C49),ISNUMBER(E49))),"XXX","")</f>
        <v/>
      </c>
      <c r="U49" s="19" t="str">
        <f t="shared" si="6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112" t="s">
        <v>135</v>
      </c>
      <c r="AD49" s="112" t="s">
        <v>136</v>
      </c>
      <c r="AE49" s="112" t="s">
        <v>137</v>
      </c>
      <c r="AF49" s="82" t="str">
        <f t="array" ref="AF49">IF(ISNUMBER(FIND("C",AC49,1)),SUBSTITUTE(AC49,"C","E"),SUBSTITUTE(AC49,"E","C"))</f>
        <v>C46</v>
      </c>
      <c r="AG49" s="82" t="str">
        <f t="array" ref="AG49">IF(ISNUMBER(FIND("C",AD49,1)),SUBSTITUTE(AD49,"C","E"),SUBSTITUTE(AD49,"E","C"))</f>
        <v>E48</v>
      </c>
      <c r="AH49" s="82" t="str">
        <f t="array" ref="AH49">IF(ISNUMBER(FIND("C",AE49,1)),SUBSTITUTE(AE49,"C","E"),SUBSTITUTE(AE49,"E","C"))</f>
        <v>E49</v>
      </c>
      <c r="AI49" s="83"/>
      <c r="AJ49" s="83"/>
      <c r="AK49" s="83"/>
      <c r="AL49" s="83"/>
      <c r="AM49" s="83"/>
      <c r="AN49" s="83"/>
      <c r="AO49" s="83"/>
      <c r="AP49" s="83"/>
      <c r="AQ49" s="83"/>
      <c r="AR49" s="84"/>
    </row>
    <row r="50" ht="13.5" customHeight="1">
      <c r="A50" s="69"/>
      <c r="B50" s="117" t="s">
        <v>123</v>
      </c>
      <c r="C50" s="118">
        <v>1.0</v>
      </c>
      <c r="D50" s="119" t="s">
        <v>31</v>
      </c>
      <c r="E50" s="120">
        <v>1.0</v>
      </c>
      <c r="F50" s="121" t="s">
        <v>124</v>
      </c>
      <c r="G50" s="71"/>
      <c r="H50" s="122">
        <v>46198.0</v>
      </c>
      <c r="I50" s="123">
        <v>1.83333333333333</v>
      </c>
      <c r="J50" s="124"/>
      <c r="K50" s="130"/>
      <c r="L50" s="90"/>
      <c r="M50" s="90"/>
      <c r="N50" s="90"/>
      <c r="O50" s="90"/>
      <c r="P50" s="90"/>
      <c r="Q50" s="90"/>
      <c r="R50" s="90"/>
      <c r="S50" s="2"/>
      <c r="T50" s="103" t="str">
        <f t="array" ref="T50">IF(NOT(AND(ISNUMBER(C50),ISNUMBER(E50))),"XXX","")</f>
        <v/>
      </c>
      <c r="U50" s="19" t="str">
        <f t="shared" si="6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82"/>
      <c r="AD50" s="82"/>
      <c r="AE50" s="82"/>
      <c r="AF50" s="82"/>
      <c r="AG50" s="82"/>
      <c r="AH50" s="82"/>
      <c r="AI50" s="83"/>
      <c r="AJ50" s="83"/>
      <c r="AK50" s="83"/>
      <c r="AL50" s="83"/>
      <c r="AM50" s="83"/>
      <c r="AN50" s="83"/>
      <c r="AO50" s="83"/>
      <c r="AP50" s="83"/>
      <c r="AQ50" s="83"/>
      <c r="AR50" s="84"/>
    </row>
    <row r="51" ht="13.5" customHeight="1">
      <c r="A51" s="77"/>
      <c r="B51" s="126"/>
      <c r="C51" s="62"/>
      <c r="D51" s="62"/>
      <c r="E51" s="62"/>
      <c r="F51" s="62"/>
      <c r="G51" s="2"/>
      <c r="H51" s="62"/>
      <c r="I51" s="62"/>
      <c r="J51" s="2"/>
      <c r="K51" s="2"/>
      <c r="L51" s="2"/>
      <c r="M51" s="2"/>
      <c r="N51" s="2"/>
      <c r="O51" s="2"/>
      <c r="P51" s="2"/>
      <c r="Q51" s="2"/>
      <c r="R51" s="2"/>
      <c r="S51" s="2"/>
      <c r="T51" s="83"/>
      <c r="U51" s="2"/>
      <c r="V51" s="2"/>
      <c r="W51" s="2"/>
      <c r="X51" s="5"/>
      <c r="Y51" s="7"/>
      <c r="Z51" s="7"/>
      <c r="AA51" s="7"/>
      <c r="AB51" s="6"/>
      <c r="AC51" s="82"/>
      <c r="AD51" s="82"/>
      <c r="AE51" s="82"/>
      <c r="AF51" s="82"/>
      <c r="AG51" s="82"/>
      <c r="AH51" s="82"/>
      <c r="AI51" s="83"/>
      <c r="AJ51" s="83"/>
      <c r="AK51" s="83"/>
      <c r="AL51" s="83"/>
      <c r="AM51" s="83"/>
      <c r="AN51" s="83"/>
      <c r="AO51" s="83"/>
      <c r="AP51" s="83"/>
      <c r="AQ51" s="83"/>
      <c r="AR51" s="84"/>
    </row>
    <row r="52" ht="13.5" customHeight="1">
      <c r="A52" s="69"/>
      <c r="B52" s="85" t="s">
        <v>138</v>
      </c>
      <c r="C52" s="9"/>
      <c r="D52" s="9"/>
      <c r="E52" s="9"/>
      <c r="F52" s="10"/>
      <c r="G52" s="71"/>
      <c r="H52" s="86" t="s">
        <v>28</v>
      </c>
      <c r="I52" s="87" t="s">
        <v>29</v>
      </c>
      <c r="J52" s="88"/>
      <c r="K52" s="89"/>
      <c r="L52" s="89"/>
      <c r="M52" s="89"/>
      <c r="N52" s="89"/>
      <c r="O52" s="89"/>
      <c r="P52" s="89"/>
      <c r="Q52" s="89"/>
      <c r="R52" s="89"/>
      <c r="S52" s="2"/>
      <c r="T52" s="83"/>
      <c r="U52" s="19"/>
      <c r="V52" s="19"/>
      <c r="W52" s="19"/>
      <c r="X52" s="20"/>
      <c r="Y52" s="33"/>
      <c r="Z52" s="33"/>
      <c r="AA52" s="33"/>
      <c r="AB52" s="6"/>
      <c r="AC52" s="82"/>
      <c r="AD52" s="82"/>
      <c r="AE52" s="82"/>
      <c r="AF52" s="82"/>
      <c r="AG52" s="82"/>
      <c r="AH52" s="82"/>
      <c r="AI52" s="83"/>
      <c r="AJ52" s="83"/>
      <c r="AK52" s="83"/>
      <c r="AL52" s="83"/>
      <c r="AM52" s="83"/>
      <c r="AN52" s="83"/>
      <c r="AO52" s="83"/>
      <c r="AP52" s="83"/>
      <c r="AQ52" s="83"/>
      <c r="AR52" s="84"/>
    </row>
    <row r="53" ht="13.5" customHeight="1">
      <c r="A53" s="69"/>
      <c r="B53" s="92" t="s">
        <v>139</v>
      </c>
      <c r="C53" s="93">
        <v>2.0</v>
      </c>
      <c r="D53" s="94" t="s">
        <v>31</v>
      </c>
      <c r="E53" s="95">
        <v>2.0</v>
      </c>
      <c r="F53" s="131" t="s">
        <v>140</v>
      </c>
      <c r="G53" s="71"/>
      <c r="H53" s="97">
        <v>46188.0</v>
      </c>
      <c r="I53" s="98">
        <v>1.66666666666667</v>
      </c>
      <c r="J53" s="99"/>
      <c r="K53" s="100"/>
      <c r="L53" s="94" t="s">
        <v>33</v>
      </c>
      <c r="M53" s="94" t="s">
        <v>34</v>
      </c>
      <c r="N53" s="94" t="s">
        <v>35</v>
      </c>
      <c r="O53" s="94" t="s">
        <v>36</v>
      </c>
      <c r="P53" s="94" t="s">
        <v>37</v>
      </c>
      <c r="Q53" s="94" t="s">
        <v>38</v>
      </c>
      <c r="R53" s="101" t="s">
        <v>39</v>
      </c>
      <c r="S53" s="102"/>
      <c r="T53" s="103" t="str">
        <f t="array" ref="T53">IF(NOT(AND(ISNUMBER(C53),ISNUMBER(E53))),"XXX","")</f>
        <v/>
      </c>
      <c r="U53" s="19" t="str">
        <f t="shared" ref="U53:U58" si="7">SUM(Y53,Z53,AA53, AB53)</f>
        <v>2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2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82"/>
      <c r="AD53" s="82"/>
      <c r="AE53" s="82"/>
      <c r="AF53" s="82"/>
      <c r="AG53" s="82"/>
      <c r="AH53" s="82"/>
      <c r="AI53" s="83"/>
      <c r="AJ53" s="83"/>
      <c r="AK53" s="83"/>
      <c r="AL53" s="83"/>
      <c r="AM53" s="83"/>
      <c r="AN53" s="83"/>
      <c r="AO53" s="83"/>
      <c r="AP53" s="83"/>
      <c r="AQ53" s="83"/>
      <c r="AR53" s="84"/>
    </row>
    <row r="54" ht="13.5" customHeight="1">
      <c r="A54" s="69"/>
      <c r="B54" s="104" t="s">
        <v>141</v>
      </c>
      <c r="C54" s="105">
        <v>2.0</v>
      </c>
      <c r="D54" s="106" t="s">
        <v>31</v>
      </c>
      <c r="E54" s="107">
        <v>0.0</v>
      </c>
      <c r="F54" s="108" t="s">
        <v>142</v>
      </c>
      <c r="G54" s="71"/>
      <c r="H54" s="97">
        <v>46188.0</v>
      </c>
      <c r="I54" s="98">
        <v>1.91666666666667</v>
      </c>
      <c r="J54" s="99"/>
      <c r="K54" s="132" t="s">
        <v>139</v>
      </c>
      <c r="L54" s="110">
        <v>0.0</v>
      </c>
      <c r="M54" s="110" t="str">
        <f t="array" ref="M54">N54-O54</f>
        <v>0</v>
      </c>
      <c r="N54" s="110">
        <v>0.0</v>
      </c>
      <c r="O54" s="110">
        <v>0.0</v>
      </c>
      <c r="P54" s="110">
        <v>0.0</v>
      </c>
      <c r="Q54" s="110">
        <v>0.0</v>
      </c>
      <c r="R54" s="111">
        <v>0.0</v>
      </c>
      <c r="S54" s="102"/>
      <c r="T54" s="103" t="str">
        <f t="array" ref="T54">IF(NOT(AND(ISNUMBER(C54),ISNUMBER(E54))),"XXX","")</f>
        <v/>
      </c>
      <c r="U54" s="19" t="str">
        <f t="shared" si="7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112" t="s">
        <v>143</v>
      </c>
      <c r="AD54" s="112" t="s">
        <v>144</v>
      </c>
      <c r="AE54" s="112" t="s">
        <v>145</v>
      </c>
      <c r="AF54" s="82" t="str">
        <f t="array" ref="AF54">IF(ISNUMBER(FIND("C",AC54,1)),SUBSTITUTE(AC54,"C","E"),SUBSTITUTE(AC54,"E","C"))</f>
        <v>E53</v>
      </c>
      <c r="AG54" s="82" t="str">
        <f t="array" ref="AG54">IF(ISNUMBER(FIND("C",AD54,1)),SUBSTITUTE(AD54,"C","E"),SUBSTITUTE(AD54,"E","C"))</f>
        <v>E55</v>
      </c>
      <c r="AH54" s="82" t="str">
        <f t="array" ref="AH54">IF(ISNUMBER(FIND("C",AE54,1)),SUBSTITUTE(AE54,"C","E"),SUBSTITUTE(AE54,"E","C"))</f>
        <v>C58</v>
      </c>
      <c r="AI54" s="83"/>
      <c r="AJ54" s="83"/>
      <c r="AK54" s="83"/>
      <c r="AL54" s="83"/>
      <c r="AM54" s="83"/>
      <c r="AN54" s="83"/>
      <c r="AO54" s="83"/>
      <c r="AP54" s="83"/>
      <c r="AQ54" s="83"/>
      <c r="AR54" s="84"/>
    </row>
    <row r="55" ht="12.75" customHeight="1">
      <c r="A55" s="69"/>
      <c r="B55" s="104" t="s">
        <v>139</v>
      </c>
      <c r="C55" s="105">
        <v>1.0</v>
      </c>
      <c r="D55" s="106" t="s">
        <v>31</v>
      </c>
      <c r="E55" s="107">
        <v>1.0</v>
      </c>
      <c r="F55" s="108" t="s">
        <v>141</v>
      </c>
      <c r="G55" s="71"/>
      <c r="H55" s="97">
        <v>46194.0</v>
      </c>
      <c r="I55" s="98">
        <v>1.66666666666667</v>
      </c>
      <c r="J55" s="99"/>
      <c r="K55" s="132" t="s">
        <v>140</v>
      </c>
      <c r="L55" s="110">
        <v>0.0</v>
      </c>
      <c r="M55" s="110" t="str">
        <f t="array" ref="M55">N55-O55</f>
        <v>0</v>
      </c>
      <c r="N55" s="110">
        <v>0.0</v>
      </c>
      <c r="O55" s="110">
        <v>0.0</v>
      </c>
      <c r="P55" s="110">
        <v>0.0</v>
      </c>
      <c r="Q55" s="110">
        <v>0.0</v>
      </c>
      <c r="R55" s="111">
        <v>0.0</v>
      </c>
      <c r="S55" s="113"/>
      <c r="T55" s="103" t="str">
        <f t="array" ref="T55">IF(NOT(AND(ISNUMBER(C55),ISNUMBER(E55))),"XXX","")</f>
        <v/>
      </c>
      <c r="U55" s="19" t="str">
        <f t="shared" si="7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112" t="s">
        <v>146</v>
      </c>
      <c r="AD55" s="112" t="s">
        <v>147</v>
      </c>
      <c r="AE55" s="112" t="s">
        <v>148</v>
      </c>
      <c r="AF55" s="82" t="str">
        <f t="array" ref="AF55">IF(ISNUMBER(FIND("C",AC55,1)),SUBSTITUTE(AC55,"C","E"),SUBSTITUTE(AC55,"E","C"))</f>
        <v>C53</v>
      </c>
      <c r="AG55" s="82" t="str">
        <f t="array" ref="AG55">IF(ISNUMBER(FIND("C",AD55,1)),SUBSTITUTE(AD55,"C","E"),SUBSTITUTE(AD55,"E","C"))</f>
        <v>C56</v>
      </c>
      <c r="AH55" s="82" t="str">
        <f t="array" ref="AH55">IF(ISNUMBER(FIND("C",AE55,1)),SUBSTITUTE(AE55,"C","E"),SUBSTITUTE(AE55,"E","C"))</f>
        <v>E57</v>
      </c>
      <c r="AI55" s="83"/>
      <c r="AJ55" s="83"/>
      <c r="AK55" s="83"/>
      <c r="AL55" s="83"/>
      <c r="AM55" s="83"/>
      <c r="AN55" s="83"/>
      <c r="AO55" s="83"/>
      <c r="AP55" s="83"/>
      <c r="AQ55" s="83"/>
      <c r="AR55" s="84"/>
    </row>
    <row r="56" ht="12.75" customHeight="1">
      <c r="A56" s="69"/>
      <c r="B56" s="104" t="s">
        <v>142</v>
      </c>
      <c r="C56" s="105">
        <v>0.0</v>
      </c>
      <c r="D56" s="106" t="s">
        <v>31</v>
      </c>
      <c r="E56" s="107">
        <v>3.0</v>
      </c>
      <c r="F56" s="108" t="s">
        <v>140</v>
      </c>
      <c r="G56" s="71"/>
      <c r="H56" s="97">
        <v>46194.0</v>
      </c>
      <c r="I56" s="98">
        <v>1.91666666666667</v>
      </c>
      <c r="J56" s="99"/>
      <c r="K56" s="132" t="s">
        <v>141</v>
      </c>
      <c r="L56" s="110">
        <v>0.0</v>
      </c>
      <c r="M56" s="110" t="str">
        <f t="array" ref="M56">N56-O56</f>
        <v>0</v>
      </c>
      <c r="N56" s="110">
        <v>0.0</v>
      </c>
      <c r="O56" s="110">
        <v>0.0</v>
      </c>
      <c r="P56" s="110">
        <v>0.0</v>
      </c>
      <c r="Q56" s="110">
        <v>0.0</v>
      </c>
      <c r="R56" s="111">
        <v>0.0</v>
      </c>
      <c r="S56" s="113"/>
      <c r="T56" s="103" t="str">
        <f t="array" ref="T56">IF(NOT(AND(ISNUMBER(C56),ISNUMBER(E56))),"XXX","")</f>
        <v/>
      </c>
      <c r="U56" s="19" t="str">
        <f t="shared" si="7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112" t="s">
        <v>149</v>
      </c>
      <c r="AD56" s="112" t="s">
        <v>150</v>
      </c>
      <c r="AE56" s="112" t="s">
        <v>151</v>
      </c>
      <c r="AF56" s="82" t="str">
        <f t="array" ref="AF56">IF(ISNUMBER(FIND("C",AC56,1)),SUBSTITUTE(AC56,"C","E"),SUBSTITUTE(AC56,"E","C"))</f>
        <v>E54</v>
      </c>
      <c r="AG56" s="82" t="str">
        <f t="array" ref="AG56">IF(ISNUMBER(FIND("C",AD56,1)),SUBSTITUTE(AD56,"C","E"),SUBSTITUTE(AD56,"E","C"))</f>
        <v>C55</v>
      </c>
      <c r="AH56" s="82" t="str">
        <f t="array" ref="AH56">IF(ISNUMBER(FIND("C",AE56,1)),SUBSTITUTE(AE56,"C","E"),SUBSTITUTE(AE56,"E","C"))</f>
        <v>C57</v>
      </c>
      <c r="AI56" s="83"/>
      <c r="AJ56" s="83"/>
      <c r="AK56" s="83"/>
      <c r="AL56" s="83"/>
      <c r="AM56" s="83"/>
      <c r="AN56" s="83"/>
      <c r="AO56" s="83"/>
      <c r="AP56" s="83"/>
      <c r="AQ56" s="83"/>
      <c r="AR56" s="84"/>
    </row>
    <row r="57" ht="12.75" customHeight="1">
      <c r="A57" s="69"/>
      <c r="B57" s="104" t="s">
        <v>140</v>
      </c>
      <c r="C57" s="105">
        <v>0.0</v>
      </c>
      <c r="D57" s="106" t="s">
        <v>31</v>
      </c>
      <c r="E57" s="107">
        <v>0.0</v>
      </c>
      <c r="F57" s="108" t="s">
        <v>141</v>
      </c>
      <c r="G57" s="71"/>
      <c r="H57" s="97">
        <v>46200.0</v>
      </c>
      <c r="I57" s="98">
        <v>1.0</v>
      </c>
      <c r="J57" s="99"/>
      <c r="K57" s="133" t="s">
        <v>142</v>
      </c>
      <c r="L57" s="115">
        <v>0.0</v>
      </c>
      <c r="M57" s="115" t="str">
        <f t="array" ref="M57">N57-O57</f>
        <v>0</v>
      </c>
      <c r="N57" s="115">
        <v>0.0</v>
      </c>
      <c r="O57" s="115">
        <v>0.0</v>
      </c>
      <c r="P57" s="115">
        <v>0.0</v>
      </c>
      <c r="Q57" s="115">
        <v>0.0</v>
      </c>
      <c r="R57" s="116">
        <v>0.0</v>
      </c>
      <c r="S57" s="113"/>
      <c r="T57" s="103" t="str">
        <f t="array" ref="T57">IF(NOT(AND(ISNUMBER(C57),ISNUMBER(E57))),"XXX","")</f>
        <v/>
      </c>
      <c r="U57" s="19" t="str">
        <f t="shared" si="7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112" t="s">
        <v>152</v>
      </c>
      <c r="AD57" s="112" t="s">
        <v>153</v>
      </c>
      <c r="AE57" s="112" t="s">
        <v>154</v>
      </c>
      <c r="AF57" s="82" t="str">
        <f t="array" ref="AF57">IF(ISNUMBER(FIND("C",AC57,1)),SUBSTITUTE(AC57,"C","E"),SUBSTITUTE(AC57,"E","C"))</f>
        <v>C54</v>
      </c>
      <c r="AG57" s="82" t="str">
        <f t="array" ref="AG57">IF(ISNUMBER(FIND("C",AD57,1)),SUBSTITUTE(AD57,"C","E"),SUBSTITUTE(AD57,"E","C"))</f>
        <v>E56</v>
      </c>
      <c r="AH57" s="82" t="str">
        <f t="array" ref="AH57">IF(ISNUMBER(FIND("C",AE57,1)),SUBSTITUTE(AE57,"C","E"),SUBSTITUTE(AE57,"E","C"))</f>
        <v>E58</v>
      </c>
      <c r="AI57" s="83"/>
      <c r="AJ57" s="83"/>
      <c r="AK57" s="83"/>
      <c r="AL57" s="83"/>
      <c r="AM57" s="83"/>
      <c r="AN57" s="83"/>
      <c r="AO57" s="83"/>
      <c r="AP57" s="83"/>
      <c r="AQ57" s="83"/>
      <c r="AR57" s="84"/>
    </row>
    <row r="58" ht="13.5" customHeight="1">
      <c r="A58" s="69"/>
      <c r="B58" s="117" t="s">
        <v>142</v>
      </c>
      <c r="C58" s="118">
        <v>0.0</v>
      </c>
      <c r="D58" s="119" t="s">
        <v>31</v>
      </c>
      <c r="E58" s="120">
        <v>4.0</v>
      </c>
      <c r="F58" s="121" t="s">
        <v>139</v>
      </c>
      <c r="G58" s="71"/>
      <c r="H58" s="122">
        <v>46200.0</v>
      </c>
      <c r="I58" s="123">
        <v>1.0</v>
      </c>
      <c r="J58" s="124"/>
      <c r="K58" s="130"/>
      <c r="L58" s="90"/>
      <c r="M58" s="90"/>
      <c r="N58" s="90"/>
      <c r="O58" s="90"/>
      <c r="P58" s="90"/>
      <c r="Q58" s="90"/>
      <c r="R58" s="90"/>
      <c r="S58" s="2"/>
      <c r="T58" s="103" t="str">
        <f t="array" ref="T58">IF(NOT(AND(ISNUMBER(C58),ISNUMBER(E58))),"XXX","")</f>
        <v/>
      </c>
      <c r="U58" s="19" t="str">
        <f t="shared" si="7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82"/>
      <c r="AD58" s="82"/>
      <c r="AE58" s="82"/>
      <c r="AF58" s="82"/>
      <c r="AG58" s="82"/>
      <c r="AH58" s="82"/>
      <c r="AI58" s="83"/>
      <c r="AJ58" s="83"/>
      <c r="AK58" s="83"/>
      <c r="AL58" s="83"/>
      <c r="AM58" s="83"/>
      <c r="AN58" s="83"/>
      <c r="AO58" s="83"/>
      <c r="AP58" s="83"/>
      <c r="AQ58" s="83"/>
      <c r="AR58" s="84"/>
    </row>
    <row r="59" ht="13.5" customHeight="1">
      <c r="A59" s="77"/>
      <c r="B59" s="126"/>
      <c r="C59" s="62"/>
      <c r="D59" s="62"/>
      <c r="E59" s="62"/>
      <c r="F59" s="62"/>
      <c r="G59" s="2"/>
      <c r="H59" s="62"/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83"/>
      <c r="U59" s="2"/>
      <c r="V59" s="2"/>
      <c r="W59" s="2"/>
      <c r="X59" s="5"/>
      <c r="Y59" s="7"/>
      <c r="Z59" s="7"/>
      <c r="AA59" s="7"/>
      <c r="AB59" s="6"/>
      <c r="AC59" s="82"/>
      <c r="AD59" s="82"/>
      <c r="AE59" s="82"/>
      <c r="AF59" s="82"/>
      <c r="AG59" s="82"/>
      <c r="AH59" s="82"/>
      <c r="AI59" s="83"/>
      <c r="AJ59" s="83"/>
      <c r="AK59" s="83"/>
      <c r="AL59" s="83"/>
      <c r="AM59" s="83"/>
      <c r="AN59" s="83"/>
      <c r="AO59" s="83"/>
      <c r="AP59" s="83"/>
      <c r="AQ59" s="83"/>
      <c r="AR59" s="84"/>
    </row>
    <row r="60" ht="13.5" customHeight="1">
      <c r="A60" s="69"/>
      <c r="B60" s="85" t="s">
        <v>155</v>
      </c>
      <c r="C60" s="9"/>
      <c r="D60" s="9"/>
      <c r="E60" s="9"/>
      <c r="F60" s="10"/>
      <c r="G60" s="71"/>
      <c r="H60" s="86" t="s">
        <v>28</v>
      </c>
      <c r="I60" s="87" t="s">
        <v>29</v>
      </c>
      <c r="J60" s="88"/>
      <c r="K60" s="89"/>
      <c r="L60" s="89"/>
      <c r="M60" s="89"/>
      <c r="N60" s="89"/>
      <c r="O60" s="89"/>
      <c r="P60" s="89"/>
      <c r="Q60" s="89"/>
      <c r="R60" s="89"/>
      <c r="S60" s="2"/>
      <c r="T60" s="83"/>
      <c r="U60" s="19"/>
      <c r="V60" s="19"/>
      <c r="W60" s="19"/>
      <c r="X60" s="20"/>
      <c r="Y60" s="33"/>
      <c r="Z60" s="33"/>
      <c r="AA60" s="33"/>
      <c r="AB60" s="6"/>
      <c r="AC60" s="82"/>
      <c r="AD60" s="82"/>
      <c r="AE60" s="82"/>
      <c r="AF60" s="82"/>
      <c r="AG60" s="82"/>
      <c r="AH60" s="82"/>
      <c r="AI60" s="83"/>
      <c r="AJ60" s="83"/>
      <c r="AK60" s="83"/>
      <c r="AL60" s="83"/>
      <c r="AM60" s="83"/>
      <c r="AN60" s="83"/>
      <c r="AO60" s="83"/>
      <c r="AP60" s="83"/>
      <c r="AQ60" s="83"/>
      <c r="AR60" s="84"/>
    </row>
    <row r="61" ht="13.5" customHeight="1">
      <c r="A61" s="69"/>
      <c r="B61" s="92" t="s">
        <v>156</v>
      </c>
      <c r="C61" s="93">
        <v>4.0</v>
      </c>
      <c r="D61" s="94" t="s">
        <v>31</v>
      </c>
      <c r="E61" s="95">
        <v>0.0</v>
      </c>
      <c r="F61" s="131" t="s">
        <v>157</v>
      </c>
      <c r="G61" s="71"/>
      <c r="H61" s="97">
        <v>46188.0</v>
      </c>
      <c r="I61" s="98">
        <v>1.54166666666667</v>
      </c>
      <c r="J61" s="99"/>
      <c r="K61" s="100"/>
      <c r="L61" s="94" t="s">
        <v>33</v>
      </c>
      <c r="M61" s="94" t="s">
        <v>34</v>
      </c>
      <c r="N61" s="94" t="s">
        <v>35</v>
      </c>
      <c r="O61" s="94" t="s">
        <v>36</v>
      </c>
      <c r="P61" s="94" t="s">
        <v>37</v>
      </c>
      <c r="Q61" s="94" t="s">
        <v>38</v>
      </c>
      <c r="R61" s="101" t="s">
        <v>39</v>
      </c>
      <c r="S61" s="102"/>
      <c r="T61" s="103" t="str">
        <f t="array" ref="T61">IF(NOT(AND(ISNUMBER(C61),ISNUMBER(E61))),"XXX","")</f>
        <v/>
      </c>
      <c r="U61" s="19" t="str">
        <f t="shared" ref="U61:U66" si="8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82"/>
      <c r="AD61" s="82"/>
      <c r="AE61" s="82"/>
      <c r="AF61" s="82"/>
      <c r="AG61" s="82"/>
      <c r="AH61" s="82"/>
      <c r="AI61" s="83"/>
      <c r="AJ61" s="83"/>
      <c r="AK61" s="83"/>
      <c r="AL61" s="83"/>
      <c r="AM61" s="83"/>
      <c r="AN61" s="83"/>
      <c r="AO61" s="83"/>
      <c r="AP61" s="83"/>
      <c r="AQ61" s="83"/>
      <c r="AR61" s="84"/>
    </row>
    <row r="62" ht="13.5" customHeight="1">
      <c r="A62" s="69"/>
      <c r="B62" s="104" t="s">
        <v>158</v>
      </c>
      <c r="C62" s="105">
        <v>2.0</v>
      </c>
      <c r="D62" s="106" t="s">
        <v>31</v>
      </c>
      <c r="E62" s="107">
        <v>1.0</v>
      </c>
      <c r="F62" s="108" t="s">
        <v>159</v>
      </c>
      <c r="G62" s="71"/>
      <c r="H62" s="97">
        <v>46188.0</v>
      </c>
      <c r="I62" s="98">
        <v>1.79166666666667</v>
      </c>
      <c r="J62" s="99"/>
      <c r="K62" s="132" t="s">
        <v>158</v>
      </c>
      <c r="L62" s="110">
        <v>0.0</v>
      </c>
      <c r="M62" s="110" t="str">
        <f t="array" ref="M62">N62-O62</f>
        <v>0</v>
      </c>
      <c r="N62" s="110">
        <v>0.0</v>
      </c>
      <c r="O62" s="110">
        <v>0.0</v>
      </c>
      <c r="P62" s="110">
        <v>0.0</v>
      </c>
      <c r="Q62" s="110">
        <v>0.0</v>
      </c>
      <c r="R62" s="111">
        <v>0.0</v>
      </c>
      <c r="S62" s="102"/>
      <c r="T62" s="103" t="str">
        <f t="array" ref="T62">IF(NOT(AND(ISNUMBER(C62),ISNUMBER(E62))),"XXX","")</f>
        <v/>
      </c>
      <c r="U62" s="19" t="str">
        <f t="shared" si="8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112" t="s">
        <v>160</v>
      </c>
      <c r="AD62" s="112" t="s">
        <v>161</v>
      </c>
      <c r="AE62" s="112" t="s">
        <v>162</v>
      </c>
      <c r="AF62" s="82" t="str">
        <f t="array" ref="AF62">IF(ISNUMBER(FIND("C",AC62,1)),SUBSTITUTE(AC62,"C","E"),SUBSTITUTE(AC62,"E","C"))</f>
        <v>E62</v>
      </c>
      <c r="AG62" s="82" t="str">
        <f t="array" ref="AG62">IF(ISNUMBER(FIND("C",AD62,1)),SUBSTITUTE(AD62,"C","E"),SUBSTITUTE(AD62,"E","C"))</f>
        <v>C63</v>
      </c>
      <c r="AH62" s="82" t="str">
        <f t="array" ref="AH62">IF(ISNUMBER(FIND("C",AE62,1)),SUBSTITUTE(AE62,"C","E"),SUBSTITUTE(AE62,"E","C"))</f>
        <v>C65</v>
      </c>
      <c r="AI62" s="83"/>
      <c r="AJ62" s="83"/>
      <c r="AK62" s="83"/>
      <c r="AL62" s="83"/>
      <c r="AM62" s="83"/>
      <c r="AN62" s="83"/>
      <c r="AO62" s="83"/>
      <c r="AP62" s="83"/>
      <c r="AQ62" s="83"/>
      <c r="AR62" s="84"/>
    </row>
    <row r="63" ht="12.75" customHeight="1">
      <c r="A63" s="69"/>
      <c r="B63" s="104" t="s">
        <v>156</v>
      </c>
      <c r="C63" s="105">
        <v>2.0</v>
      </c>
      <c r="D63" s="106" t="s">
        <v>31</v>
      </c>
      <c r="E63" s="107">
        <v>2.0</v>
      </c>
      <c r="F63" s="108" t="s">
        <v>158</v>
      </c>
      <c r="G63" s="71"/>
      <c r="H63" s="97">
        <v>46194.0</v>
      </c>
      <c r="I63" s="98">
        <v>1.54166666666667</v>
      </c>
      <c r="J63" s="99"/>
      <c r="K63" s="132" t="s">
        <v>157</v>
      </c>
      <c r="L63" s="110">
        <v>0.0</v>
      </c>
      <c r="M63" s="110" t="str">
        <f t="array" ref="M63">N63-O63</f>
        <v>0</v>
      </c>
      <c r="N63" s="110">
        <v>0.0</v>
      </c>
      <c r="O63" s="110">
        <v>0.0</v>
      </c>
      <c r="P63" s="110">
        <v>0.0</v>
      </c>
      <c r="Q63" s="110">
        <v>0.0</v>
      </c>
      <c r="R63" s="111">
        <v>0.0</v>
      </c>
      <c r="S63" s="113"/>
      <c r="T63" s="103" t="str">
        <f t="array" ref="T63">IF(NOT(AND(ISNUMBER(C63),ISNUMBER(E63))),"XXX","")</f>
        <v/>
      </c>
      <c r="U63" s="19" t="str">
        <f t="shared" si="8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112" t="s">
        <v>163</v>
      </c>
      <c r="AD63" s="112" t="s">
        <v>164</v>
      </c>
      <c r="AE63" s="112" t="s">
        <v>165</v>
      </c>
      <c r="AF63" s="82" t="str">
        <f t="array" ref="AF63">IF(ISNUMBER(FIND("C",AC63,1)),SUBSTITUTE(AC63,"C","E"),SUBSTITUTE(AC63,"E","C"))</f>
        <v>C61</v>
      </c>
      <c r="AG63" s="82" t="str">
        <f t="array" ref="AG63">IF(ISNUMBER(FIND("C",AD63,1)),SUBSTITUTE(AD63,"C","E"),SUBSTITUTE(AD63,"E","C"))</f>
        <v>C64</v>
      </c>
      <c r="AH63" s="82" t="str">
        <f t="array" ref="AH63">IF(ISNUMBER(FIND("C",AE63,1)),SUBSTITUTE(AE63,"C","E"),SUBSTITUTE(AE63,"E","C"))</f>
        <v>E65</v>
      </c>
      <c r="AI63" s="83"/>
      <c r="AJ63" s="83"/>
      <c r="AK63" s="83"/>
      <c r="AL63" s="83"/>
      <c r="AM63" s="83"/>
      <c r="AN63" s="83"/>
      <c r="AO63" s="83"/>
      <c r="AP63" s="83"/>
      <c r="AQ63" s="83"/>
      <c r="AR63" s="84"/>
    </row>
    <row r="64" ht="12.75" customHeight="1">
      <c r="A64" s="69"/>
      <c r="B64" s="104" t="s">
        <v>159</v>
      </c>
      <c r="C64" s="105">
        <v>2.0</v>
      </c>
      <c r="D64" s="106" t="s">
        <v>31</v>
      </c>
      <c r="E64" s="107">
        <v>1.0</v>
      </c>
      <c r="F64" s="108" t="s">
        <v>157</v>
      </c>
      <c r="G64" s="71"/>
      <c r="H64" s="97">
        <v>46194.0</v>
      </c>
      <c r="I64" s="98">
        <v>1.79166666666667</v>
      </c>
      <c r="J64" s="99"/>
      <c r="K64" s="132" t="s">
        <v>156</v>
      </c>
      <c r="L64" s="110">
        <v>0.0</v>
      </c>
      <c r="M64" s="110" t="str">
        <f t="array" ref="M64">N64-O64</f>
        <v>0</v>
      </c>
      <c r="N64" s="110">
        <v>0.0</v>
      </c>
      <c r="O64" s="110">
        <v>0.0</v>
      </c>
      <c r="P64" s="110">
        <v>0.0</v>
      </c>
      <c r="Q64" s="110">
        <v>0.0</v>
      </c>
      <c r="R64" s="111">
        <v>0.0</v>
      </c>
      <c r="S64" s="113"/>
      <c r="T64" s="103" t="str">
        <f t="array" ref="T64">IF(NOT(AND(ISNUMBER(C64),ISNUMBER(E64))),"XXX","")</f>
        <v/>
      </c>
      <c r="U64" s="19" t="str">
        <f t="shared" si="8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112" t="s">
        <v>166</v>
      </c>
      <c r="AD64" s="112" t="s">
        <v>167</v>
      </c>
      <c r="AE64" s="112" t="s">
        <v>168</v>
      </c>
      <c r="AF64" s="82" t="str">
        <f t="array" ref="AF64">IF(ISNUMBER(FIND("C",AC64,1)),SUBSTITUTE(AC64,"C","E"),SUBSTITUTE(AC64,"E","C"))</f>
        <v>E61</v>
      </c>
      <c r="AG64" s="82" t="str">
        <f t="array" ref="AG64">IF(ISNUMBER(FIND("C",AD64,1)),SUBSTITUTE(AD64,"C","E"),SUBSTITUTE(AD64,"E","C"))</f>
        <v>E63</v>
      </c>
      <c r="AH64" s="82" t="str">
        <f t="array" ref="AH64">IF(ISNUMBER(FIND("C",AE64,1)),SUBSTITUTE(AE64,"C","E"),SUBSTITUTE(AE64,"E","C"))</f>
        <v>C66</v>
      </c>
      <c r="AI64" s="83"/>
      <c r="AJ64" s="83"/>
      <c r="AK64" s="83"/>
      <c r="AL64" s="83"/>
      <c r="AM64" s="83"/>
      <c r="AN64" s="83"/>
      <c r="AO64" s="83"/>
      <c r="AP64" s="83"/>
      <c r="AQ64" s="83"/>
      <c r="AR64" s="84"/>
    </row>
    <row r="65" ht="12.75" customHeight="1">
      <c r="A65" s="69"/>
      <c r="B65" s="104" t="s">
        <v>157</v>
      </c>
      <c r="C65" s="105">
        <v>1.0</v>
      </c>
      <c r="D65" s="106" t="s">
        <v>31</v>
      </c>
      <c r="E65" s="107">
        <v>1.0</v>
      </c>
      <c r="F65" s="108" t="s">
        <v>158</v>
      </c>
      <c r="G65" s="71"/>
      <c r="H65" s="97">
        <v>46199.0</v>
      </c>
      <c r="I65" s="98">
        <v>1.875</v>
      </c>
      <c r="J65" s="99"/>
      <c r="K65" s="133" t="s">
        <v>159</v>
      </c>
      <c r="L65" s="115">
        <v>0.0</v>
      </c>
      <c r="M65" s="115" t="str">
        <f t="array" ref="M65">N65-O65</f>
        <v>0</v>
      </c>
      <c r="N65" s="115">
        <v>0.0</v>
      </c>
      <c r="O65" s="115">
        <v>0.0</v>
      </c>
      <c r="P65" s="115">
        <v>0.0</v>
      </c>
      <c r="Q65" s="115">
        <v>0.0</v>
      </c>
      <c r="R65" s="116">
        <v>0.0</v>
      </c>
      <c r="S65" s="113"/>
      <c r="T65" s="103" t="str">
        <f t="array" ref="T65">IF(NOT(AND(ISNUMBER(C65),ISNUMBER(E65))),"XXX","")</f>
        <v/>
      </c>
      <c r="U65" s="19" t="str">
        <f t="shared" si="8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112" t="s">
        <v>169</v>
      </c>
      <c r="AD65" s="112" t="s">
        <v>170</v>
      </c>
      <c r="AE65" s="112" t="s">
        <v>171</v>
      </c>
      <c r="AF65" s="82" t="str">
        <f t="array" ref="AF65">IF(ISNUMBER(FIND("C",AC65,1)),SUBSTITUTE(AC65,"C","E"),SUBSTITUTE(AC65,"E","C"))</f>
        <v>C62</v>
      </c>
      <c r="AG65" s="82" t="str">
        <f t="array" ref="AG65">IF(ISNUMBER(FIND("C",AD65,1)),SUBSTITUTE(AD65,"C","E"),SUBSTITUTE(AD65,"E","C"))</f>
        <v>E64</v>
      </c>
      <c r="AH65" s="82" t="str">
        <f t="array" ref="AH65">IF(ISNUMBER(FIND("C",AE65,1)),SUBSTITUTE(AE65,"C","E"),SUBSTITUTE(AE65,"E","C"))</f>
        <v>E66</v>
      </c>
      <c r="AI65" s="83"/>
      <c r="AJ65" s="83"/>
      <c r="AK65" s="83"/>
      <c r="AL65" s="83"/>
      <c r="AM65" s="83"/>
      <c r="AN65" s="83"/>
      <c r="AO65" s="83"/>
      <c r="AP65" s="83"/>
      <c r="AQ65" s="83"/>
      <c r="AR65" s="84"/>
    </row>
    <row r="66" ht="13.5" customHeight="1">
      <c r="A66" s="69"/>
      <c r="B66" s="117" t="s">
        <v>159</v>
      </c>
      <c r="C66" s="118">
        <v>0.0</v>
      </c>
      <c r="D66" s="119" t="s">
        <v>31</v>
      </c>
      <c r="E66" s="120">
        <v>3.0</v>
      </c>
      <c r="F66" s="121" t="s">
        <v>156</v>
      </c>
      <c r="G66" s="71"/>
      <c r="H66" s="122">
        <v>46199.0</v>
      </c>
      <c r="I66" s="123">
        <v>1.875</v>
      </c>
      <c r="J66" s="124"/>
      <c r="K66" s="130"/>
      <c r="L66" s="90"/>
      <c r="M66" s="90"/>
      <c r="N66" s="90"/>
      <c r="O66" s="90"/>
      <c r="P66" s="90"/>
      <c r="Q66" s="90"/>
      <c r="R66" s="90"/>
      <c r="S66" s="2"/>
      <c r="T66" s="103" t="str">
        <f t="array" ref="T66">IF(NOT(AND(ISNUMBER(C66),ISNUMBER(E66))),"XXX","")</f>
        <v/>
      </c>
      <c r="U66" s="19" t="str">
        <f t="shared" si="8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82"/>
      <c r="AD66" s="82"/>
      <c r="AE66" s="82"/>
      <c r="AF66" s="82"/>
      <c r="AG66" s="82"/>
      <c r="AH66" s="82"/>
      <c r="AI66" s="83"/>
      <c r="AJ66" s="83"/>
      <c r="AK66" s="83"/>
      <c r="AL66" s="83"/>
      <c r="AM66" s="83"/>
      <c r="AN66" s="83"/>
      <c r="AO66" s="83"/>
      <c r="AP66" s="83"/>
      <c r="AQ66" s="83"/>
      <c r="AR66" s="84"/>
    </row>
    <row r="67" ht="12.75" customHeight="1">
      <c r="A67" s="77"/>
      <c r="B67" s="78"/>
      <c r="C67" s="62"/>
      <c r="D67" s="62"/>
      <c r="E67" s="62"/>
      <c r="F67" s="62"/>
      <c r="G67" s="2"/>
      <c r="H67" s="62"/>
      <c r="I67" s="6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82"/>
      <c r="AD67" s="82"/>
      <c r="AE67" s="82"/>
      <c r="AF67" s="82"/>
      <c r="AG67" s="82"/>
      <c r="AH67" s="82"/>
      <c r="AI67" s="83"/>
      <c r="AJ67" s="83"/>
      <c r="AK67" s="83"/>
      <c r="AL67" s="83"/>
      <c r="AM67" s="83"/>
      <c r="AN67" s="83"/>
      <c r="AO67" s="83"/>
      <c r="AP67" s="83"/>
      <c r="AQ67" s="83"/>
      <c r="AR67" s="84"/>
    </row>
    <row r="68" ht="12.75" customHeight="1">
      <c r="A68" s="69"/>
      <c r="B68" s="85" t="s">
        <v>172</v>
      </c>
      <c r="C68" s="9"/>
      <c r="D68" s="9"/>
      <c r="E68" s="9"/>
      <c r="F68" s="10"/>
      <c r="G68" s="71"/>
      <c r="H68" s="86" t="s">
        <v>28</v>
      </c>
      <c r="I68" s="87" t="s">
        <v>29</v>
      </c>
      <c r="J68" s="88"/>
      <c r="K68" s="89"/>
      <c r="L68" s="89"/>
      <c r="M68" s="89"/>
      <c r="N68" s="89"/>
      <c r="O68" s="89"/>
      <c r="P68" s="89"/>
      <c r="Q68" s="89"/>
      <c r="R68" s="89"/>
      <c r="S68" s="2"/>
      <c r="T68" s="83"/>
      <c r="U68" s="19"/>
      <c r="V68" s="19"/>
      <c r="W68" s="19"/>
      <c r="X68" s="20"/>
      <c r="Y68" s="6"/>
      <c r="Z68" s="6"/>
      <c r="AA68" s="6"/>
      <c r="AB68" s="6"/>
      <c r="AC68" s="82"/>
      <c r="AD68" s="82"/>
      <c r="AE68" s="82"/>
      <c r="AF68" s="82"/>
      <c r="AG68" s="82"/>
      <c r="AH68" s="82"/>
      <c r="AI68" s="83"/>
      <c r="AJ68" s="83"/>
      <c r="AK68" s="83"/>
      <c r="AL68" s="83"/>
      <c r="AM68" s="83"/>
      <c r="AN68" s="83"/>
      <c r="AO68" s="83"/>
      <c r="AP68" s="83"/>
      <c r="AQ68" s="83"/>
      <c r="AR68" s="84"/>
    </row>
    <row r="69" ht="12.75" customHeight="1">
      <c r="A69" s="69"/>
      <c r="B69" s="92" t="s">
        <v>173</v>
      </c>
      <c r="C69" s="93">
        <v>2.0</v>
      </c>
      <c r="D69" s="94" t="s">
        <v>31</v>
      </c>
      <c r="E69" s="95">
        <v>2.0</v>
      </c>
      <c r="F69" s="131" t="s">
        <v>174</v>
      </c>
      <c r="G69" s="71"/>
      <c r="H69" s="97">
        <v>46189.0</v>
      </c>
      <c r="I69" s="98">
        <v>1.66666666666667</v>
      </c>
      <c r="J69" s="99"/>
      <c r="K69" s="100"/>
      <c r="L69" s="94" t="s">
        <v>33</v>
      </c>
      <c r="M69" s="94" t="s">
        <v>34</v>
      </c>
      <c r="N69" s="94" t="s">
        <v>35</v>
      </c>
      <c r="O69" s="94" t="s">
        <v>36</v>
      </c>
      <c r="P69" s="94" t="s">
        <v>37</v>
      </c>
      <c r="Q69" s="94" t="s">
        <v>38</v>
      </c>
      <c r="R69" s="101" t="s">
        <v>39</v>
      </c>
      <c r="S69" s="102"/>
      <c r="T69" s="103" t="str">
        <f t="array" ref="T69">IF(NOT(AND(ISNUMBER(C69),ISNUMBER(E69))),"XXX","")</f>
        <v/>
      </c>
      <c r="U69" s="19" t="str">
        <f t="shared" ref="U69:U74" si="9">SUM(Y69,Z69,AA69, AB69)</f>
        <v>0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0</v>
      </c>
      <c r="AA69" s="33" t="str">
        <f>IF(AND(ISNUMBER(RESULTADOS!C69),ISNUMBER(RESULTADOS!E69),ISNUMBER(C69),ISNUMBER(E69),AND(Z69=1,OR(C69=RESULTADOS!C69,E69=RESULTADOS!E69))),1,0)</f>
        <v>0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82"/>
      <c r="AD69" s="82"/>
      <c r="AE69" s="82"/>
      <c r="AF69" s="82"/>
      <c r="AG69" s="82"/>
      <c r="AH69" s="82"/>
      <c r="AI69" s="83"/>
      <c r="AJ69" s="83"/>
      <c r="AK69" s="83"/>
      <c r="AL69" s="83"/>
      <c r="AM69" s="83"/>
      <c r="AN69" s="83"/>
      <c r="AO69" s="83"/>
      <c r="AP69" s="83"/>
      <c r="AQ69" s="83"/>
      <c r="AR69" s="84"/>
    </row>
    <row r="70" ht="12.75" customHeight="1">
      <c r="A70" s="69"/>
      <c r="B70" s="104" t="s">
        <v>175</v>
      </c>
      <c r="C70" s="105">
        <v>1.0</v>
      </c>
      <c r="D70" s="106" t="s">
        <v>31</v>
      </c>
      <c r="E70" s="107">
        <v>3.0</v>
      </c>
      <c r="F70" s="108" t="s">
        <v>176</v>
      </c>
      <c r="G70" s="71"/>
      <c r="H70" s="97">
        <v>46189.0</v>
      </c>
      <c r="I70" s="98">
        <v>1.79166666666667</v>
      </c>
      <c r="J70" s="99"/>
      <c r="K70" s="132" t="s">
        <v>173</v>
      </c>
      <c r="L70" s="110">
        <v>0.0</v>
      </c>
      <c r="M70" s="110" t="str">
        <f t="array" ref="M70">N70-O70</f>
        <v>0</v>
      </c>
      <c r="N70" s="110">
        <v>0.0</v>
      </c>
      <c r="O70" s="110">
        <v>0.0</v>
      </c>
      <c r="P70" s="110">
        <v>0.0</v>
      </c>
      <c r="Q70" s="110">
        <v>0.0</v>
      </c>
      <c r="R70" s="111">
        <v>0.0</v>
      </c>
      <c r="S70" s="102"/>
      <c r="T70" s="103" t="str">
        <f t="array" ref="T70">IF(NOT(AND(ISNUMBER(C70),ISNUMBER(E70))),"XXX","")</f>
        <v/>
      </c>
      <c r="U70" s="19" t="str">
        <f t="shared" si="9"/>
        <v>2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1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112" t="s">
        <v>177</v>
      </c>
      <c r="AD70" s="112" t="s">
        <v>178</v>
      </c>
      <c r="AE70" s="112" t="s">
        <v>179</v>
      </c>
      <c r="AF70" s="82" t="str">
        <f t="array" ref="AF70">IF(ISNUMBER(FIND("C",AC70,1)),SUBSTITUTE(AC70,"C","E"),SUBSTITUTE(AC70,"E","C"))</f>
        <v>E69</v>
      </c>
      <c r="AG70" s="82" t="str">
        <f t="array" ref="AG70">IF(ISNUMBER(FIND("C",AD70,1)),SUBSTITUTE(AD70,"C","E"),SUBSTITUTE(AD70,"E","C"))</f>
        <v>E71</v>
      </c>
      <c r="AH70" s="82" t="str">
        <f t="array" ref="AH70">IF(ISNUMBER(FIND("C",AE70,1)),SUBSTITUTE(AE70,"C","E"),SUBSTITUTE(AE70,"E","C"))</f>
        <v>C74</v>
      </c>
      <c r="AI70" s="83"/>
      <c r="AJ70" s="83"/>
      <c r="AK70" s="83"/>
      <c r="AL70" s="83"/>
      <c r="AM70" s="83"/>
      <c r="AN70" s="83"/>
      <c r="AO70" s="83"/>
      <c r="AP70" s="83"/>
      <c r="AQ70" s="83"/>
      <c r="AR70" s="84"/>
    </row>
    <row r="71" ht="12.75" customHeight="1">
      <c r="A71" s="69"/>
      <c r="B71" s="104" t="s">
        <v>173</v>
      </c>
      <c r="C71" s="105">
        <v>1.0</v>
      </c>
      <c r="D71" s="106" t="s">
        <v>31</v>
      </c>
      <c r="E71" s="107">
        <v>1.0</v>
      </c>
      <c r="F71" s="108" t="s">
        <v>175</v>
      </c>
      <c r="G71" s="71"/>
      <c r="H71" s="97">
        <v>46195.0</v>
      </c>
      <c r="I71" s="98">
        <v>1.75</v>
      </c>
      <c r="J71" s="99"/>
      <c r="K71" s="132" t="s">
        <v>175</v>
      </c>
      <c r="L71" s="110">
        <v>0.0</v>
      </c>
      <c r="M71" s="110" t="str">
        <f t="array" ref="M71">N71-O71</f>
        <v>0</v>
      </c>
      <c r="N71" s="110">
        <v>0.0</v>
      </c>
      <c r="O71" s="110">
        <v>0.0</v>
      </c>
      <c r="P71" s="110">
        <v>0.0</v>
      </c>
      <c r="Q71" s="110">
        <v>0.0</v>
      </c>
      <c r="R71" s="111">
        <v>0.0</v>
      </c>
      <c r="S71" s="113"/>
      <c r="T71" s="103" t="str">
        <f t="array" ref="T71">IF(NOT(AND(ISNUMBER(C71),ISNUMBER(E71))),"XXX","")</f>
        <v/>
      </c>
      <c r="U71" s="19" t="str">
        <f t="shared" si="9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112" t="s">
        <v>180</v>
      </c>
      <c r="AD71" s="112" t="s">
        <v>181</v>
      </c>
      <c r="AE71" s="112" t="s">
        <v>182</v>
      </c>
      <c r="AF71" s="82" t="str">
        <f t="array" ref="AF71">IF(ISNUMBER(FIND("C",AC71,1)),SUBSTITUTE(AC71,"C","E"),SUBSTITUTE(AC71,"E","C"))</f>
        <v>E70</v>
      </c>
      <c r="AG71" s="82" t="str">
        <f t="array" ref="AG71">IF(ISNUMBER(FIND("C",AD71,1)),SUBSTITUTE(AD71,"C","E"),SUBSTITUTE(AD71,"E","C"))</f>
        <v>C71</v>
      </c>
      <c r="AH71" s="82" t="str">
        <f t="array" ref="AH71">IF(ISNUMBER(FIND("C",AE71,1)),SUBSTITUTE(AE71,"C","E"),SUBSTITUTE(AE71,"E","C"))</f>
        <v>C73</v>
      </c>
      <c r="AI71" s="83"/>
      <c r="AJ71" s="83"/>
      <c r="AK71" s="83"/>
      <c r="AL71" s="83"/>
      <c r="AM71" s="83"/>
      <c r="AN71" s="83"/>
      <c r="AO71" s="83"/>
      <c r="AP71" s="83"/>
      <c r="AQ71" s="83"/>
      <c r="AR71" s="84"/>
    </row>
    <row r="72" ht="12.75" customHeight="1">
      <c r="A72" s="69"/>
      <c r="B72" s="104" t="s">
        <v>176</v>
      </c>
      <c r="C72" s="105">
        <v>2.0</v>
      </c>
      <c r="D72" s="106" t="s">
        <v>31</v>
      </c>
      <c r="E72" s="107">
        <v>2.0</v>
      </c>
      <c r="F72" s="108" t="s">
        <v>174</v>
      </c>
      <c r="G72" s="71"/>
      <c r="H72" s="97">
        <v>46195.0</v>
      </c>
      <c r="I72" s="98">
        <v>1.875</v>
      </c>
      <c r="J72" s="99"/>
      <c r="K72" s="132" t="s">
        <v>176</v>
      </c>
      <c r="L72" s="110">
        <v>0.0</v>
      </c>
      <c r="M72" s="110" t="str">
        <f t="array" ref="M72">N72-O72</f>
        <v>0</v>
      </c>
      <c r="N72" s="110">
        <v>0.0</v>
      </c>
      <c r="O72" s="110">
        <v>0.0</v>
      </c>
      <c r="P72" s="110">
        <v>0.0</v>
      </c>
      <c r="Q72" s="110">
        <v>0.0</v>
      </c>
      <c r="R72" s="111">
        <v>0.0</v>
      </c>
      <c r="S72" s="113"/>
      <c r="T72" s="103" t="str">
        <f t="array" ref="T72">IF(NOT(AND(ISNUMBER(C72),ISNUMBER(E72))),"XXX","")</f>
        <v/>
      </c>
      <c r="U72" s="19" t="str">
        <f t="shared" si="9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112" t="s">
        <v>183</v>
      </c>
      <c r="AD72" s="112" t="s">
        <v>184</v>
      </c>
      <c r="AE72" s="112" t="s">
        <v>185</v>
      </c>
      <c r="AF72" s="82" t="str">
        <f t="array" ref="AF72">IF(ISNUMBER(FIND("C",AC72,1)),SUBSTITUTE(AC72,"C","E"),SUBSTITUTE(AC72,"E","C"))</f>
        <v>C70</v>
      </c>
      <c r="AG72" s="82" t="str">
        <f t="array" ref="AG72">IF(ISNUMBER(FIND("C",AD72,1)),SUBSTITUTE(AD72,"C","E"),SUBSTITUTE(AD72,"E","C"))</f>
        <v>E72</v>
      </c>
      <c r="AH72" s="82" t="str">
        <f t="array" ref="AH72">IF(ISNUMBER(FIND("C",AE72,1)),SUBSTITUTE(AE72,"C","E"),SUBSTITUTE(AE72,"E","C"))</f>
        <v>E74</v>
      </c>
      <c r="AI72" s="83"/>
      <c r="AJ72" s="83"/>
      <c r="AK72" s="83"/>
      <c r="AL72" s="83"/>
      <c r="AM72" s="83"/>
      <c r="AN72" s="83"/>
      <c r="AO72" s="83"/>
      <c r="AP72" s="83"/>
      <c r="AQ72" s="83"/>
      <c r="AR72" s="84"/>
    </row>
    <row r="73" ht="12.75" customHeight="1">
      <c r="A73" s="69"/>
      <c r="B73" s="104" t="s">
        <v>174</v>
      </c>
      <c r="C73" s="105">
        <v>3.0</v>
      </c>
      <c r="D73" s="106" t="s">
        <v>31</v>
      </c>
      <c r="E73" s="107">
        <v>1.0</v>
      </c>
      <c r="F73" s="108" t="s">
        <v>175</v>
      </c>
      <c r="G73" s="71"/>
      <c r="H73" s="97">
        <v>46199.0</v>
      </c>
      <c r="I73" s="98">
        <v>1.66666666666667</v>
      </c>
      <c r="J73" s="99"/>
      <c r="K73" s="133" t="s">
        <v>174</v>
      </c>
      <c r="L73" s="115">
        <v>0.0</v>
      </c>
      <c r="M73" s="115" t="str">
        <f t="array" ref="M73">N73-O73</f>
        <v>0</v>
      </c>
      <c r="N73" s="115">
        <v>0.0</v>
      </c>
      <c r="O73" s="115">
        <v>0.0</v>
      </c>
      <c r="P73" s="115">
        <v>0.0</v>
      </c>
      <c r="Q73" s="115">
        <v>0.0</v>
      </c>
      <c r="R73" s="116">
        <v>0.0</v>
      </c>
      <c r="S73" s="113"/>
      <c r="T73" s="103" t="str">
        <f t="array" ref="T73">IF(NOT(AND(ISNUMBER(C73),ISNUMBER(E73))),"XXX","")</f>
        <v/>
      </c>
      <c r="U73" s="19" t="str">
        <f t="shared" si="9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112" t="s">
        <v>186</v>
      </c>
      <c r="AD73" s="112" t="s">
        <v>187</v>
      </c>
      <c r="AE73" s="112" t="s">
        <v>188</v>
      </c>
      <c r="AF73" s="82" t="str">
        <f t="array" ref="AF73">IF(ISNUMBER(FIND("C",AC73,1)),SUBSTITUTE(AC73,"C","E"),SUBSTITUTE(AC73,"E","C"))</f>
        <v>C69</v>
      </c>
      <c r="AG73" s="82" t="str">
        <f t="array" ref="AG73">IF(ISNUMBER(FIND("C",AD73,1)),SUBSTITUTE(AD73,"C","E"),SUBSTITUTE(AD73,"E","C"))</f>
        <v>C72</v>
      </c>
      <c r="AH73" s="82" t="str">
        <f t="array" ref="AH73">IF(ISNUMBER(FIND("C",AE73,1)),SUBSTITUTE(AE73,"C","E"),SUBSTITUTE(AE73,"E","C"))</f>
        <v>E73</v>
      </c>
      <c r="AI73" s="83"/>
      <c r="AJ73" s="83"/>
      <c r="AK73" s="83"/>
      <c r="AL73" s="83"/>
      <c r="AM73" s="83"/>
      <c r="AN73" s="83"/>
      <c r="AO73" s="83"/>
      <c r="AP73" s="83"/>
      <c r="AQ73" s="83"/>
      <c r="AR73" s="84"/>
    </row>
    <row r="74" ht="12.75" customHeight="1">
      <c r="A74" s="69"/>
      <c r="B74" s="117" t="s">
        <v>176</v>
      </c>
      <c r="C74" s="118">
        <v>1.0</v>
      </c>
      <c r="D74" s="119" t="s">
        <v>31</v>
      </c>
      <c r="E74" s="120">
        <v>2.0</v>
      </c>
      <c r="F74" s="121" t="s">
        <v>173</v>
      </c>
      <c r="G74" s="71"/>
      <c r="H74" s="122">
        <v>46199.0</v>
      </c>
      <c r="I74" s="123">
        <v>1.66666666666667</v>
      </c>
      <c r="J74" s="124"/>
      <c r="K74" s="130"/>
      <c r="L74" s="90"/>
      <c r="M74" s="90"/>
      <c r="N74" s="90"/>
      <c r="O74" s="90"/>
      <c r="P74" s="90"/>
      <c r="Q74" s="90"/>
      <c r="R74" s="90"/>
      <c r="S74" s="2"/>
      <c r="T74" s="103" t="str">
        <f t="array" ref="T74">IF(NOT(AND(ISNUMBER(C74),ISNUMBER(E74))),"XXX","")</f>
        <v/>
      </c>
      <c r="U74" s="19" t="str">
        <f t="shared" si="9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82"/>
      <c r="AD74" s="82"/>
      <c r="AE74" s="82"/>
      <c r="AF74" s="82"/>
      <c r="AG74" s="82"/>
      <c r="AH74" s="82"/>
      <c r="AI74" s="83"/>
      <c r="AJ74" s="83"/>
      <c r="AK74" s="83"/>
      <c r="AL74" s="83"/>
      <c r="AM74" s="83"/>
      <c r="AN74" s="83"/>
      <c r="AO74" s="83"/>
      <c r="AP74" s="83"/>
      <c r="AQ74" s="83"/>
      <c r="AR74" s="84"/>
    </row>
    <row r="75" ht="12.75" customHeight="1">
      <c r="A75" s="77"/>
      <c r="B75" s="126"/>
      <c r="C75" s="62"/>
      <c r="D75" s="62"/>
      <c r="E75" s="62"/>
      <c r="F75" s="62"/>
      <c r="G75" s="2"/>
      <c r="H75" s="62"/>
      <c r="I75" s="62"/>
      <c r="J75" s="2"/>
      <c r="K75" s="2"/>
      <c r="L75" s="2"/>
      <c r="M75" s="2"/>
      <c r="N75" s="2"/>
      <c r="O75" s="2"/>
      <c r="P75" s="2"/>
      <c r="Q75" s="2"/>
      <c r="R75" s="2"/>
      <c r="S75" s="2"/>
      <c r="T75" s="83"/>
      <c r="U75" s="2"/>
      <c r="V75" s="2"/>
      <c r="W75" s="2"/>
      <c r="X75" s="5"/>
      <c r="Y75" s="6"/>
      <c r="Z75" s="6"/>
      <c r="AA75" s="6"/>
      <c r="AB75" s="6"/>
      <c r="AC75" s="82"/>
      <c r="AD75" s="82"/>
      <c r="AE75" s="82"/>
      <c r="AF75" s="82"/>
      <c r="AG75" s="82"/>
      <c r="AH75" s="82"/>
      <c r="AI75" s="83"/>
      <c r="AJ75" s="83"/>
      <c r="AK75" s="83"/>
      <c r="AL75" s="83"/>
      <c r="AM75" s="83"/>
      <c r="AN75" s="83"/>
      <c r="AO75" s="83"/>
      <c r="AP75" s="83"/>
      <c r="AQ75" s="83"/>
      <c r="AR75" s="84"/>
    </row>
    <row r="76" ht="12.75" customHeight="1">
      <c r="A76" s="69"/>
      <c r="B76" s="85" t="s">
        <v>189</v>
      </c>
      <c r="C76" s="9"/>
      <c r="D76" s="9"/>
      <c r="E76" s="9"/>
      <c r="F76" s="10"/>
      <c r="G76" s="71"/>
      <c r="H76" s="86" t="s">
        <v>28</v>
      </c>
      <c r="I76" s="87" t="s">
        <v>29</v>
      </c>
      <c r="J76" s="88"/>
      <c r="K76" s="89"/>
      <c r="L76" s="89"/>
      <c r="M76" s="89"/>
      <c r="N76" s="89"/>
      <c r="O76" s="89"/>
      <c r="P76" s="89"/>
      <c r="Q76" s="89"/>
      <c r="R76" s="89"/>
      <c r="S76" s="2"/>
      <c r="T76" s="83"/>
      <c r="U76" s="19"/>
      <c r="V76" s="19"/>
      <c r="W76" s="19"/>
      <c r="X76" s="20"/>
      <c r="Y76" s="6"/>
      <c r="Z76" s="6"/>
      <c r="AA76" s="6"/>
      <c r="AB76" s="6"/>
      <c r="AC76" s="82"/>
      <c r="AD76" s="82"/>
      <c r="AE76" s="82"/>
      <c r="AF76" s="82"/>
      <c r="AG76" s="82"/>
      <c r="AH76" s="82"/>
      <c r="AI76" s="83"/>
      <c r="AJ76" s="83"/>
      <c r="AK76" s="83"/>
      <c r="AL76" s="83"/>
      <c r="AM76" s="83"/>
      <c r="AN76" s="83"/>
      <c r="AO76" s="83"/>
      <c r="AP76" s="83"/>
      <c r="AQ76" s="83"/>
      <c r="AR76" s="84"/>
    </row>
    <row r="77" ht="12.75" customHeight="1">
      <c r="A77" s="69"/>
      <c r="B77" s="92" t="s">
        <v>190</v>
      </c>
      <c r="C77" s="93">
        <v>2.0</v>
      </c>
      <c r="D77" s="94" t="s">
        <v>31</v>
      </c>
      <c r="E77" s="95">
        <v>1.0</v>
      </c>
      <c r="F77" s="131" t="s">
        <v>191</v>
      </c>
      <c r="G77" s="71"/>
      <c r="H77" s="97">
        <v>46189.0</v>
      </c>
      <c r="I77" s="98">
        <v>1.91666666666667</v>
      </c>
      <c r="J77" s="99"/>
      <c r="K77" s="100"/>
      <c r="L77" s="94" t="s">
        <v>33</v>
      </c>
      <c r="M77" s="94" t="s">
        <v>34</v>
      </c>
      <c r="N77" s="94" t="s">
        <v>35</v>
      </c>
      <c r="O77" s="94" t="s">
        <v>36</v>
      </c>
      <c r="P77" s="94" t="s">
        <v>37</v>
      </c>
      <c r="Q77" s="94" t="s">
        <v>38</v>
      </c>
      <c r="R77" s="101" t="s">
        <v>39</v>
      </c>
      <c r="S77" s="102"/>
      <c r="T77" s="103" t="str">
        <f t="array" ref="T77">IF(NOT(AND(ISNUMBER(C77),ISNUMBER(E77))),"XXX","")</f>
        <v/>
      </c>
      <c r="U77" s="19" t="str">
        <f t="shared" ref="U77:U82" si="10">SUM(Y77,Z77,AA77, AB77)</f>
        <v>1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0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82"/>
      <c r="AD77" s="82"/>
      <c r="AE77" s="82"/>
      <c r="AF77" s="82"/>
      <c r="AG77" s="82"/>
      <c r="AH77" s="82"/>
      <c r="AI77" s="83"/>
      <c r="AJ77" s="83"/>
      <c r="AK77" s="83"/>
      <c r="AL77" s="83"/>
      <c r="AM77" s="83"/>
      <c r="AN77" s="83"/>
      <c r="AO77" s="83"/>
      <c r="AP77" s="83"/>
      <c r="AQ77" s="83"/>
      <c r="AR77" s="84"/>
    </row>
    <row r="78" ht="12.75" customHeight="1">
      <c r="A78" s="69"/>
      <c r="B78" s="104" t="s">
        <v>192</v>
      </c>
      <c r="C78" s="105">
        <v>2.0</v>
      </c>
      <c r="D78" s="106" t="s">
        <v>31</v>
      </c>
      <c r="E78" s="107">
        <v>2.0</v>
      </c>
      <c r="F78" s="108" t="s">
        <v>193</v>
      </c>
      <c r="G78" s="71"/>
      <c r="H78" s="97">
        <v>46190.0</v>
      </c>
      <c r="I78" s="98">
        <v>1.04166666666667</v>
      </c>
      <c r="J78" s="99"/>
      <c r="K78" s="132" t="s">
        <v>190</v>
      </c>
      <c r="L78" s="110">
        <v>0.0</v>
      </c>
      <c r="M78" s="110" t="str">
        <f t="array" ref="M78">N78-O78</f>
        <v>0</v>
      </c>
      <c r="N78" s="110">
        <v>0.0</v>
      </c>
      <c r="O78" s="110">
        <v>0.0</v>
      </c>
      <c r="P78" s="110">
        <v>0.0</v>
      </c>
      <c r="Q78" s="110">
        <v>0.0</v>
      </c>
      <c r="R78" s="111">
        <v>0.0</v>
      </c>
      <c r="S78" s="102"/>
      <c r="T78" s="103" t="str">
        <f t="array" ref="T78">IF(NOT(AND(ISNUMBER(C78),ISNUMBER(E78))),"XXX","")</f>
        <v/>
      </c>
      <c r="U78" s="19" t="str">
        <f t="shared" si="10"/>
        <v>0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0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112" t="s">
        <v>194</v>
      </c>
      <c r="AD78" s="112" t="s">
        <v>195</v>
      </c>
      <c r="AE78" s="112" t="s">
        <v>196</v>
      </c>
      <c r="AF78" s="82" t="str">
        <f t="array" ref="AF78">IF(ISNUMBER(FIND("C",AC78,1)),SUBSTITUTE(AC78,"C","E"),SUBSTITUTE(AC78,"E","C"))</f>
        <v>E77</v>
      </c>
      <c r="AG78" s="82" t="str">
        <f t="array" ref="AG78">IF(ISNUMBER(FIND("C",AD78,1)),SUBSTITUTE(AD78,"C","E"),SUBSTITUTE(AD78,"E","C"))</f>
        <v>E79</v>
      </c>
      <c r="AH78" s="82" t="str">
        <f t="array" ref="AH78">IF(ISNUMBER(FIND("C",AE78,1)),SUBSTITUTE(AE78,"C","E"),SUBSTITUTE(AE78,"E","C"))</f>
        <v>C81</v>
      </c>
      <c r="AI78" s="83"/>
      <c r="AJ78" s="83"/>
      <c r="AK78" s="83"/>
      <c r="AL78" s="83"/>
      <c r="AM78" s="83"/>
      <c r="AN78" s="83"/>
      <c r="AO78" s="83"/>
      <c r="AP78" s="83"/>
      <c r="AQ78" s="83"/>
      <c r="AR78" s="84"/>
    </row>
    <row r="79" ht="12.75" customHeight="1">
      <c r="A79" s="69"/>
      <c r="B79" s="104" t="s">
        <v>190</v>
      </c>
      <c r="C79" s="105">
        <v>2.0</v>
      </c>
      <c r="D79" s="106" t="s">
        <v>31</v>
      </c>
      <c r="E79" s="107">
        <v>2.0</v>
      </c>
      <c r="F79" s="108" t="s">
        <v>192</v>
      </c>
      <c r="G79" s="71"/>
      <c r="H79" s="97">
        <v>46195.0</v>
      </c>
      <c r="I79" s="98">
        <v>1.58333333333333</v>
      </c>
      <c r="J79" s="99"/>
      <c r="K79" s="132" t="s">
        <v>191</v>
      </c>
      <c r="L79" s="110">
        <v>0.0</v>
      </c>
      <c r="M79" s="110" t="str">
        <f t="array" ref="M79">N79-O79</f>
        <v>0</v>
      </c>
      <c r="N79" s="110">
        <v>0.0</v>
      </c>
      <c r="O79" s="110">
        <v>0.0</v>
      </c>
      <c r="P79" s="110">
        <v>0.0</v>
      </c>
      <c r="Q79" s="110">
        <v>0.0</v>
      </c>
      <c r="R79" s="111">
        <v>0.0</v>
      </c>
      <c r="S79" s="113"/>
      <c r="T79" s="103" t="str">
        <f t="array" ref="T79">IF(NOT(AND(ISNUMBER(C79),ISNUMBER(E79))),"XXX","")</f>
        <v/>
      </c>
      <c r="U79" s="19" t="str">
        <f t="shared" si="10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112" t="s">
        <v>197</v>
      </c>
      <c r="AD79" s="112" t="s">
        <v>198</v>
      </c>
      <c r="AE79" s="112" t="s">
        <v>199</v>
      </c>
      <c r="AF79" s="82" t="str">
        <f t="array" ref="AF79">IF(ISNUMBER(FIND("C",AC79,1)),SUBSTITUTE(AC79,"C","E"),SUBSTITUTE(AC79,"E","C"))</f>
        <v>C77</v>
      </c>
      <c r="AG79" s="82" t="str">
        <f t="array" ref="AG79">IF(ISNUMBER(FIND("C",AD79,1)),SUBSTITUTE(AD79,"C","E"),SUBSTITUTE(AD79,"E","C"))</f>
        <v>C80</v>
      </c>
      <c r="AH79" s="82" t="str">
        <f t="array" ref="AH79">IF(ISNUMBER(FIND("C",AE79,1)),SUBSTITUTE(AE79,"C","E"),SUBSTITUTE(AE79,"E","C"))</f>
        <v>E82</v>
      </c>
      <c r="AI79" s="83"/>
      <c r="AJ79" s="83"/>
      <c r="AK79" s="83"/>
      <c r="AL79" s="83"/>
      <c r="AM79" s="83"/>
      <c r="AN79" s="83"/>
      <c r="AO79" s="83"/>
      <c r="AP79" s="83"/>
      <c r="AQ79" s="83"/>
      <c r="AR79" s="84"/>
    </row>
    <row r="80" ht="12.75" customHeight="1">
      <c r="A80" s="69"/>
      <c r="B80" s="104" t="s">
        <v>193</v>
      </c>
      <c r="C80" s="105">
        <v>1.0</v>
      </c>
      <c r="D80" s="106" t="s">
        <v>31</v>
      </c>
      <c r="E80" s="107">
        <v>1.0</v>
      </c>
      <c r="F80" s="108" t="s">
        <v>191</v>
      </c>
      <c r="G80" s="71"/>
      <c r="H80" s="97">
        <v>46196.0</v>
      </c>
      <c r="I80" s="98">
        <v>1.0</v>
      </c>
      <c r="J80" s="99"/>
      <c r="K80" s="132" t="s">
        <v>193</v>
      </c>
      <c r="L80" s="110">
        <v>0.0</v>
      </c>
      <c r="M80" s="110" t="str">
        <f t="array" ref="M80">N80-O80</f>
        <v>0</v>
      </c>
      <c r="N80" s="110">
        <v>0.0</v>
      </c>
      <c r="O80" s="110">
        <v>0.0</v>
      </c>
      <c r="P80" s="110">
        <v>0.0</v>
      </c>
      <c r="Q80" s="110">
        <v>0.0</v>
      </c>
      <c r="R80" s="111">
        <v>0.0</v>
      </c>
      <c r="S80" s="113"/>
      <c r="T80" s="103" t="str">
        <f t="array" ref="T80">IF(NOT(AND(ISNUMBER(C80),ISNUMBER(E80))),"XXX","")</f>
        <v/>
      </c>
      <c r="U80" s="19" t="str">
        <f t="shared" si="10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112" t="s">
        <v>200</v>
      </c>
      <c r="AD80" s="112" t="s">
        <v>201</v>
      </c>
      <c r="AE80" s="112" t="s">
        <v>202</v>
      </c>
      <c r="AF80" s="82" t="str">
        <f t="array" ref="AF80">IF(ISNUMBER(FIND("C",AC80,1)),SUBSTITUTE(AC80,"C","E"),SUBSTITUTE(AC80,"E","C"))</f>
        <v>C78</v>
      </c>
      <c r="AG80" s="82" t="str">
        <f t="array" ref="AG80">IF(ISNUMBER(FIND("C",AD80,1)),SUBSTITUTE(AD80,"C","E"),SUBSTITUTE(AD80,"E","C"))</f>
        <v>E80</v>
      </c>
      <c r="AH80" s="82" t="str">
        <f t="array" ref="AH80">IF(ISNUMBER(FIND("C",AE80,1)),SUBSTITUTE(AE80,"C","E"),SUBSTITUTE(AE80,"E","C"))</f>
        <v>E81</v>
      </c>
      <c r="AI80" s="83"/>
      <c r="AJ80" s="83"/>
      <c r="AK80" s="83"/>
      <c r="AL80" s="83"/>
      <c r="AM80" s="83"/>
      <c r="AN80" s="83"/>
      <c r="AO80" s="83"/>
      <c r="AP80" s="83"/>
      <c r="AQ80" s="83"/>
      <c r="AR80" s="84"/>
    </row>
    <row r="81" ht="12.75" customHeight="1">
      <c r="A81" s="69"/>
      <c r="B81" s="104" t="s">
        <v>193</v>
      </c>
      <c r="C81" s="105">
        <v>1.0</v>
      </c>
      <c r="D81" s="106" t="s">
        <v>31</v>
      </c>
      <c r="E81" s="107">
        <v>2.0</v>
      </c>
      <c r="F81" s="108" t="s">
        <v>190</v>
      </c>
      <c r="G81" s="71"/>
      <c r="H81" s="97">
        <v>46200.0</v>
      </c>
      <c r="I81" s="98">
        <v>1.95833333333333</v>
      </c>
      <c r="J81" s="99"/>
      <c r="K81" s="133" t="s">
        <v>192</v>
      </c>
      <c r="L81" s="115">
        <v>0.0</v>
      </c>
      <c r="M81" s="115" t="str">
        <f t="array" ref="M81">N81-O81</f>
        <v>0</v>
      </c>
      <c r="N81" s="115">
        <v>0.0</v>
      </c>
      <c r="O81" s="115">
        <v>0.0</v>
      </c>
      <c r="P81" s="115">
        <v>0.0</v>
      </c>
      <c r="Q81" s="115">
        <v>0.0</v>
      </c>
      <c r="R81" s="116">
        <v>0.0</v>
      </c>
      <c r="S81" s="113"/>
      <c r="T81" s="103" t="str">
        <f t="array" ref="T81">IF(NOT(AND(ISNUMBER(C81),ISNUMBER(E81))),"XXX","")</f>
        <v/>
      </c>
      <c r="U81" s="19" t="str">
        <f t="shared" si="10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112" t="s">
        <v>203</v>
      </c>
      <c r="AD81" s="112" t="s">
        <v>204</v>
      </c>
      <c r="AE81" s="112" t="s">
        <v>205</v>
      </c>
      <c r="AF81" s="82" t="str">
        <f t="array" ref="AF81">IF(ISNUMBER(FIND("C",AC81,1)),SUBSTITUTE(AC81,"C","E"),SUBSTITUTE(AC81,"E","C"))</f>
        <v>E78</v>
      </c>
      <c r="AG81" s="82" t="str">
        <f t="array" ref="AG81">IF(ISNUMBER(FIND("C",AD81,1)),SUBSTITUTE(AD81,"C","E"),SUBSTITUTE(AD81,"E","C"))</f>
        <v>C79</v>
      </c>
      <c r="AH81" s="82" t="str">
        <f t="array" ref="AH81">IF(ISNUMBER(FIND("C",AE81,1)),SUBSTITUTE(AE81,"C","E"),SUBSTITUTE(AE81,"E","C"))</f>
        <v>C82</v>
      </c>
      <c r="AI81" s="83"/>
      <c r="AJ81" s="83"/>
      <c r="AK81" s="83"/>
      <c r="AL81" s="83"/>
      <c r="AM81" s="83"/>
      <c r="AN81" s="83"/>
      <c r="AO81" s="83"/>
      <c r="AP81" s="83"/>
      <c r="AQ81" s="83"/>
      <c r="AR81" s="84"/>
    </row>
    <row r="82" ht="12.75" customHeight="1">
      <c r="A82" s="69"/>
      <c r="B82" s="117" t="s">
        <v>191</v>
      </c>
      <c r="C82" s="118">
        <v>2.0</v>
      </c>
      <c r="D82" s="119" t="s">
        <v>31</v>
      </c>
      <c r="E82" s="120">
        <v>1.0</v>
      </c>
      <c r="F82" s="121" t="s">
        <v>192</v>
      </c>
      <c r="G82" s="71"/>
      <c r="H82" s="122">
        <v>46200.0</v>
      </c>
      <c r="I82" s="123">
        <v>1.95833333333333</v>
      </c>
      <c r="J82" s="124"/>
      <c r="K82" s="130"/>
      <c r="L82" s="90"/>
      <c r="M82" s="90"/>
      <c r="N82" s="90"/>
      <c r="O82" s="90"/>
      <c r="P82" s="90"/>
      <c r="Q82" s="90"/>
      <c r="R82" s="90"/>
      <c r="S82" s="2"/>
      <c r="T82" s="103" t="str">
        <f t="array" ref="T82">IF(NOT(AND(ISNUMBER(C82),ISNUMBER(E82))),"XXX","")</f>
        <v/>
      </c>
      <c r="U82" s="19" t="str">
        <f t="shared" si="10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82"/>
      <c r="AD82" s="82"/>
      <c r="AE82" s="82"/>
      <c r="AF82" s="82"/>
      <c r="AG82" s="82"/>
      <c r="AH82" s="82"/>
      <c r="AI82" s="83"/>
      <c r="AJ82" s="83"/>
      <c r="AK82" s="83"/>
      <c r="AL82" s="83"/>
      <c r="AM82" s="83"/>
      <c r="AN82" s="83"/>
      <c r="AO82" s="83"/>
      <c r="AP82" s="83"/>
      <c r="AQ82" s="83"/>
      <c r="AR82" s="84"/>
    </row>
    <row r="83" ht="12.75" customHeight="1">
      <c r="A83" s="77"/>
      <c r="B83" s="126"/>
      <c r="C83" s="62"/>
      <c r="D83" s="62"/>
      <c r="E83" s="62"/>
      <c r="F83" s="62"/>
      <c r="G83" s="2"/>
      <c r="H83" s="62"/>
      <c r="I83" s="62"/>
      <c r="J83" s="2"/>
      <c r="K83" s="2"/>
      <c r="L83" s="2"/>
      <c r="M83" s="2"/>
      <c r="N83" s="2"/>
      <c r="O83" s="2"/>
      <c r="P83" s="2"/>
      <c r="Q83" s="2"/>
      <c r="R83" s="2"/>
      <c r="S83" s="2"/>
      <c r="T83" s="83"/>
      <c r="U83" s="2"/>
      <c r="V83" s="2"/>
      <c r="W83" s="2"/>
      <c r="X83" s="5"/>
      <c r="Y83" s="6"/>
      <c r="Z83" s="6"/>
      <c r="AA83" s="6"/>
      <c r="AB83" s="6"/>
      <c r="AC83" s="82"/>
      <c r="AD83" s="82"/>
      <c r="AE83" s="82"/>
      <c r="AF83" s="82"/>
      <c r="AG83" s="82"/>
      <c r="AH83" s="82"/>
      <c r="AI83" s="83"/>
      <c r="AJ83" s="83"/>
      <c r="AK83" s="83"/>
      <c r="AL83" s="83"/>
      <c r="AM83" s="83"/>
      <c r="AN83" s="83"/>
      <c r="AO83" s="83"/>
      <c r="AP83" s="83"/>
      <c r="AQ83" s="83"/>
      <c r="AR83" s="84"/>
    </row>
    <row r="84" ht="12.75" customHeight="1">
      <c r="A84" s="69"/>
      <c r="B84" s="85" t="s">
        <v>206</v>
      </c>
      <c r="C84" s="9"/>
      <c r="D84" s="9"/>
      <c r="E84" s="9"/>
      <c r="F84" s="10"/>
      <c r="G84" s="71"/>
      <c r="H84" s="86" t="s">
        <v>28</v>
      </c>
      <c r="I84" s="87" t="s">
        <v>29</v>
      </c>
      <c r="J84" s="88"/>
      <c r="K84" s="89"/>
      <c r="L84" s="89"/>
      <c r="M84" s="89"/>
      <c r="N84" s="89"/>
      <c r="O84" s="89"/>
      <c r="P84" s="89"/>
      <c r="Q84" s="89"/>
      <c r="R84" s="89"/>
      <c r="S84" s="2"/>
      <c r="T84" s="83"/>
      <c r="U84" s="19"/>
      <c r="V84" s="19"/>
      <c r="W84" s="19"/>
      <c r="X84" s="20"/>
      <c r="Y84" s="6"/>
      <c r="Z84" s="6"/>
      <c r="AA84" s="6"/>
      <c r="AB84" s="6"/>
      <c r="AC84" s="82"/>
      <c r="AD84" s="82"/>
      <c r="AE84" s="82"/>
      <c r="AF84" s="82"/>
      <c r="AG84" s="82"/>
      <c r="AH84" s="82"/>
      <c r="AI84" s="83"/>
      <c r="AJ84" s="83"/>
      <c r="AK84" s="83"/>
      <c r="AL84" s="83"/>
      <c r="AM84" s="83"/>
      <c r="AN84" s="83"/>
      <c r="AO84" s="83"/>
      <c r="AP84" s="83"/>
      <c r="AQ84" s="83"/>
      <c r="AR84" s="84"/>
    </row>
    <row r="85" ht="12.75" customHeight="1">
      <c r="A85" s="69"/>
      <c r="B85" s="92" t="s">
        <v>207</v>
      </c>
      <c r="C85" s="93">
        <v>3.0</v>
      </c>
      <c r="D85" s="94" t="s">
        <v>31</v>
      </c>
      <c r="E85" s="95">
        <v>1.0</v>
      </c>
      <c r="F85" s="131" t="s">
        <v>208</v>
      </c>
      <c r="G85" s="71"/>
      <c r="H85" s="97">
        <v>46190.0</v>
      </c>
      <c r="I85" s="98">
        <v>1.58333333333333</v>
      </c>
      <c r="J85" s="99"/>
      <c r="K85" s="100"/>
      <c r="L85" s="94" t="s">
        <v>33</v>
      </c>
      <c r="M85" s="94" t="s">
        <v>34</v>
      </c>
      <c r="N85" s="94" t="s">
        <v>35</v>
      </c>
      <c r="O85" s="94" t="s">
        <v>36</v>
      </c>
      <c r="P85" s="94" t="s">
        <v>37</v>
      </c>
      <c r="Q85" s="94" t="s">
        <v>38</v>
      </c>
      <c r="R85" s="101" t="s">
        <v>39</v>
      </c>
      <c r="S85" s="102"/>
      <c r="T85" s="103" t="str">
        <f t="array" ref="T85">IF(NOT(AND(ISNUMBER(C85),ISNUMBER(E85))),"XXX","")</f>
        <v/>
      </c>
      <c r="U85" s="19" t="str">
        <f t="shared" ref="U85:U90" si="11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82"/>
      <c r="AD85" s="82"/>
      <c r="AE85" s="82"/>
      <c r="AF85" s="82"/>
      <c r="AG85" s="82"/>
      <c r="AH85" s="82"/>
      <c r="AI85" s="83"/>
      <c r="AJ85" s="83"/>
      <c r="AK85" s="83"/>
      <c r="AL85" s="83"/>
      <c r="AM85" s="83"/>
      <c r="AN85" s="83"/>
      <c r="AO85" s="83"/>
      <c r="AP85" s="83"/>
      <c r="AQ85" s="83"/>
      <c r="AR85" s="84"/>
    </row>
    <row r="86" ht="12.75" customHeight="1">
      <c r="A86" s="69"/>
      <c r="B86" s="104" t="s">
        <v>209</v>
      </c>
      <c r="C86" s="105">
        <v>0.0</v>
      </c>
      <c r="D86" s="106" t="s">
        <v>31</v>
      </c>
      <c r="E86" s="107">
        <v>2.0</v>
      </c>
      <c r="F86" s="108" t="s">
        <v>210</v>
      </c>
      <c r="G86" s="71"/>
      <c r="H86" s="97">
        <v>46190.0</v>
      </c>
      <c r="I86" s="98">
        <v>1.95833333333333</v>
      </c>
      <c r="J86" s="99"/>
      <c r="K86" s="132" t="s">
        <v>210</v>
      </c>
      <c r="L86" s="110">
        <v>0.0</v>
      </c>
      <c r="M86" s="110" t="str">
        <f t="array" ref="M86">N86-O86</f>
        <v>0</v>
      </c>
      <c r="N86" s="110">
        <v>0.0</v>
      </c>
      <c r="O86" s="110">
        <v>0.0</v>
      </c>
      <c r="P86" s="110">
        <v>0.0</v>
      </c>
      <c r="Q86" s="110">
        <v>0.0</v>
      </c>
      <c r="R86" s="111">
        <v>0.0</v>
      </c>
      <c r="S86" s="102"/>
      <c r="T86" s="103" t="str">
        <f t="array" ref="T86">IF(NOT(AND(ISNUMBER(C86),ISNUMBER(E86))),"XXX","")</f>
        <v/>
      </c>
      <c r="U86" s="19" t="str">
        <f t="shared" si="11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1</v>
      </c>
      <c r="AC86" s="112" t="s">
        <v>211</v>
      </c>
      <c r="AD86" s="112" t="s">
        <v>212</v>
      </c>
      <c r="AE86" s="112" t="s">
        <v>213</v>
      </c>
      <c r="AF86" s="82" t="str">
        <f t="array" ref="AF86">IF(ISNUMBER(FIND("C",AC86,1)),SUBSTITUTE(AC86,"C","E"),SUBSTITUTE(AC86,"E","C"))</f>
        <v>C86</v>
      </c>
      <c r="AG86" s="82" t="str">
        <f t="array" ref="AG86">IF(ISNUMBER(FIND("C",AD86,1)),SUBSTITUTE(AD86,"C","E"),SUBSTITUTE(AD86,"E","C"))</f>
        <v>E88</v>
      </c>
      <c r="AH86" s="82" t="str">
        <f t="array" ref="AH86">IF(ISNUMBER(FIND("C",AE86,1)),SUBSTITUTE(AE86,"C","E"),SUBSTITUTE(AE86,"E","C"))</f>
        <v>E90</v>
      </c>
      <c r="AI86" s="83"/>
      <c r="AJ86" s="83"/>
      <c r="AK86" s="83"/>
      <c r="AL86" s="83"/>
      <c r="AM86" s="83"/>
      <c r="AN86" s="83"/>
      <c r="AO86" s="83"/>
      <c r="AP86" s="83"/>
      <c r="AQ86" s="83"/>
      <c r="AR86" s="84"/>
    </row>
    <row r="87" ht="12.75" customHeight="1">
      <c r="A87" s="69"/>
      <c r="B87" s="104" t="s">
        <v>207</v>
      </c>
      <c r="C87" s="105">
        <v>4.0</v>
      </c>
      <c r="D87" s="106" t="s">
        <v>31</v>
      </c>
      <c r="E87" s="107">
        <v>1.0</v>
      </c>
      <c r="F87" s="108" t="s">
        <v>209</v>
      </c>
      <c r="G87" s="71"/>
      <c r="H87" s="97">
        <v>46196.0</v>
      </c>
      <c r="I87" s="98">
        <v>1.58333333333333</v>
      </c>
      <c r="J87" s="99"/>
      <c r="K87" s="132" t="s">
        <v>207</v>
      </c>
      <c r="L87" s="110">
        <v>0.0</v>
      </c>
      <c r="M87" s="110" t="str">
        <f t="array" ref="M87">N87-O87</f>
        <v>0</v>
      </c>
      <c r="N87" s="110">
        <v>0.0</v>
      </c>
      <c r="O87" s="110">
        <v>0.0</v>
      </c>
      <c r="P87" s="110">
        <v>0.0</v>
      </c>
      <c r="Q87" s="110">
        <v>0.0</v>
      </c>
      <c r="R87" s="111">
        <v>0.0</v>
      </c>
      <c r="S87" s="113"/>
      <c r="T87" s="103" t="str">
        <f t="array" ref="T87">IF(NOT(AND(ISNUMBER(C87),ISNUMBER(E87))),"XXX","")</f>
        <v/>
      </c>
      <c r="U87" s="19" t="str">
        <f t="shared" si="11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112" t="s">
        <v>214</v>
      </c>
      <c r="AD87" s="112" t="s">
        <v>215</v>
      </c>
      <c r="AE87" s="112" t="s">
        <v>216</v>
      </c>
      <c r="AF87" s="82" t="str">
        <f t="array" ref="AF87">IF(ISNUMBER(FIND("C",AC87,1)),SUBSTITUTE(AC87,"C","E"),SUBSTITUTE(AC87,"E","C"))</f>
        <v>E85</v>
      </c>
      <c r="AG87" s="82" t="str">
        <f t="array" ref="AG87">IF(ISNUMBER(FIND("C",AD87,1)),SUBSTITUTE(AD87,"C","E"),SUBSTITUTE(AD87,"E","C"))</f>
        <v>E87</v>
      </c>
      <c r="AH87" s="82" t="str">
        <f t="array" ref="AH87">IF(ISNUMBER(FIND("C",AE87,1)),SUBSTITUTE(AE87,"C","E"),SUBSTITUTE(AE87,"E","C"))</f>
        <v>C90</v>
      </c>
      <c r="AI87" s="83"/>
      <c r="AJ87" s="83"/>
      <c r="AK87" s="83"/>
      <c r="AL87" s="83"/>
      <c r="AM87" s="83"/>
      <c r="AN87" s="83"/>
      <c r="AO87" s="83"/>
      <c r="AP87" s="83"/>
      <c r="AQ87" s="83"/>
      <c r="AR87" s="84"/>
    </row>
    <row r="88" ht="12.75" customHeight="1">
      <c r="A88" s="69"/>
      <c r="B88" s="104" t="s">
        <v>210</v>
      </c>
      <c r="C88" s="105">
        <v>2.0</v>
      </c>
      <c r="D88" s="106" t="s">
        <v>31</v>
      </c>
      <c r="E88" s="107">
        <v>0.0</v>
      </c>
      <c r="F88" s="108" t="s">
        <v>208</v>
      </c>
      <c r="G88" s="71"/>
      <c r="H88" s="97">
        <v>46196.0</v>
      </c>
      <c r="I88" s="98">
        <v>1.95833333333333</v>
      </c>
      <c r="J88" s="99"/>
      <c r="K88" s="132" t="s">
        <v>208</v>
      </c>
      <c r="L88" s="110">
        <v>0.0</v>
      </c>
      <c r="M88" s="110" t="str">
        <f t="array" ref="M88">N88-O88</f>
        <v>0</v>
      </c>
      <c r="N88" s="110">
        <v>0.0</v>
      </c>
      <c r="O88" s="110">
        <v>0.0</v>
      </c>
      <c r="P88" s="110">
        <v>0.0</v>
      </c>
      <c r="Q88" s="110">
        <v>0.0</v>
      </c>
      <c r="R88" s="111">
        <v>0.0</v>
      </c>
      <c r="S88" s="113"/>
      <c r="T88" s="103" t="str">
        <f t="array" ref="T88">IF(NOT(AND(ISNUMBER(C88),ISNUMBER(E88))),"XXX","")</f>
        <v/>
      </c>
      <c r="U88" s="19" t="str">
        <f t="shared" si="11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112" t="s">
        <v>217</v>
      </c>
      <c r="AD88" s="112" t="s">
        <v>218</v>
      </c>
      <c r="AE88" s="112" t="s">
        <v>219</v>
      </c>
      <c r="AF88" s="82" t="str">
        <f t="array" ref="AF88">IF(ISNUMBER(FIND("C",AC88,1)),SUBSTITUTE(AC88,"C","E"),SUBSTITUTE(AC88,"E","C"))</f>
        <v>C85</v>
      </c>
      <c r="AG88" s="82" t="str">
        <f t="array" ref="AG88">IF(ISNUMBER(FIND("C",AD88,1)),SUBSTITUTE(AD88,"C","E"),SUBSTITUTE(AD88,"E","C"))</f>
        <v>C88</v>
      </c>
      <c r="AH88" s="82" t="str">
        <f t="array" ref="AH88">IF(ISNUMBER(FIND("C",AE88,1)),SUBSTITUTE(AE88,"C","E"),SUBSTITUTE(AE88,"E","C"))</f>
        <v>E89</v>
      </c>
      <c r="AI88" s="83"/>
      <c r="AJ88" s="83"/>
      <c r="AK88" s="83"/>
      <c r="AL88" s="83"/>
      <c r="AM88" s="83"/>
      <c r="AN88" s="83"/>
      <c r="AO88" s="83"/>
      <c r="AP88" s="83"/>
      <c r="AQ88" s="83"/>
      <c r="AR88" s="84"/>
    </row>
    <row r="89" ht="12.75" customHeight="1">
      <c r="A89" s="69"/>
      <c r="B89" s="104" t="s">
        <v>208</v>
      </c>
      <c r="C89" s="105">
        <v>0.0</v>
      </c>
      <c r="D89" s="106" t="s">
        <v>31</v>
      </c>
      <c r="E89" s="107">
        <v>0.0</v>
      </c>
      <c r="F89" s="108" t="s">
        <v>209</v>
      </c>
      <c r="G89" s="71"/>
      <c r="H89" s="97">
        <v>46200.0</v>
      </c>
      <c r="I89" s="98">
        <v>1.85416666666667</v>
      </c>
      <c r="J89" s="99"/>
      <c r="K89" s="133" t="s">
        <v>209</v>
      </c>
      <c r="L89" s="115">
        <v>0.0</v>
      </c>
      <c r="M89" s="115" t="str">
        <f t="array" ref="M89">N89-O89</f>
        <v>0</v>
      </c>
      <c r="N89" s="115">
        <v>0.0</v>
      </c>
      <c r="O89" s="115">
        <v>0.0</v>
      </c>
      <c r="P89" s="115">
        <v>0.0</v>
      </c>
      <c r="Q89" s="115">
        <v>0.0</v>
      </c>
      <c r="R89" s="116">
        <v>0.0</v>
      </c>
      <c r="S89" s="113"/>
      <c r="T89" s="103" t="str">
        <f t="array" ref="T89">IF(NOT(AND(ISNUMBER(C89),ISNUMBER(E89))),"XXX","")</f>
        <v/>
      </c>
      <c r="U89" s="19" t="str">
        <f t="shared" si="11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112" t="s">
        <v>220</v>
      </c>
      <c r="AD89" s="112" t="s">
        <v>221</v>
      </c>
      <c r="AE89" s="112" t="s">
        <v>222</v>
      </c>
      <c r="AF89" s="82" t="str">
        <f t="array" ref="AF89">IF(ISNUMBER(FIND("C",AC89,1)),SUBSTITUTE(AC89,"C","E"),SUBSTITUTE(AC89,"E","C"))</f>
        <v>E86</v>
      </c>
      <c r="AG89" s="82" t="str">
        <f t="array" ref="AG89">IF(ISNUMBER(FIND("C",AD89,1)),SUBSTITUTE(AD89,"C","E"),SUBSTITUTE(AD89,"E","C"))</f>
        <v>C87</v>
      </c>
      <c r="AH89" s="82" t="str">
        <f t="array" ref="AH89">IF(ISNUMBER(FIND("C",AE89,1)),SUBSTITUTE(AE89,"C","E"),SUBSTITUTE(AE89,"E","C"))</f>
        <v>C89</v>
      </c>
      <c r="AI89" s="83"/>
      <c r="AJ89" s="83"/>
      <c r="AK89" s="83"/>
      <c r="AL89" s="83"/>
      <c r="AM89" s="83"/>
      <c r="AN89" s="83"/>
      <c r="AO89" s="83"/>
      <c r="AP89" s="83"/>
      <c r="AQ89" s="83"/>
      <c r="AR89" s="84"/>
    </row>
    <row r="90" ht="12.75" customHeight="1">
      <c r="A90" s="69"/>
      <c r="B90" s="117" t="s">
        <v>210</v>
      </c>
      <c r="C90" s="118">
        <v>1.0</v>
      </c>
      <c r="D90" s="119" t="s">
        <v>31</v>
      </c>
      <c r="E90" s="120">
        <v>2.0</v>
      </c>
      <c r="F90" s="121" t="s">
        <v>207</v>
      </c>
      <c r="G90" s="71"/>
      <c r="H90" s="122">
        <v>46200.0</v>
      </c>
      <c r="I90" s="123">
        <v>1.85416666666667</v>
      </c>
      <c r="J90" s="124"/>
      <c r="K90" s="130"/>
      <c r="L90" s="90"/>
      <c r="M90" s="90"/>
      <c r="N90" s="90"/>
      <c r="O90" s="90"/>
      <c r="P90" s="90"/>
      <c r="Q90" s="90"/>
      <c r="R90" s="90"/>
      <c r="S90" s="2"/>
      <c r="T90" s="103" t="str">
        <f t="array" ref="T90">IF(NOT(AND(ISNUMBER(C90),ISNUMBER(E90))),"XXX","")</f>
        <v/>
      </c>
      <c r="U90" s="19" t="str">
        <f t="shared" si="11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82"/>
      <c r="AD90" s="82"/>
      <c r="AE90" s="82"/>
      <c r="AF90" s="82"/>
      <c r="AG90" s="82"/>
      <c r="AH90" s="82"/>
      <c r="AI90" s="83"/>
      <c r="AJ90" s="83"/>
      <c r="AK90" s="83"/>
      <c r="AL90" s="83"/>
      <c r="AM90" s="83"/>
      <c r="AN90" s="83"/>
      <c r="AO90" s="83"/>
      <c r="AP90" s="83"/>
      <c r="AQ90" s="83"/>
      <c r="AR90" s="84"/>
    </row>
    <row r="91" ht="12.75" customHeight="1">
      <c r="A91" s="77"/>
      <c r="B91" s="126"/>
      <c r="C91" s="62"/>
      <c r="D91" s="62"/>
      <c r="E91" s="62"/>
      <c r="F91" s="62"/>
      <c r="G91" s="2"/>
      <c r="H91" s="62"/>
      <c r="I91" s="62"/>
      <c r="J91" s="2"/>
      <c r="K91" s="2"/>
      <c r="L91" s="2"/>
      <c r="M91" s="2"/>
      <c r="N91" s="2"/>
      <c r="O91" s="2"/>
      <c r="P91" s="2"/>
      <c r="Q91" s="2"/>
      <c r="R91" s="2"/>
      <c r="S91" s="2"/>
      <c r="T91" s="83"/>
      <c r="U91" s="2"/>
      <c r="V91" s="2"/>
      <c r="W91" s="2"/>
      <c r="X91" s="5"/>
      <c r="Y91" s="6"/>
      <c r="Z91" s="6"/>
      <c r="AA91" s="6"/>
      <c r="AB91" s="6"/>
      <c r="AC91" s="82"/>
      <c r="AD91" s="82"/>
      <c r="AE91" s="82"/>
      <c r="AF91" s="82"/>
      <c r="AG91" s="82"/>
      <c r="AH91" s="82"/>
      <c r="AI91" s="83"/>
      <c r="AJ91" s="83"/>
      <c r="AK91" s="83"/>
      <c r="AL91" s="83"/>
      <c r="AM91" s="83"/>
      <c r="AN91" s="83"/>
      <c r="AO91" s="83"/>
      <c r="AP91" s="83"/>
      <c r="AQ91" s="83"/>
      <c r="AR91" s="84"/>
    </row>
    <row r="92" ht="12.75" customHeight="1">
      <c r="A92" s="69"/>
      <c r="B92" s="85" t="s">
        <v>223</v>
      </c>
      <c r="C92" s="9"/>
      <c r="D92" s="9"/>
      <c r="E92" s="9"/>
      <c r="F92" s="10"/>
      <c r="G92" s="71"/>
      <c r="H92" s="86" t="s">
        <v>28</v>
      </c>
      <c r="I92" s="87" t="s">
        <v>29</v>
      </c>
      <c r="J92" s="88"/>
      <c r="K92" s="89"/>
      <c r="L92" s="89"/>
      <c r="M92" s="89"/>
      <c r="N92" s="89"/>
      <c r="O92" s="89"/>
      <c r="P92" s="89"/>
      <c r="Q92" s="89"/>
      <c r="R92" s="89"/>
      <c r="S92" s="2"/>
      <c r="T92" s="83"/>
      <c r="U92" s="19"/>
      <c r="V92" s="19"/>
      <c r="W92" s="19"/>
      <c r="X92" s="20"/>
      <c r="Y92" s="6"/>
      <c r="Z92" s="6"/>
      <c r="AA92" s="6"/>
      <c r="AB92" s="6"/>
      <c r="AC92" s="82"/>
      <c r="AD92" s="82"/>
      <c r="AE92" s="82"/>
      <c r="AF92" s="82"/>
      <c r="AG92" s="82"/>
      <c r="AH92" s="82"/>
      <c r="AI92" s="83"/>
      <c r="AJ92" s="83"/>
      <c r="AK92" s="83"/>
      <c r="AL92" s="83"/>
      <c r="AM92" s="83"/>
      <c r="AN92" s="83"/>
      <c r="AO92" s="83"/>
      <c r="AP92" s="83"/>
      <c r="AQ92" s="83"/>
      <c r="AR92" s="84"/>
    </row>
    <row r="93" ht="12.75" customHeight="1">
      <c r="A93" s="69"/>
      <c r="B93" s="92" t="s">
        <v>224</v>
      </c>
      <c r="C93" s="93">
        <v>1.0</v>
      </c>
      <c r="D93" s="94" t="s">
        <v>31</v>
      </c>
      <c r="E93" s="95">
        <v>2.0</v>
      </c>
      <c r="F93" s="131" t="s">
        <v>225</v>
      </c>
      <c r="G93" s="71"/>
      <c r="H93" s="97">
        <v>46190.0</v>
      </c>
      <c r="I93" s="98">
        <v>1.70833333333333</v>
      </c>
      <c r="J93" s="99"/>
      <c r="K93" s="100"/>
      <c r="L93" s="94" t="s">
        <v>33</v>
      </c>
      <c r="M93" s="94" t="s">
        <v>34</v>
      </c>
      <c r="N93" s="94" t="s">
        <v>35</v>
      </c>
      <c r="O93" s="94" t="s">
        <v>36</v>
      </c>
      <c r="P93" s="94" t="s">
        <v>37</v>
      </c>
      <c r="Q93" s="94" t="s">
        <v>38</v>
      </c>
      <c r="R93" s="101" t="s">
        <v>39</v>
      </c>
      <c r="S93" s="102"/>
      <c r="T93" s="103" t="str">
        <f t="array" ref="T93">IF(NOT(AND(ISNUMBER(C93),ISNUMBER(E93))),"XXX","")</f>
        <v/>
      </c>
      <c r="U93" s="19" t="str">
        <f t="shared" ref="U93:U98" si="12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82"/>
      <c r="AD93" s="82"/>
      <c r="AE93" s="82"/>
      <c r="AF93" s="82"/>
      <c r="AG93" s="82"/>
      <c r="AH93" s="82"/>
      <c r="AI93" s="83"/>
      <c r="AJ93" s="83"/>
      <c r="AK93" s="83"/>
      <c r="AL93" s="83"/>
      <c r="AM93" s="83"/>
      <c r="AN93" s="83"/>
      <c r="AO93" s="83"/>
      <c r="AP93" s="83"/>
      <c r="AQ93" s="83"/>
      <c r="AR93" s="84"/>
    </row>
    <row r="94" ht="12.75" customHeight="1">
      <c r="A94" s="69"/>
      <c r="B94" s="104" t="s">
        <v>226</v>
      </c>
      <c r="C94" s="105">
        <v>4.0</v>
      </c>
      <c r="D94" s="106" t="s">
        <v>31</v>
      </c>
      <c r="E94" s="107">
        <v>0.0</v>
      </c>
      <c r="F94" s="108" t="s">
        <v>227</v>
      </c>
      <c r="G94" s="71"/>
      <c r="H94" s="97">
        <v>46190.0</v>
      </c>
      <c r="I94" s="98">
        <v>1.83333333333333</v>
      </c>
      <c r="J94" s="99"/>
      <c r="K94" s="132" t="s">
        <v>225</v>
      </c>
      <c r="L94" s="110">
        <v>0.0</v>
      </c>
      <c r="M94" s="110" t="str">
        <f t="array" ref="M94">N94-O94</f>
        <v>0</v>
      </c>
      <c r="N94" s="110">
        <v>0.0</v>
      </c>
      <c r="O94" s="110">
        <v>0.0</v>
      </c>
      <c r="P94" s="110">
        <v>0.0</v>
      </c>
      <c r="Q94" s="110">
        <v>0.0</v>
      </c>
      <c r="R94" s="111">
        <v>0.0</v>
      </c>
      <c r="S94" s="102"/>
      <c r="T94" s="103" t="str">
        <f t="array" ref="T94">IF(NOT(AND(ISNUMBER(C94),ISNUMBER(E94))),"XXX","")</f>
        <v/>
      </c>
      <c r="U94" s="19" t="str">
        <f t="shared" si="12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112" t="s">
        <v>228</v>
      </c>
      <c r="AD94" s="112" t="s">
        <v>229</v>
      </c>
      <c r="AE94" s="112" t="s">
        <v>230</v>
      </c>
      <c r="AF94" s="82" t="str">
        <f t="array" ref="AF94">IF(ISNUMBER(FIND("C",AC94,1)),SUBSTITUTE(AC94,"C","E"),SUBSTITUTE(AC94,"E","C"))</f>
        <v>C93</v>
      </c>
      <c r="AG94" s="82" t="str">
        <f t="array" ref="AG94">IF(ISNUMBER(FIND("C",AD94,1)),SUBSTITUTE(AD94,"C","E"),SUBSTITUTE(AD94,"E","C"))</f>
        <v>C96</v>
      </c>
      <c r="AH94" s="82" t="str">
        <f t="array" ref="AH94">IF(ISNUMBER(FIND("C",AE94,1)),SUBSTITUTE(AE94,"C","E"),SUBSTITUTE(AE94,"E","C"))</f>
        <v>E97</v>
      </c>
      <c r="AI94" s="83"/>
      <c r="AJ94" s="83"/>
      <c r="AK94" s="83"/>
      <c r="AL94" s="83"/>
      <c r="AM94" s="83"/>
      <c r="AN94" s="83"/>
      <c r="AO94" s="83"/>
      <c r="AP94" s="83"/>
      <c r="AQ94" s="83"/>
      <c r="AR94" s="84"/>
    </row>
    <row r="95" ht="12.75" customHeight="1">
      <c r="A95" s="69"/>
      <c r="B95" s="104" t="s">
        <v>224</v>
      </c>
      <c r="C95" s="105">
        <v>2.0</v>
      </c>
      <c r="D95" s="106" t="s">
        <v>31</v>
      </c>
      <c r="E95" s="107">
        <v>2.0</v>
      </c>
      <c r="F95" s="108" t="s">
        <v>226</v>
      </c>
      <c r="G95" s="71"/>
      <c r="H95" s="97">
        <v>46196.0</v>
      </c>
      <c r="I95" s="98">
        <v>1.70833333333333</v>
      </c>
      <c r="J95" s="99"/>
      <c r="K95" s="132" t="s">
        <v>226</v>
      </c>
      <c r="L95" s="110">
        <v>0.0</v>
      </c>
      <c r="M95" s="110" t="str">
        <f t="array" ref="M95">N95-O95</f>
        <v>0</v>
      </c>
      <c r="N95" s="110">
        <v>0.0</v>
      </c>
      <c r="O95" s="110">
        <v>0.0</v>
      </c>
      <c r="P95" s="110">
        <v>0.0</v>
      </c>
      <c r="Q95" s="110">
        <v>0.0</v>
      </c>
      <c r="R95" s="111">
        <v>0.0</v>
      </c>
      <c r="S95" s="113"/>
      <c r="T95" s="103" t="str">
        <f t="array" ref="T95">IF(NOT(AND(ISNUMBER(C95),ISNUMBER(E95))),"XXX","")</f>
        <v/>
      </c>
      <c r="U95" s="19" t="str">
        <f t="shared" si="12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112" t="s">
        <v>231</v>
      </c>
      <c r="AD95" s="112" t="s">
        <v>232</v>
      </c>
      <c r="AE95" s="112" t="s">
        <v>233</v>
      </c>
      <c r="AF95" s="82" t="str">
        <f t="array" ref="AF95">IF(ISNUMBER(FIND("C",AC95,1)),SUBSTITUTE(AC95,"C","E"),SUBSTITUTE(AC95,"E","C"))</f>
        <v>E94</v>
      </c>
      <c r="AG95" s="82" t="str">
        <f t="array" ref="AG95">IF(ISNUMBER(FIND("C",AD95,1)),SUBSTITUTE(AD95,"C","E"),SUBSTITUTE(AD95,"E","C"))</f>
        <v>C95</v>
      </c>
      <c r="AH95" s="82" t="str">
        <f t="array" ref="AH95">IF(ISNUMBER(FIND("C",AE95,1)),SUBSTITUTE(AE95,"C","E"),SUBSTITUTE(AE95,"E","C"))</f>
        <v>C97</v>
      </c>
      <c r="AI95" s="83"/>
      <c r="AJ95" s="83"/>
      <c r="AK95" s="83"/>
      <c r="AL95" s="83"/>
      <c r="AM95" s="83"/>
      <c r="AN95" s="83"/>
      <c r="AO95" s="83"/>
      <c r="AP95" s="83"/>
      <c r="AQ95" s="83"/>
      <c r="AR95" s="84"/>
    </row>
    <row r="96" ht="12.75" customHeight="1">
      <c r="A96" s="69"/>
      <c r="B96" s="104" t="s">
        <v>227</v>
      </c>
      <c r="C96" s="105">
        <v>1.0</v>
      </c>
      <c r="D96" s="106" t="s">
        <v>31</v>
      </c>
      <c r="E96" s="107">
        <v>3.0</v>
      </c>
      <c r="F96" s="108" t="s">
        <v>225</v>
      </c>
      <c r="G96" s="71"/>
      <c r="H96" s="97">
        <v>46196.0</v>
      </c>
      <c r="I96" s="98">
        <v>1.83333333333333</v>
      </c>
      <c r="J96" s="99"/>
      <c r="K96" s="132" t="s">
        <v>224</v>
      </c>
      <c r="L96" s="110">
        <v>0.0</v>
      </c>
      <c r="M96" s="110" t="str">
        <f t="array" ref="M96">N96-O96</f>
        <v>0</v>
      </c>
      <c r="N96" s="110">
        <v>0.0</v>
      </c>
      <c r="O96" s="110">
        <v>0.0</v>
      </c>
      <c r="P96" s="110">
        <v>0.0</v>
      </c>
      <c r="Q96" s="110">
        <v>0.0</v>
      </c>
      <c r="R96" s="111">
        <v>0.0</v>
      </c>
      <c r="S96" s="113"/>
      <c r="T96" s="103" t="str">
        <f t="array" ref="T96">IF(NOT(AND(ISNUMBER(C96),ISNUMBER(E96))),"XXX","")</f>
        <v/>
      </c>
      <c r="U96" s="19" t="str">
        <f t="shared" si="12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112" t="s">
        <v>234</v>
      </c>
      <c r="AD96" s="112" t="s">
        <v>235</v>
      </c>
      <c r="AE96" s="112" t="s">
        <v>236</v>
      </c>
      <c r="AF96" s="82" t="str">
        <f t="array" ref="AF96">IF(ISNUMBER(FIND("C",AC96,1)),SUBSTITUTE(AC96,"C","E"),SUBSTITUTE(AC96,"E","C"))</f>
        <v>E93</v>
      </c>
      <c r="AG96" s="82" t="str">
        <f t="array" ref="AG96">IF(ISNUMBER(FIND("C",AD96,1)),SUBSTITUTE(AD96,"C","E"),SUBSTITUTE(AD96,"E","C"))</f>
        <v>E95</v>
      </c>
      <c r="AH96" s="82" t="str">
        <f t="array" ref="AH96">IF(ISNUMBER(FIND("C",AE96,1)),SUBSTITUTE(AE96,"C","E"),SUBSTITUTE(AE96,"E","C"))</f>
        <v>C98</v>
      </c>
      <c r="AI96" s="83"/>
      <c r="AJ96" s="83"/>
      <c r="AK96" s="83"/>
      <c r="AL96" s="83"/>
      <c r="AM96" s="83"/>
      <c r="AN96" s="83"/>
      <c r="AO96" s="83"/>
      <c r="AP96" s="83"/>
      <c r="AQ96" s="83"/>
      <c r="AR96" s="84"/>
    </row>
    <row r="97" ht="12.75" customHeight="1">
      <c r="A97" s="69"/>
      <c r="B97" s="104" t="s">
        <v>225</v>
      </c>
      <c r="C97" s="105">
        <v>1.0</v>
      </c>
      <c r="D97" s="106" t="s">
        <v>31</v>
      </c>
      <c r="E97" s="107">
        <v>2.0</v>
      </c>
      <c r="F97" s="108" t="s">
        <v>226</v>
      </c>
      <c r="G97" s="71"/>
      <c r="H97" s="97">
        <v>46200.0</v>
      </c>
      <c r="I97" s="98">
        <v>1.75</v>
      </c>
      <c r="J97" s="99"/>
      <c r="K97" s="133" t="s">
        <v>227</v>
      </c>
      <c r="L97" s="115">
        <v>0.0</v>
      </c>
      <c r="M97" s="115" t="str">
        <f t="array" ref="M97">N97-O97</f>
        <v>0</v>
      </c>
      <c r="N97" s="115">
        <v>0.0</v>
      </c>
      <c r="O97" s="115">
        <v>0.0</v>
      </c>
      <c r="P97" s="115">
        <v>0.0</v>
      </c>
      <c r="Q97" s="115">
        <v>0.0</v>
      </c>
      <c r="R97" s="116">
        <v>0.0</v>
      </c>
      <c r="S97" s="113"/>
      <c r="T97" s="103" t="str">
        <f t="array" ref="T97">IF(NOT(AND(ISNUMBER(C97),ISNUMBER(E97))),"XXX","")</f>
        <v/>
      </c>
      <c r="U97" s="19" t="str">
        <f t="shared" si="12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112" t="s">
        <v>237</v>
      </c>
      <c r="AD97" s="112" t="s">
        <v>238</v>
      </c>
      <c r="AE97" s="112" t="s">
        <v>239</v>
      </c>
      <c r="AF97" s="82" t="str">
        <f t="array" ref="AF97">IF(ISNUMBER(FIND("C",AC97,1)),SUBSTITUTE(AC97,"C","E"),SUBSTITUTE(AC97,"E","C"))</f>
        <v>C94</v>
      </c>
      <c r="AG97" s="82" t="str">
        <f t="array" ref="AG97">IF(ISNUMBER(FIND("C",AD97,1)),SUBSTITUTE(AD97,"C","E"),SUBSTITUTE(AD97,"E","C"))</f>
        <v>E96</v>
      </c>
      <c r="AH97" s="82" t="str">
        <f t="array" ref="AH97">IF(ISNUMBER(FIND("C",AE97,1)),SUBSTITUTE(AE97,"C","E"),SUBSTITUTE(AE97,"E","C"))</f>
        <v>E98</v>
      </c>
      <c r="AI97" s="83"/>
      <c r="AJ97" s="83"/>
      <c r="AK97" s="83"/>
      <c r="AL97" s="83"/>
      <c r="AM97" s="83"/>
      <c r="AN97" s="83"/>
      <c r="AO97" s="83"/>
      <c r="AP97" s="83"/>
      <c r="AQ97" s="83"/>
      <c r="AR97" s="84"/>
    </row>
    <row r="98" ht="12.75" customHeight="1">
      <c r="A98" s="69"/>
      <c r="B98" s="117" t="s">
        <v>227</v>
      </c>
      <c r="C98" s="118">
        <v>0.0</v>
      </c>
      <c r="D98" s="119" t="s">
        <v>31</v>
      </c>
      <c r="E98" s="120">
        <v>3.0</v>
      </c>
      <c r="F98" s="121" t="s">
        <v>224</v>
      </c>
      <c r="G98" s="71"/>
      <c r="H98" s="122">
        <v>46200.0</v>
      </c>
      <c r="I98" s="123">
        <v>1.75</v>
      </c>
      <c r="J98" s="124"/>
      <c r="K98" s="130"/>
      <c r="L98" s="90"/>
      <c r="M98" s="90"/>
      <c r="N98" s="90"/>
      <c r="O98" s="90"/>
      <c r="P98" s="90"/>
      <c r="Q98" s="90"/>
      <c r="R98" s="90"/>
      <c r="S98" s="2"/>
      <c r="T98" s="103" t="str">
        <f t="array" ref="T98">IF(NOT(AND(ISNUMBER(C98),ISNUMBER(E98))),"XXX","")</f>
        <v/>
      </c>
      <c r="U98" s="19" t="str">
        <f t="shared" si="12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82"/>
      <c r="AD98" s="82"/>
      <c r="AE98" s="82"/>
      <c r="AF98" s="82"/>
      <c r="AG98" s="82"/>
      <c r="AH98" s="82"/>
      <c r="AI98" s="83"/>
      <c r="AJ98" s="83"/>
      <c r="AK98" s="83"/>
      <c r="AL98" s="83"/>
      <c r="AM98" s="83"/>
      <c r="AN98" s="83"/>
      <c r="AO98" s="83"/>
      <c r="AP98" s="83"/>
      <c r="AQ98" s="83"/>
      <c r="AR98" s="84"/>
    </row>
    <row r="99" ht="12.75" customHeight="1">
      <c r="A99" s="77"/>
      <c r="B99" s="90"/>
      <c r="C99" s="90"/>
      <c r="D99" s="90"/>
      <c r="E99" s="90"/>
      <c r="F99" s="90"/>
      <c r="G99" s="83"/>
      <c r="H99" s="90"/>
      <c r="I99" s="90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3"/>
      <c r="AJ99" s="83"/>
      <c r="AK99" s="83"/>
      <c r="AL99" s="83"/>
      <c r="AM99" s="83"/>
      <c r="AN99" s="83"/>
      <c r="AO99" s="83"/>
      <c r="AP99" s="83"/>
      <c r="AQ99" s="83"/>
      <c r="AR99" s="84"/>
    </row>
    <row r="100" ht="12.75" customHeight="1">
      <c r="A100" s="77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3"/>
      <c r="AJ100" s="83"/>
      <c r="AK100" s="83"/>
      <c r="AL100" s="83"/>
      <c r="AM100" s="83"/>
      <c r="AN100" s="83"/>
      <c r="AO100" s="83"/>
      <c r="AP100" s="83"/>
      <c r="AQ100" s="83"/>
      <c r="AR100" s="84"/>
    </row>
    <row r="101" ht="13.5" customHeight="1">
      <c r="A101" s="77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2"/>
      <c r="AJ101" s="2"/>
      <c r="AK101" s="2"/>
      <c r="AL101" s="2"/>
      <c r="AM101" s="2"/>
      <c r="AN101" s="2"/>
      <c r="AO101" s="2"/>
      <c r="AP101" s="2"/>
      <c r="AQ101" s="2"/>
      <c r="AR101" s="76"/>
    </row>
    <row r="102" ht="12.75" customHeight="1">
      <c r="A102" s="77"/>
      <c r="B102" s="83"/>
      <c r="C102" s="83"/>
      <c r="D102" s="83"/>
      <c r="E102" s="83"/>
      <c r="F102" s="83"/>
      <c r="G102" s="83"/>
      <c r="H102" s="134"/>
      <c r="I102" s="134"/>
      <c r="J102" s="134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110"/>
      <c r="V102" s="110"/>
      <c r="W102" s="110"/>
      <c r="X102" s="110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3"/>
      <c r="AJ102" s="83"/>
      <c r="AK102" s="83"/>
      <c r="AL102" s="83"/>
      <c r="AM102" s="83"/>
      <c r="AN102" s="83"/>
      <c r="AO102" s="83"/>
      <c r="AP102" s="83"/>
      <c r="AQ102" s="83"/>
      <c r="AR102" s="84"/>
    </row>
    <row r="103" ht="12.75" customHeight="1">
      <c r="A103" s="77"/>
      <c r="B103" s="83"/>
      <c r="C103" s="83"/>
      <c r="D103" s="83"/>
      <c r="E103" s="83"/>
      <c r="F103" s="83"/>
      <c r="G103" s="83"/>
      <c r="H103" s="134"/>
      <c r="I103" s="134"/>
      <c r="J103" s="134"/>
      <c r="K103" s="83"/>
      <c r="L103" s="135"/>
      <c r="M103" s="135"/>
      <c r="N103" s="135"/>
      <c r="O103" s="135"/>
      <c r="P103" s="135"/>
      <c r="Q103" s="135"/>
      <c r="R103" s="135"/>
      <c r="S103" s="83"/>
      <c r="T103" s="83"/>
      <c r="U103" s="110"/>
      <c r="V103" s="110"/>
      <c r="W103" s="110"/>
      <c r="X103" s="110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3"/>
      <c r="AJ103" s="83"/>
      <c r="AK103" s="83"/>
      <c r="AL103" s="83"/>
      <c r="AM103" s="83"/>
      <c r="AN103" s="83"/>
      <c r="AO103" s="83"/>
      <c r="AP103" s="83"/>
      <c r="AQ103" s="83"/>
      <c r="AR103" s="84"/>
    </row>
    <row r="104" ht="12.75" customHeight="1">
      <c r="A104" s="77"/>
      <c r="B104" s="83"/>
      <c r="C104" s="83"/>
      <c r="D104" s="83"/>
      <c r="E104" s="83"/>
      <c r="F104" s="83"/>
      <c r="G104" s="83"/>
      <c r="H104" s="134"/>
      <c r="I104" s="134"/>
      <c r="J104" s="134"/>
      <c r="K104" s="83"/>
      <c r="L104" s="135"/>
      <c r="M104" s="135"/>
      <c r="N104" s="135"/>
      <c r="O104" s="135"/>
      <c r="P104" s="135"/>
      <c r="Q104" s="135"/>
      <c r="R104" s="135"/>
      <c r="S104" s="83"/>
      <c r="T104" s="83"/>
      <c r="U104" s="110"/>
      <c r="V104" s="110"/>
      <c r="W104" s="110"/>
      <c r="X104" s="110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3"/>
      <c r="AJ104" s="83"/>
      <c r="AK104" s="83"/>
      <c r="AL104" s="83"/>
      <c r="AM104" s="83"/>
      <c r="AN104" s="83"/>
      <c r="AO104" s="83"/>
      <c r="AP104" s="83"/>
      <c r="AQ104" s="83"/>
      <c r="AR104" s="84"/>
    </row>
    <row r="105" ht="12.75" customHeight="1">
      <c r="A105" s="77"/>
      <c r="B105" s="83"/>
      <c r="C105" s="83"/>
      <c r="D105" s="83"/>
      <c r="E105" s="83"/>
      <c r="F105" s="83"/>
      <c r="G105" s="83"/>
      <c r="H105" s="134"/>
      <c r="I105" s="134"/>
      <c r="J105" s="134"/>
      <c r="K105" s="83"/>
      <c r="L105" s="135"/>
      <c r="M105" s="135"/>
      <c r="N105" s="135"/>
      <c r="O105" s="135"/>
      <c r="P105" s="135"/>
      <c r="Q105" s="135"/>
      <c r="R105" s="135"/>
      <c r="S105" s="83"/>
      <c r="T105" s="83"/>
      <c r="U105" s="110"/>
      <c r="V105" s="110"/>
      <c r="W105" s="110"/>
      <c r="X105" s="110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3"/>
      <c r="AJ105" s="83"/>
      <c r="AK105" s="83"/>
      <c r="AL105" s="83"/>
      <c r="AM105" s="83"/>
      <c r="AN105" s="83"/>
      <c r="AO105" s="83"/>
      <c r="AP105" s="83"/>
      <c r="AQ105" s="83"/>
      <c r="AR105" s="84"/>
    </row>
    <row r="106" ht="12.75" customHeight="1">
      <c r="A106" s="77"/>
      <c r="B106" s="83"/>
      <c r="C106" s="83"/>
      <c r="D106" s="83"/>
      <c r="E106" s="83"/>
      <c r="F106" s="83"/>
      <c r="G106" s="83"/>
      <c r="H106" s="134"/>
      <c r="I106" s="134"/>
      <c r="J106" s="134"/>
      <c r="K106" s="83"/>
      <c r="L106" s="135"/>
      <c r="M106" s="135"/>
      <c r="N106" s="135"/>
      <c r="O106" s="135"/>
      <c r="P106" s="135"/>
      <c r="Q106" s="135"/>
      <c r="R106" s="135"/>
      <c r="S106" s="83"/>
      <c r="T106" s="83"/>
      <c r="U106" s="110"/>
      <c r="V106" s="110"/>
      <c r="W106" s="110"/>
      <c r="X106" s="110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3"/>
      <c r="AJ106" s="83"/>
      <c r="AK106" s="83"/>
      <c r="AL106" s="83"/>
      <c r="AM106" s="83"/>
      <c r="AN106" s="83"/>
      <c r="AO106" s="83"/>
      <c r="AP106" s="83"/>
      <c r="AQ106" s="83"/>
      <c r="AR106" s="84"/>
    </row>
    <row r="107" ht="12.75" customHeight="1">
      <c r="A107" s="77"/>
      <c r="B107" s="83"/>
      <c r="C107" s="83"/>
      <c r="D107" s="83"/>
      <c r="E107" s="83"/>
      <c r="F107" s="83"/>
      <c r="G107" s="83"/>
      <c r="H107" s="134"/>
      <c r="I107" s="134"/>
      <c r="J107" s="134"/>
      <c r="K107" s="83"/>
      <c r="L107" s="135"/>
      <c r="M107" s="135"/>
      <c r="N107" s="135"/>
      <c r="O107" s="135"/>
      <c r="P107" s="135"/>
      <c r="Q107" s="135"/>
      <c r="R107" s="135"/>
      <c r="S107" s="83"/>
      <c r="T107" s="83"/>
      <c r="U107" s="110"/>
      <c r="V107" s="110"/>
      <c r="W107" s="110"/>
      <c r="X107" s="110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3"/>
      <c r="AJ107" s="83"/>
      <c r="AK107" s="83"/>
      <c r="AL107" s="83"/>
      <c r="AM107" s="83"/>
      <c r="AN107" s="83"/>
      <c r="AO107" s="83"/>
      <c r="AP107" s="83"/>
      <c r="AQ107" s="83"/>
      <c r="AR107" s="84"/>
    </row>
    <row r="108" ht="12.75" customHeight="1">
      <c r="A108" s="77"/>
      <c r="B108" s="83"/>
      <c r="C108" s="83"/>
      <c r="D108" s="83"/>
      <c r="E108" s="83"/>
      <c r="F108" s="83"/>
      <c r="G108" s="83"/>
      <c r="H108" s="134"/>
      <c r="I108" s="134"/>
      <c r="J108" s="134"/>
      <c r="K108" s="83"/>
      <c r="L108" s="135"/>
      <c r="M108" s="135"/>
      <c r="N108" s="135"/>
      <c r="O108" s="135"/>
      <c r="P108" s="135"/>
      <c r="Q108" s="135"/>
      <c r="R108" s="135"/>
      <c r="S108" s="83"/>
      <c r="T108" s="83"/>
      <c r="U108" s="110"/>
      <c r="V108" s="110"/>
      <c r="W108" s="110"/>
      <c r="X108" s="110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3"/>
      <c r="AJ108" s="83"/>
      <c r="AK108" s="83"/>
      <c r="AL108" s="83"/>
      <c r="AM108" s="83"/>
      <c r="AN108" s="83"/>
      <c r="AO108" s="83"/>
      <c r="AP108" s="83"/>
      <c r="AQ108" s="83"/>
      <c r="AR108" s="84"/>
    </row>
    <row r="109" ht="12.75" customHeight="1">
      <c r="A109" s="77"/>
      <c r="B109" s="83"/>
      <c r="C109" s="83"/>
      <c r="D109" s="83"/>
      <c r="E109" s="83"/>
      <c r="F109" s="83"/>
      <c r="G109" s="83"/>
      <c r="H109" s="134"/>
      <c r="I109" s="134"/>
      <c r="J109" s="134"/>
      <c r="K109" s="83"/>
      <c r="L109" s="135"/>
      <c r="M109" s="135"/>
      <c r="N109" s="135"/>
      <c r="O109" s="135"/>
      <c r="P109" s="135"/>
      <c r="Q109" s="135"/>
      <c r="R109" s="135"/>
      <c r="S109" s="83"/>
      <c r="T109" s="83"/>
      <c r="U109" s="110"/>
      <c r="V109" s="110"/>
      <c r="W109" s="110"/>
      <c r="X109" s="110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3"/>
      <c r="AJ109" s="83"/>
      <c r="AK109" s="83"/>
      <c r="AL109" s="83"/>
      <c r="AM109" s="83"/>
      <c r="AN109" s="83"/>
      <c r="AO109" s="83"/>
      <c r="AP109" s="83"/>
      <c r="AQ109" s="83"/>
      <c r="AR109" s="84"/>
    </row>
    <row r="110" ht="12.75" customHeight="1">
      <c r="A110" s="77"/>
      <c r="B110" s="83"/>
      <c r="C110" s="83"/>
      <c r="D110" s="83"/>
      <c r="E110" s="83"/>
      <c r="F110" s="83"/>
      <c r="G110" s="83"/>
      <c r="H110" s="134"/>
      <c r="I110" s="134"/>
      <c r="J110" s="134"/>
      <c r="K110" s="83"/>
      <c r="L110" s="135"/>
      <c r="M110" s="135"/>
      <c r="N110" s="135"/>
      <c r="O110" s="135"/>
      <c r="P110" s="135"/>
      <c r="Q110" s="135"/>
      <c r="R110" s="135"/>
      <c r="S110" s="83"/>
      <c r="T110" s="83"/>
      <c r="U110" s="110"/>
      <c r="V110" s="110"/>
      <c r="W110" s="110"/>
      <c r="X110" s="110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3"/>
      <c r="AJ110" s="83"/>
      <c r="AK110" s="83"/>
      <c r="AL110" s="83"/>
      <c r="AM110" s="83"/>
      <c r="AN110" s="83"/>
      <c r="AO110" s="83"/>
      <c r="AP110" s="83"/>
      <c r="AQ110" s="83"/>
      <c r="AR110" s="84"/>
    </row>
    <row r="111" ht="12.75" customHeight="1">
      <c r="A111" s="77"/>
      <c r="B111" s="83"/>
      <c r="C111" s="83"/>
      <c r="D111" s="83"/>
      <c r="E111" s="83"/>
      <c r="F111" s="83"/>
      <c r="G111" s="83"/>
      <c r="H111" s="134"/>
      <c r="I111" s="134"/>
      <c r="J111" s="134"/>
      <c r="K111" s="83"/>
      <c r="L111" s="135"/>
      <c r="M111" s="135"/>
      <c r="N111" s="135"/>
      <c r="O111" s="135"/>
      <c r="P111" s="135"/>
      <c r="Q111" s="135"/>
      <c r="R111" s="135"/>
      <c r="S111" s="83"/>
      <c r="T111" s="83"/>
      <c r="U111" s="110"/>
      <c r="V111" s="110"/>
      <c r="W111" s="110"/>
      <c r="X111" s="110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3"/>
      <c r="AJ111" s="83"/>
      <c r="AK111" s="83"/>
      <c r="AL111" s="83"/>
      <c r="AM111" s="83"/>
      <c r="AN111" s="83"/>
      <c r="AO111" s="83"/>
      <c r="AP111" s="83"/>
      <c r="AQ111" s="83"/>
      <c r="AR111" s="84"/>
    </row>
    <row r="112" ht="12.75" customHeight="1">
      <c r="A112" s="77"/>
      <c r="B112" s="83"/>
      <c r="C112" s="83"/>
      <c r="D112" s="83"/>
      <c r="E112" s="83"/>
      <c r="F112" s="83"/>
      <c r="G112" s="83"/>
      <c r="H112" s="134"/>
      <c r="I112" s="134"/>
      <c r="J112" s="134"/>
      <c r="K112" s="83"/>
      <c r="L112" s="135"/>
      <c r="M112" s="135"/>
      <c r="N112" s="135"/>
      <c r="O112" s="135"/>
      <c r="P112" s="135"/>
      <c r="Q112" s="135"/>
      <c r="R112" s="135"/>
      <c r="S112" s="83"/>
      <c r="T112" s="83"/>
      <c r="U112" s="110"/>
      <c r="V112" s="110"/>
      <c r="W112" s="110"/>
      <c r="X112" s="110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3"/>
      <c r="AJ112" s="83"/>
      <c r="AK112" s="83"/>
      <c r="AL112" s="83"/>
      <c r="AM112" s="83"/>
      <c r="AN112" s="83"/>
      <c r="AO112" s="83"/>
      <c r="AP112" s="83"/>
      <c r="AQ112" s="83"/>
      <c r="AR112" s="84"/>
    </row>
    <row r="113" ht="12.75" customHeight="1">
      <c r="A113" s="77"/>
      <c r="B113" s="83"/>
      <c r="C113" s="83"/>
      <c r="D113" s="83"/>
      <c r="E113" s="83"/>
      <c r="F113" s="83"/>
      <c r="G113" s="83"/>
      <c r="H113" s="134"/>
      <c r="I113" s="134"/>
      <c r="J113" s="134"/>
      <c r="K113" s="83"/>
      <c r="L113" s="135"/>
      <c r="M113" s="135"/>
      <c r="N113" s="135"/>
      <c r="O113" s="135"/>
      <c r="P113" s="135"/>
      <c r="Q113" s="135"/>
      <c r="R113" s="135"/>
      <c r="S113" s="83"/>
      <c r="T113" s="83"/>
      <c r="U113" s="110"/>
      <c r="V113" s="110"/>
      <c r="W113" s="110"/>
      <c r="X113" s="110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3"/>
      <c r="AJ113" s="83"/>
      <c r="AK113" s="83"/>
      <c r="AL113" s="83"/>
      <c r="AM113" s="83"/>
      <c r="AN113" s="83"/>
      <c r="AO113" s="83"/>
      <c r="AP113" s="83"/>
      <c r="AQ113" s="83"/>
      <c r="AR113" s="84"/>
    </row>
    <row r="114" ht="12.75" customHeight="1">
      <c r="A114" s="77"/>
      <c r="B114" s="83"/>
      <c r="C114" s="83"/>
      <c r="D114" s="83"/>
      <c r="E114" s="83"/>
      <c r="F114" s="83"/>
      <c r="G114" s="83"/>
      <c r="H114" s="134"/>
      <c r="I114" s="134"/>
      <c r="J114" s="134"/>
      <c r="K114" s="83"/>
      <c r="L114" s="135"/>
      <c r="M114" s="135"/>
      <c r="N114" s="135"/>
      <c r="O114" s="135"/>
      <c r="P114" s="135"/>
      <c r="Q114" s="135"/>
      <c r="R114" s="135"/>
      <c r="S114" s="83"/>
      <c r="T114" s="83"/>
      <c r="U114" s="110"/>
      <c r="V114" s="110"/>
      <c r="W114" s="110"/>
      <c r="X114" s="110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3"/>
      <c r="AJ114" s="83"/>
      <c r="AK114" s="83"/>
      <c r="AL114" s="83"/>
      <c r="AM114" s="83"/>
      <c r="AN114" s="83"/>
      <c r="AO114" s="83"/>
      <c r="AP114" s="83"/>
      <c r="AQ114" s="83"/>
      <c r="AR114" s="84"/>
    </row>
    <row r="115" ht="12.75" customHeight="1">
      <c r="A115" s="77"/>
      <c r="B115" s="83"/>
      <c r="C115" s="83"/>
      <c r="D115" s="83"/>
      <c r="E115" s="83"/>
      <c r="F115" s="83"/>
      <c r="G115" s="83"/>
      <c r="H115" s="134"/>
      <c r="I115" s="134"/>
      <c r="J115" s="134"/>
      <c r="K115" s="83"/>
      <c r="L115" s="135"/>
      <c r="M115" s="135"/>
      <c r="N115" s="135"/>
      <c r="O115" s="135"/>
      <c r="P115" s="135"/>
      <c r="Q115" s="135"/>
      <c r="R115" s="135"/>
      <c r="S115" s="83"/>
      <c r="T115" s="83"/>
      <c r="U115" s="110"/>
      <c r="V115" s="110"/>
      <c r="W115" s="110"/>
      <c r="X115" s="110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3"/>
      <c r="AJ115" s="83"/>
      <c r="AK115" s="83"/>
      <c r="AL115" s="83"/>
      <c r="AM115" s="83"/>
      <c r="AN115" s="83"/>
      <c r="AO115" s="83"/>
      <c r="AP115" s="83"/>
      <c r="AQ115" s="83"/>
      <c r="AR115" s="84"/>
    </row>
    <row r="116" ht="12.75" customHeight="1">
      <c r="A116" s="77"/>
      <c r="B116" s="83"/>
      <c r="C116" s="83"/>
      <c r="D116" s="83"/>
      <c r="E116" s="83"/>
      <c r="F116" s="83"/>
      <c r="G116" s="83"/>
      <c r="H116" s="134"/>
      <c r="I116" s="134"/>
      <c r="J116" s="134"/>
      <c r="K116" s="83"/>
      <c r="L116" s="135"/>
      <c r="M116" s="135"/>
      <c r="N116" s="135"/>
      <c r="O116" s="135"/>
      <c r="P116" s="135"/>
      <c r="Q116" s="135"/>
      <c r="R116" s="135"/>
      <c r="S116" s="83"/>
      <c r="T116" s="83"/>
      <c r="U116" s="110"/>
      <c r="V116" s="110"/>
      <c r="W116" s="110"/>
      <c r="X116" s="110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3"/>
      <c r="AJ116" s="83"/>
      <c r="AK116" s="83"/>
      <c r="AL116" s="83"/>
      <c r="AM116" s="83"/>
      <c r="AN116" s="83"/>
      <c r="AO116" s="83"/>
      <c r="AP116" s="83"/>
      <c r="AQ116" s="83"/>
      <c r="AR116" s="84"/>
    </row>
    <row r="117" ht="12.75" customHeight="1">
      <c r="A117" s="77"/>
      <c r="B117" s="83"/>
      <c r="C117" s="83"/>
      <c r="D117" s="83"/>
      <c r="E117" s="83"/>
      <c r="F117" s="83"/>
      <c r="G117" s="83"/>
      <c r="H117" s="134"/>
      <c r="I117" s="134"/>
      <c r="J117" s="134"/>
      <c r="K117" s="83"/>
      <c r="L117" s="135"/>
      <c r="M117" s="135"/>
      <c r="N117" s="135"/>
      <c r="O117" s="135"/>
      <c r="P117" s="135"/>
      <c r="Q117" s="135"/>
      <c r="R117" s="135"/>
      <c r="S117" s="83"/>
      <c r="T117" s="83"/>
      <c r="U117" s="110"/>
      <c r="V117" s="110"/>
      <c r="W117" s="110"/>
      <c r="X117" s="110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3"/>
      <c r="AJ117" s="83"/>
      <c r="AK117" s="83"/>
      <c r="AL117" s="83"/>
      <c r="AM117" s="83"/>
      <c r="AN117" s="83"/>
      <c r="AO117" s="83"/>
      <c r="AP117" s="83"/>
      <c r="AQ117" s="83"/>
      <c r="AR117" s="84"/>
    </row>
    <row r="118" ht="12.75" customHeight="1">
      <c r="A118" s="77"/>
      <c r="B118" s="83"/>
      <c r="C118" s="83"/>
      <c r="D118" s="83"/>
      <c r="E118" s="83"/>
      <c r="F118" s="83"/>
      <c r="G118" s="83"/>
      <c r="H118" s="134"/>
      <c r="I118" s="134"/>
      <c r="J118" s="134"/>
      <c r="K118" s="83"/>
      <c r="L118" s="135"/>
      <c r="M118" s="135"/>
      <c r="N118" s="135"/>
      <c r="O118" s="135"/>
      <c r="P118" s="135"/>
      <c r="Q118" s="135"/>
      <c r="R118" s="135"/>
      <c r="S118" s="83"/>
      <c r="T118" s="83"/>
      <c r="U118" s="110"/>
      <c r="V118" s="110"/>
      <c r="W118" s="110"/>
      <c r="X118" s="110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3"/>
      <c r="AJ118" s="83"/>
      <c r="AK118" s="83"/>
      <c r="AL118" s="83"/>
      <c r="AM118" s="83"/>
      <c r="AN118" s="83"/>
      <c r="AO118" s="83"/>
      <c r="AP118" s="83"/>
      <c r="AQ118" s="83"/>
      <c r="AR118" s="84"/>
    </row>
    <row r="119" ht="12.75" customHeight="1">
      <c r="A119" s="77"/>
      <c r="B119" s="83"/>
      <c r="C119" s="83"/>
      <c r="D119" s="83"/>
      <c r="E119" s="83"/>
      <c r="F119" s="83"/>
      <c r="G119" s="83"/>
      <c r="H119" s="134"/>
      <c r="I119" s="134"/>
      <c r="J119" s="134"/>
      <c r="K119" s="83"/>
      <c r="L119" s="135"/>
      <c r="M119" s="135"/>
      <c r="N119" s="135"/>
      <c r="O119" s="135"/>
      <c r="P119" s="135"/>
      <c r="Q119" s="135"/>
      <c r="R119" s="135"/>
      <c r="S119" s="83"/>
      <c r="T119" s="83"/>
      <c r="U119" s="110"/>
      <c r="V119" s="110"/>
      <c r="W119" s="110"/>
      <c r="X119" s="110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3"/>
      <c r="AJ119" s="83"/>
      <c r="AK119" s="83"/>
      <c r="AL119" s="83"/>
      <c r="AM119" s="83"/>
      <c r="AN119" s="83"/>
      <c r="AO119" s="83"/>
      <c r="AP119" s="83"/>
      <c r="AQ119" s="83"/>
      <c r="AR119" s="84"/>
    </row>
    <row r="120" ht="12.75" customHeight="1">
      <c r="A120" s="77"/>
      <c r="B120" s="83"/>
      <c r="C120" s="83"/>
      <c r="D120" s="83"/>
      <c r="E120" s="83"/>
      <c r="F120" s="83"/>
      <c r="G120" s="83"/>
      <c r="H120" s="134"/>
      <c r="I120" s="134"/>
      <c r="J120" s="134"/>
      <c r="K120" s="83"/>
      <c r="L120" s="135"/>
      <c r="M120" s="135"/>
      <c r="N120" s="135"/>
      <c r="O120" s="135"/>
      <c r="P120" s="135"/>
      <c r="Q120" s="135"/>
      <c r="R120" s="135"/>
      <c r="S120" s="83"/>
      <c r="T120" s="83"/>
      <c r="U120" s="110"/>
      <c r="V120" s="110"/>
      <c r="W120" s="110"/>
      <c r="X120" s="110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3"/>
      <c r="AJ120" s="83"/>
      <c r="AK120" s="83"/>
      <c r="AL120" s="83"/>
      <c r="AM120" s="83"/>
      <c r="AN120" s="83"/>
      <c r="AO120" s="83"/>
      <c r="AP120" s="83"/>
      <c r="AQ120" s="83"/>
      <c r="AR120" s="84"/>
    </row>
    <row r="121" ht="12.75" customHeight="1">
      <c r="A121" s="77"/>
      <c r="B121" s="83"/>
      <c r="C121" s="83"/>
      <c r="D121" s="83"/>
      <c r="E121" s="83"/>
      <c r="F121" s="83"/>
      <c r="G121" s="83"/>
      <c r="H121" s="134"/>
      <c r="I121" s="134"/>
      <c r="J121" s="134"/>
      <c r="K121" s="83"/>
      <c r="L121" s="135"/>
      <c r="M121" s="135"/>
      <c r="N121" s="135"/>
      <c r="O121" s="135"/>
      <c r="P121" s="135"/>
      <c r="Q121" s="135"/>
      <c r="R121" s="135"/>
      <c r="S121" s="83"/>
      <c r="T121" s="83"/>
      <c r="U121" s="110"/>
      <c r="V121" s="110"/>
      <c r="W121" s="110"/>
      <c r="X121" s="110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3"/>
      <c r="AJ121" s="83"/>
      <c r="AK121" s="83"/>
      <c r="AL121" s="83"/>
      <c r="AM121" s="83"/>
      <c r="AN121" s="83"/>
      <c r="AO121" s="83"/>
      <c r="AP121" s="83"/>
      <c r="AQ121" s="83"/>
      <c r="AR121" s="84"/>
    </row>
    <row r="122" ht="12.75" customHeight="1">
      <c r="A122" s="77"/>
      <c r="B122" s="83"/>
      <c r="C122" s="83"/>
      <c r="D122" s="83"/>
      <c r="E122" s="83"/>
      <c r="F122" s="83"/>
      <c r="G122" s="83"/>
      <c r="H122" s="134"/>
      <c r="I122" s="134"/>
      <c r="J122" s="134"/>
      <c r="K122" s="83"/>
      <c r="L122" s="135"/>
      <c r="M122" s="135"/>
      <c r="N122" s="135"/>
      <c r="O122" s="135"/>
      <c r="P122" s="135"/>
      <c r="Q122" s="135"/>
      <c r="R122" s="135"/>
      <c r="S122" s="83"/>
      <c r="T122" s="83"/>
      <c r="U122" s="110"/>
      <c r="V122" s="110"/>
      <c r="W122" s="110"/>
      <c r="X122" s="110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3"/>
      <c r="AJ122" s="83"/>
      <c r="AK122" s="83"/>
      <c r="AL122" s="83"/>
      <c r="AM122" s="83"/>
      <c r="AN122" s="83"/>
      <c r="AO122" s="83"/>
      <c r="AP122" s="83"/>
      <c r="AQ122" s="83"/>
      <c r="AR122" s="84"/>
    </row>
    <row r="123" ht="12.75" customHeight="1">
      <c r="A123" s="77"/>
      <c r="B123" s="83"/>
      <c r="C123" s="83"/>
      <c r="D123" s="83"/>
      <c r="E123" s="83"/>
      <c r="F123" s="83"/>
      <c r="G123" s="83"/>
      <c r="H123" s="134"/>
      <c r="I123" s="134"/>
      <c r="J123" s="134"/>
      <c r="K123" s="83"/>
      <c r="L123" s="135"/>
      <c r="M123" s="135"/>
      <c r="N123" s="135"/>
      <c r="O123" s="135"/>
      <c r="P123" s="135"/>
      <c r="Q123" s="135"/>
      <c r="R123" s="135"/>
      <c r="S123" s="83"/>
      <c r="T123" s="83"/>
      <c r="U123" s="110"/>
      <c r="V123" s="110"/>
      <c r="W123" s="110"/>
      <c r="X123" s="110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3"/>
      <c r="AJ123" s="83"/>
      <c r="AK123" s="83"/>
      <c r="AL123" s="83"/>
      <c r="AM123" s="83"/>
      <c r="AN123" s="83"/>
      <c r="AO123" s="83"/>
      <c r="AP123" s="83"/>
      <c r="AQ123" s="83"/>
      <c r="AR123" s="84"/>
    </row>
    <row r="124" ht="12.75" customHeight="1">
      <c r="A124" s="77"/>
      <c r="B124" s="83"/>
      <c r="C124" s="83"/>
      <c r="D124" s="83"/>
      <c r="E124" s="83"/>
      <c r="F124" s="83"/>
      <c r="G124" s="83"/>
      <c r="H124" s="134"/>
      <c r="I124" s="134"/>
      <c r="J124" s="134"/>
      <c r="K124" s="83"/>
      <c r="L124" s="135"/>
      <c r="M124" s="135"/>
      <c r="N124" s="135"/>
      <c r="O124" s="135"/>
      <c r="P124" s="135"/>
      <c r="Q124" s="135"/>
      <c r="R124" s="135"/>
      <c r="S124" s="83"/>
      <c r="T124" s="83"/>
      <c r="U124" s="110"/>
      <c r="V124" s="110"/>
      <c r="W124" s="110"/>
      <c r="X124" s="110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3"/>
      <c r="AJ124" s="83"/>
      <c r="AK124" s="83"/>
      <c r="AL124" s="83"/>
      <c r="AM124" s="83"/>
      <c r="AN124" s="83"/>
      <c r="AO124" s="83"/>
      <c r="AP124" s="83"/>
      <c r="AQ124" s="83"/>
      <c r="AR124" s="84"/>
    </row>
    <row r="125" ht="12.75" customHeight="1">
      <c r="A125" s="77"/>
      <c r="B125" s="83"/>
      <c r="C125" s="83"/>
      <c r="D125" s="83"/>
      <c r="E125" s="83"/>
      <c r="F125" s="83"/>
      <c r="G125" s="83"/>
      <c r="H125" s="134"/>
      <c r="I125" s="134"/>
      <c r="J125" s="134"/>
      <c r="K125" s="83"/>
      <c r="L125" s="135"/>
      <c r="M125" s="135"/>
      <c r="N125" s="135"/>
      <c r="O125" s="135"/>
      <c r="P125" s="135"/>
      <c r="Q125" s="135"/>
      <c r="R125" s="135"/>
      <c r="S125" s="83"/>
      <c r="T125" s="83"/>
      <c r="U125" s="110"/>
      <c r="V125" s="110"/>
      <c r="W125" s="110"/>
      <c r="X125" s="110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3"/>
      <c r="AJ125" s="83"/>
      <c r="AK125" s="83"/>
      <c r="AL125" s="83"/>
      <c r="AM125" s="83"/>
      <c r="AN125" s="83"/>
      <c r="AO125" s="83"/>
      <c r="AP125" s="83"/>
      <c r="AQ125" s="83"/>
      <c r="AR125" s="84"/>
    </row>
    <row r="126" ht="12.75" customHeight="1">
      <c r="A126" s="77"/>
      <c r="B126" s="83"/>
      <c r="C126" s="83"/>
      <c r="D126" s="83"/>
      <c r="E126" s="83"/>
      <c r="F126" s="83"/>
      <c r="G126" s="83"/>
      <c r="H126" s="134"/>
      <c r="I126" s="134"/>
      <c r="J126" s="134"/>
      <c r="K126" s="83"/>
      <c r="L126" s="135"/>
      <c r="M126" s="135"/>
      <c r="N126" s="135"/>
      <c r="O126" s="135"/>
      <c r="P126" s="135"/>
      <c r="Q126" s="135"/>
      <c r="R126" s="135"/>
      <c r="S126" s="83"/>
      <c r="T126" s="83"/>
      <c r="U126" s="110"/>
      <c r="V126" s="110"/>
      <c r="W126" s="110"/>
      <c r="X126" s="110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3"/>
      <c r="AJ126" s="83"/>
      <c r="AK126" s="83"/>
      <c r="AL126" s="83"/>
      <c r="AM126" s="83"/>
      <c r="AN126" s="83"/>
      <c r="AO126" s="83"/>
      <c r="AP126" s="83"/>
      <c r="AQ126" s="83"/>
      <c r="AR126" s="84"/>
    </row>
    <row r="127" ht="12.75" customHeight="1">
      <c r="A127" s="77"/>
      <c r="B127" s="83"/>
      <c r="C127" s="83"/>
      <c r="D127" s="83"/>
      <c r="E127" s="83"/>
      <c r="F127" s="83"/>
      <c r="G127" s="83"/>
      <c r="H127" s="134"/>
      <c r="I127" s="134"/>
      <c r="J127" s="134"/>
      <c r="K127" s="83"/>
      <c r="L127" s="135"/>
      <c r="M127" s="135"/>
      <c r="N127" s="135"/>
      <c r="O127" s="135"/>
      <c r="P127" s="135"/>
      <c r="Q127" s="135"/>
      <c r="R127" s="135"/>
      <c r="S127" s="83"/>
      <c r="T127" s="83"/>
      <c r="U127" s="110"/>
      <c r="V127" s="110"/>
      <c r="W127" s="110"/>
      <c r="X127" s="110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3"/>
      <c r="AJ127" s="83"/>
      <c r="AK127" s="83"/>
      <c r="AL127" s="83"/>
      <c r="AM127" s="83"/>
      <c r="AN127" s="83"/>
      <c r="AO127" s="83"/>
      <c r="AP127" s="83"/>
      <c r="AQ127" s="83"/>
      <c r="AR127" s="84"/>
    </row>
    <row r="128" ht="12.75" customHeight="1">
      <c r="A128" s="77"/>
      <c r="B128" s="83"/>
      <c r="C128" s="83"/>
      <c r="D128" s="83"/>
      <c r="E128" s="83"/>
      <c r="F128" s="83"/>
      <c r="G128" s="83"/>
      <c r="H128" s="134"/>
      <c r="I128" s="134"/>
      <c r="J128" s="134"/>
      <c r="K128" s="83"/>
      <c r="L128" s="135"/>
      <c r="M128" s="135"/>
      <c r="N128" s="135"/>
      <c r="O128" s="135"/>
      <c r="P128" s="135"/>
      <c r="Q128" s="135"/>
      <c r="R128" s="135"/>
      <c r="S128" s="83"/>
      <c r="T128" s="83"/>
      <c r="U128" s="110"/>
      <c r="V128" s="110"/>
      <c r="W128" s="110"/>
      <c r="X128" s="110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3"/>
      <c r="AJ128" s="83"/>
      <c r="AK128" s="83"/>
      <c r="AL128" s="83"/>
      <c r="AM128" s="83"/>
      <c r="AN128" s="83"/>
      <c r="AO128" s="83"/>
      <c r="AP128" s="83"/>
      <c r="AQ128" s="83"/>
      <c r="AR128" s="84"/>
    </row>
    <row r="129" ht="12.75" customHeight="1">
      <c r="A129" s="77"/>
      <c r="B129" s="83"/>
      <c r="C129" s="83"/>
      <c r="D129" s="83"/>
      <c r="E129" s="83"/>
      <c r="F129" s="83"/>
      <c r="G129" s="83"/>
      <c r="H129" s="134"/>
      <c r="I129" s="134"/>
      <c r="J129" s="134"/>
      <c r="K129" s="83"/>
      <c r="L129" s="135"/>
      <c r="M129" s="135"/>
      <c r="N129" s="135"/>
      <c r="O129" s="135"/>
      <c r="P129" s="135"/>
      <c r="Q129" s="135"/>
      <c r="R129" s="135"/>
      <c r="S129" s="83"/>
      <c r="T129" s="83"/>
      <c r="U129" s="110"/>
      <c r="V129" s="110"/>
      <c r="W129" s="110"/>
      <c r="X129" s="110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3"/>
      <c r="AJ129" s="83"/>
      <c r="AK129" s="83"/>
      <c r="AL129" s="83"/>
      <c r="AM129" s="83"/>
      <c r="AN129" s="83"/>
      <c r="AO129" s="83"/>
      <c r="AP129" s="83"/>
      <c r="AQ129" s="83"/>
      <c r="AR129" s="84"/>
    </row>
    <row r="130" ht="12.75" customHeight="1">
      <c r="A130" s="77"/>
      <c r="B130" s="83"/>
      <c r="C130" s="83"/>
      <c r="D130" s="83"/>
      <c r="E130" s="83"/>
      <c r="F130" s="83"/>
      <c r="G130" s="83"/>
      <c r="H130" s="134"/>
      <c r="I130" s="134"/>
      <c r="J130" s="134"/>
      <c r="K130" s="83"/>
      <c r="L130" s="135"/>
      <c r="M130" s="135"/>
      <c r="N130" s="135"/>
      <c r="O130" s="135"/>
      <c r="P130" s="135"/>
      <c r="Q130" s="135"/>
      <c r="R130" s="135"/>
      <c r="S130" s="83"/>
      <c r="T130" s="83"/>
      <c r="U130" s="110"/>
      <c r="V130" s="110"/>
      <c r="W130" s="110"/>
      <c r="X130" s="110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3"/>
      <c r="AJ130" s="83"/>
      <c r="AK130" s="83"/>
      <c r="AL130" s="83"/>
      <c r="AM130" s="83"/>
      <c r="AN130" s="83"/>
      <c r="AO130" s="83"/>
      <c r="AP130" s="83"/>
      <c r="AQ130" s="83"/>
      <c r="AR130" s="84"/>
    </row>
    <row r="131" ht="12.75" customHeight="1">
      <c r="A131" s="77"/>
      <c r="B131" s="83"/>
      <c r="C131" s="83"/>
      <c r="D131" s="83"/>
      <c r="E131" s="83"/>
      <c r="F131" s="83"/>
      <c r="G131" s="83"/>
      <c r="H131" s="134"/>
      <c r="I131" s="134"/>
      <c r="J131" s="134"/>
      <c r="K131" s="83"/>
      <c r="L131" s="135"/>
      <c r="M131" s="135"/>
      <c r="N131" s="135"/>
      <c r="O131" s="135"/>
      <c r="P131" s="135"/>
      <c r="Q131" s="135"/>
      <c r="R131" s="135"/>
      <c r="S131" s="83"/>
      <c r="T131" s="83"/>
      <c r="U131" s="110"/>
      <c r="V131" s="110"/>
      <c r="W131" s="110"/>
      <c r="X131" s="110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3"/>
      <c r="AJ131" s="83"/>
      <c r="AK131" s="83"/>
      <c r="AL131" s="83"/>
      <c r="AM131" s="83"/>
      <c r="AN131" s="83"/>
      <c r="AO131" s="83"/>
      <c r="AP131" s="83"/>
      <c r="AQ131" s="83"/>
      <c r="AR131" s="84"/>
    </row>
    <row r="132" ht="12.75" customHeight="1">
      <c r="A132" s="77"/>
      <c r="B132" s="83"/>
      <c r="C132" s="83"/>
      <c r="D132" s="83"/>
      <c r="E132" s="83"/>
      <c r="F132" s="83"/>
      <c r="G132" s="83"/>
      <c r="H132" s="134"/>
      <c r="I132" s="134"/>
      <c r="J132" s="134"/>
      <c r="K132" s="83"/>
      <c r="L132" s="135"/>
      <c r="M132" s="135"/>
      <c r="N132" s="135"/>
      <c r="O132" s="135"/>
      <c r="P132" s="135"/>
      <c r="Q132" s="135"/>
      <c r="R132" s="135"/>
      <c r="S132" s="83"/>
      <c r="T132" s="83"/>
      <c r="U132" s="110"/>
      <c r="V132" s="110"/>
      <c r="W132" s="110"/>
      <c r="X132" s="110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3"/>
      <c r="AJ132" s="83"/>
      <c r="AK132" s="83"/>
      <c r="AL132" s="83"/>
      <c r="AM132" s="83"/>
      <c r="AN132" s="83"/>
      <c r="AO132" s="83"/>
      <c r="AP132" s="83"/>
      <c r="AQ132" s="83"/>
      <c r="AR132" s="84"/>
    </row>
    <row r="133" ht="12.75" customHeight="1">
      <c r="A133" s="77"/>
      <c r="B133" s="83"/>
      <c r="C133" s="83"/>
      <c r="D133" s="83"/>
      <c r="E133" s="83"/>
      <c r="F133" s="83"/>
      <c r="G133" s="83"/>
      <c r="H133" s="134"/>
      <c r="I133" s="134"/>
      <c r="J133" s="134"/>
      <c r="K133" s="83"/>
      <c r="L133" s="135"/>
      <c r="M133" s="135"/>
      <c r="N133" s="135"/>
      <c r="O133" s="135"/>
      <c r="P133" s="135"/>
      <c r="Q133" s="135"/>
      <c r="R133" s="135"/>
      <c r="S133" s="83"/>
      <c r="T133" s="83"/>
      <c r="U133" s="110"/>
      <c r="V133" s="110"/>
      <c r="W133" s="110"/>
      <c r="X133" s="110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3"/>
      <c r="AJ133" s="83"/>
      <c r="AK133" s="83"/>
      <c r="AL133" s="83"/>
      <c r="AM133" s="83"/>
      <c r="AN133" s="83"/>
      <c r="AO133" s="83"/>
      <c r="AP133" s="83"/>
      <c r="AQ133" s="83"/>
      <c r="AR133" s="84"/>
    </row>
    <row r="134" ht="12.75" customHeight="1">
      <c r="A134" s="77"/>
      <c r="B134" s="83"/>
      <c r="C134" s="83"/>
      <c r="D134" s="83"/>
      <c r="E134" s="83"/>
      <c r="F134" s="83"/>
      <c r="G134" s="83"/>
      <c r="H134" s="134"/>
      <c r="I134" s="134"/>
      <c r="J134" s="134"/>
      <c r="K134" s="83"/>
      <c r="L134" s="135"/>
      <c r="M134" s="135"/>
      <c r="N134" s="135"/>
      <c r="O134" s="135"/>
      <c r="P134" s="135"/>
      <c r="Q134" s="135"/>
      <c r="R134" s="135"/>
      <c r="S134" s="83"/>
      <c r="T134" s="83"/>
      <c r="U134" s="110"/>
      <c r="V134" s="110"/>
      <c r="W134" s="110"/>
      <c r="X134" s="110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3"/>
      <c r="AJ134" s="83"/>
      <c r="AK134" s="83"/>
      <c r="AL134" s="83"/>
      <c r="AM134" s="83"/>
      <c r="AN134" s="83"/>
      <c r="AO134" s="83"/>
      <c r="AP134" s="83"/>
      <c r="AQ134" s="83"/>
      <c r="AR134" s="84"/>
    </row>
    <row r="135" ht="12.75" customHeight="1">
      <c r="A135" s="77"/>
      <c r="B135" s="83"/>
      <c r="C135" s="83"/>
      <c r="D135" s="83"/>
      <c r="E135" s="83"/>
      <c r="F135" s="83"/>
      <c r="G135" s="83"/>
      <c r="H135" s="134"/>
      <c r="I135" s="134"/>
      <c r="J135" s="134"/>
      <c r="K135" s="83"/>
      <c r="L135" s="135"/>
      <c r="M135" s="135"/>
      <c r="N135" s="135"/>
      <c r="O135" s="135"/>
      <c r="P135" s="135"/>
      <c r="Q135" s="135"/>
      <c r="R135" s="135"/>
      <c r="S135" s="83"/>
      <c r="T135" s="83"/>
      <c r="U135" s="110"/>
      <c r="V135" s="110"/>
      <c r="W135" s="110"/>
      <c r="X135" s="110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3"/>
      <c r="AJ135" s="83"/>
      <c r="AK135" s="83"/>
      <c r="AL135" s="83"/>
      <c r="AM135" s="83"/>
      <c r="AN135" s="83"/>
      <c r="AO135" s="83"/>
      <c r="AP135" s="83"/>
      <c r="AQ135" s="83"/>
      <c r="AR135" s="84"/>
    </row>
    <row r="136" ht="12.75" customHeight="1">
      <c r="A136" s="77"/>
      <c r="B136" s="83"/>
      <c r="C136" s="83"/>
      <c r="D136" s="83"/>
      <c r="E136" s="83"/>
      <c r="F136" s="83"/>
      <c r="G136" s="83"/>
      <c r="H136" s="134"/>
      <c r="I136" s="134"/>
      <c r="J136" s="134"/>
      <c r="K136" s="83"/>
      <c r="L136" s="135"/>
      <c r="M136" s="135"/>
      <c r="N136" s="135"/>
      <c r="O136" s="135"/>
      <c r="P136" s="135"/>
      <c r="Q136" s="135"/>
      <c r="R136" s="135"/>
      <c r="S136" s="83"/>
      <c r="T136" s="83"/>
      <c r="U136" s="110"/>
      <c r="V136" s="110"/>
      <c r="W136" s="110"/>
      <c r="X136" s="110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3"/>
      <c r="AJ136" s="83"/>
      <c r="AK136" s="83"/>
      <c r="AL136" s="83"/>
      <c r="AM136" s="83"/>
      <c r="AN136" s="83"/>
      <c r="AO136" s="83"/>
      <c r="AP136" s="83"/>
      <c r="AQ136" s="83"/>
      <c r="AR136" s="84"/>
    </row>
    <row r="137" ht="12.75" customHeight="1">
      <c r="A137" s="77"/>
      <c r="B137" s="83"/>
      <c r="C137" s="83"/>
      <c r="D137" s="83"/>
      <c r="E137" s="83"/>
      <c r="F137" s="83"/>
      <c r="G137" s="83"/>
      <c r="H137" s="134"/>
      <c r="I137" s="134"/>
      <c r="J137" s="134"/>
      <c r="K137" s="83"/>
      <c r="L137" s="135"/>
      <c r="M137" s="135"/>
      <c r="N137" s="135"/>
      <c r="O137" s="135"/>
      <c r="P137" s="135"/>
      <c r="Q137" s="135"/>
      <c r="R137" s="135"/>
      <c r="S137" s="83"/>
      <c r="T137" s="83"/>
      <c r="U137" s="110"/>
      <c r="V137" s="110"/>
      <c r="W137" s="110"/>
      <c r="X137" s="110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3"/>
      <c r="AJ137" s="83"/>
      <c r="AK137" s="83"/>
      <c r="AL137" s="83"/>
      <c r="AM137" s="83"/>
      <c r="AN137" s="83"/>
      <c r="AO137" s="83"/>
      <c r="AP137" s="83"/>
      <c r="AQ137" s="83"/>
      <c r="AR137" s="84"/>
    </row>
    <row r="138" ht="12.75" customHeight="1">
      <c r="A138" s="77"/>
      <c r="B138" s="83"/>
      <c r="C138" s="83"/>
      <c r="D138" s="83"/>
      <c r="E138" s="83"/>
      <c r="F138" s="83"/>
      <c r="G138" s="83"/>
      <c r="H138" s="134"/>
      <c r="I138" s="134"/>
      <c r="J138" s="134"/>
      <c r="K138" s="83"/>
      <c r="L138" s="135"/>
      <c r="M138" s="135"/>
      <c r="N138" s="135"/>
      <c r="O138" s="135"/>
      <c r="P138" s="135"/>
      <c r="Q138" s="135"/>
      <c r="R138" s="135"/>
      <c r="S138" s="83"/>
      <c r="T138" s="83"/>
      <c r="U138" s="110"/>
      <c r="V138" s="110"/>
      <c r="W138" s="110"/>
      <c r="X138" s="110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3"/>
      <c r="AJ138" s="83"/>
      <c r="AK138" s="83"/>
      <c r="AL138" s="83"/>
      <c r="AM138" s="83"/>
      <c r="AN138" s="83"/>
      <c r="AO138" s="83"/>
      <c r="AP138" s="83"/>
      <c r="AQ138" s="83"/>
      <c r="AR138" s="84"/>
    </row>
    <row r="139" ht="12.75" customHeight="1">
      <c r="A139" s="77"/>
      <c r="B139" s="83"/>
      <c r="C139" s="83"/>
      <c r="D139" s="83"/>
      <c r="E139" s="83"/>
      <c r="F139" s="83"/>
      <c r="G139" s="83"/>
      <c r="H139" s="134"/>
      <c r="I139" s="134"/>
      <c r="J139" s="134"/>
      <c r="K139" s="83"/>
      <c r="L139" s="135"/>
      <c r="M139" s="135"/>
      <c r="N139" s="135"/>
      <c r="O139" s="135"/>
      <c r="P139" s="135"/>
      <c r="Q139" s="135"/>
      <c r="R139" s="135"/>
      <c r="S139" s="83"/>
      <c r="T139" s="83"/>
      <c r="U139" s="110"/>
      <c r="V139" s="110"/>
      <c r="W139" s="110"/>
      <c r="X139" s="110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3"/>
      <c r="AJ139" s="83"/>
      <c r="AK139" s="83"/>
      <c r="AL139" s="83"/>
      <c r="AM139" s="83"/>
      <c r="AN139" s="83"/>
      <c r="AO139" s="83"/>
      <c r="AP139" s="83"/>
      <c r="AQ139" s="83"/>
      <c r="AR139" s="84"/>
    </row>
    <row r="140" ht="12.75" customHeight="1">
      <c r="A140" s="77"/>
      <c r="B140" s="83"/>
      <c r="C140" s="83"/>
      <c r="D140" s="83"/>
      <c r="E140" s="83"/>
      <c r="F140" s="83"/>
      <c r="G140" s="83"/>
      <c r="H140" s="134"/>
      <c r="I140" s="134"/>
      <c r="J140" s="134"/>
      <c r="K140" s="83"/>
      <c r="L140" s="135"/>
      <c r="M140" s="135"/>
      <c r="N140" s="135"/>
      <c r="O140" s="135"/>
      <c r="P140" s="135"/>
      <c r="Q140" s="135"/>
      <c r="R140" s="135"/>
      <c r="S140" s="83"/>
      <c r="T140" s="83"/>
      <c r="U140" s="110"/>
      <c r="V140" s="110"/>
      <c r="W140" s="110"/>
      <c r="X140" s="110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3"/>
      <c r="AJ140" s="83"/>
      <c r="AK140" s="83"/>
      <c r="AL140" s="83"/>
      <c r="AM140" s="83"/>
      <c r="AN140" s="83"/>
      <c r="AO140" s="83"/>
      <c r="AP140" s="83"/>
      <c r="AQ140" s="83"/>
      <c r="AR140" s="84"/>
    </row>
    <row r="141" ht="12.75" customHeight="1">
      <c r="A141" s="77"/>
      <c r="B141" s="83"/>
      <c r="C141" s="83"/>
      <c r="D141" s="83"/>
      <c r="E141" s="83"/>
      <c r="F141" s="83"/>
      <c r="G141" s="83"/>
      <c r="H141" s="134"/>
      <c r="I141" s="134"/>
      <c r="J141" s="134"/>
      <c r="K141" s="83"/>
      <c r="L141" s="135"/>
      <c r="M141" s="135"/>
      <c r="N141" s="135"/>
      <c r="O141" s="135"/>
      <c r="P141" s="135"/>
      <c r="Q141" s="135"/>
      <c r="R141" s="135"/>
      <c r="S141" s="83"/>
      <c r="T141" s="83"/>
      <c r="U141" s="110"/>
      <c r="V141" s="110"/>
      <c r="W141" s="110"/>
      <c r="X141" s="110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3"/>
      <c r="AJ141" s="83"/>
      <c r="AK141" s="83"/>
      <c r="AL141" s="83"/>
      <c r="AM141" s="83"/>
      <c r="AN141" s="83"/>
      <c r="AO141" s="83"/>
      <c r="AP141" s="83"/>
      <c r="AQ141" s="83"/>
      <c r="AR141" s="84"/>
    </row>
    <row r="142" ht="12.75" customHeight="1">
      <c r="A142" s="77"/>
      <c r="B142" s="83"/>
      <c r="C142" s="83"/>
      <c r="D142" s="83"/>
      <c r="E142" s="83"/>
      <c r="F142" s="83"/>
      <c r="G142" s="83"/>
      <c r="H142" s="134"/>
      <c r="I142" s="134"/>
      <c r="J142" s="134"/>
      <c r="K142" s="83"/>
      <c r="L142" s="135"/>
      <c r="M142" s="135"/>
      <c r="N142" s="135"/>
      <c r="O142" s="135"/>
      <c r="P142" s="135"/>
      <c r="Q142" s="135"/>
      <c r="R142" s="135"/>
      <c r="S142" s="83"/>
      <c r="T142" s="83"/>
      <c r="U142" s="110"/>
      <c r="V142" s="110"/>
      <c r="W142" s="110"/>
      <c r="X142" s="110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3"/>
      <c r="AJ142" s="83"/>
      <c r="AK142" s="83"/>
      <c r="AL142" s="83"/>
      <c r="AM142" s="83"/>
      <c r="AN142" s="83"/>
      <c r="AO142" s="83"/>
      <c r="AP142" s="83"/>
      <c r="AQ142" s="83"/>
      <c r="AR142" s="84"/>
    </row>
    <row r="143" ht="12.75" customHeight="1">
      <c r="A143" s="77"/>
      <c r="B143" s="83"/>
      <c r="C143" s="83"/>
      <c r="D143" s="83"/>
      <c r="E143" s="83"/>
      <c r="F143" s="83"/>
      <c r="G143" s="83"/>
      <c r="H143" s="134"/>
      <c r="I143" s="134"/>
      <c r="J143" s="134"/>
      <c r="K143" s="83"/>
      <c r="L143" s="135"/>
      <c r="M143" s="135"/>
      <c r="N143" s="135"/>
      <c r="O143" s="135"/>
      <c r="P143" s="135"/>
      <c r="Q143" s="135"/>
      <c r="R143" s="135"/>
      <c r="S143" s="83"/>
      <c r="T143" s="83"/>
      <c r="U143" s="110"/>
      <c r="V143" s="110"/>
      <c r="W143" s="110"/>
      <c r="X143" s="110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3"/>
      <c r="AJ143" s="83"/>
      <c r="AK143" s="83"/>
      <c r="AL143" s="83"/>
      <c r="AM143" s="83"/>
      <c r="AN143" s="83"/>
      <c r="AO143" s="83"/>
      <c r="AP143" s="83"/>
      <c r="AQ143" s="83"/>
      <c r="AR143" s="84"/>
    </row>
    <row r="144" ht="12.75" customHeight="1">
      <c r="A144" s="77"/>
      <c r="B144" s="83"/>
      <c r="C144" s="83"/>
      <c r="D144" s="83"/>
      <c r="E144" s="83"/>
      <c r="F144" s="83"/>
      <c r="G144" s="83"/>
      <c r="H144" s="134"/>
      <c r="I144" s="134"/>
      <c r="J144" s="134"/>
      <c r="K144" s="83"/>
      <c r="L144" s="135"/>
      <c r="M144" s="135"/>
      <c r="N144" s="135"/>
      <c r="O144" s="135"/>
      <c r="P144" s="135"/>
      <c r="Q144" s="135"/>
      <c r="R144" s="135"/>
      <c r="S144" s="83"/>
      <c r="T144" s="83"/>
      <c r="U144" s="110"/>
      <c r="V144" s="110"/>
      <c r="W144" s="110"/>
      <c r="X144" s="110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3"/>
      <c r="AJ144" s="83"/>
      <c r="AK144" s="83"/>
      <c r="AL144" s="83"/>
      <c r="AM144" s="83"/>
      <c r="AN144" s="83"/>
      <c r="AO144" s="83"/>
      <c r="AP144" s="83"/>
      <c r="AQ144" s="83"/>
      <c r="AR144" s="84"/>
    </row>
    <row r="145" ht="12.75" customHeight="1">
      <c r="A145" s="77"/>
      <c r="B145" s="83"/>
      <c r="C145" s="83"/>
      <c r="D145" s="83"/>
      <c r="E145" s="83"/>
      <c r="F145" s="83"/>
      <c r="G145" s="83"/>
      <c r="H145" s="134"/>
      <c r="I145" s="134"/>
      <c r="J145" s="134"/>
      <c r="K145" s="83"/>
      <c r="L145" s="135"/>
      <c r="M145" s="135"/>
      <c r="N145" s="135"/>
      <c r="O145" s="135"/>
      <c r="P145" s="135"/>
      <c r="Q145" s="135"/>
      <c r="R145" s="135"/>
      <c r="S145" s="83"/>
      <c r="T145" s="83"/>
      <c r="U145" s="110"/>
      <c r="V145" s="110"/>
      <c r="W145" s="110"/>
      <c r="X145" s="110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3"/>
      <c r="AJ145" s="83"/>
      <c r="AK145" s="83"/>
      <c r="AL145" s="83"/>
      <c r="AM145" s="83"/>
      <c r="AN145" s="83"/>
      <c r="AO145" s="83"/>
      <c r="AP145" s="83"/>
      <c r="AQ145" s="83"/>
      <c r="AR145" s="84"/>
    </row>
    <row r="146" ht="12.75" customHeight="1">
      <c r="A146" s="77"/>
      <c r="B146" s="83"/>
      <c r="C146" s="83"/>
      <c r="D146" s="83"/>
      <c r="E146" s="83"/>
      <c r="F146" s="83"/>
      <c r="G146" s="83"/>
      <c r="H146" s="134"/>
      <c r="I146" s="134"/>
      <c r="J146" s="134"/>
      <c r="K146" s="83"/>
      <c r="L146" s="135"/>
      <c r="M146" s="135"/>
      <c r="N146" s="135"/>
      <c r="O146" s="135"/>
      <c r="P146" s="135"/>
      <c r="Q146" s="135"/>
      <c r="R146" s="135"/>
      <c r="S146" s="83"/>
      <c r="T146" s="83"/>
      <c r="U146" s="110"/>
      <c r="V146" s="110"/>
      <c r="W146" s="110"/>
      <c r="X146" s="110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3"/>
      <c r="AJ146" s="83"/>
      <c r="AK146" s="83"/>
      <c r="AL146" s="83"/>
      <c r="AM146" s="83"/>
      <c r="AN146" s="83"/>
      <c r="AO146" s="83"/>
      <c r="AP146" s="83"/>
      <c r="AQ146" s="83"/>
      <c r="AR146" s="84"/>
    </row>
    <row r="147" ht="12.75" customHeight="1">
      <c r="A147" s="77"/>
      <c r="B147" s="83"/>
      <c r="C147" s="83"/>
      <c r="D147" s="83"/>
      <c r="E147" s="83"/>
      <c r="F147" s="83"/>
      <c r="G147" s="83"/>
      <c r="H147" s="134"/>
      <c r="I147" s="134"/>
      <c r="J147" s="134"/>
      <c r="K147" s="83"/>
      <c r="L147" s="135"/>
      <c r="M147" s="135"/>
      <c r="N147" s="135"/>
      <c r="O147" s="135"/>
      <c r="P147" s="135"/>
      <c r="Q147" s="135"/>
      <c r="R147" s="135"/>
      <c r="S147" s="83"/>
      <c r="T147" s="83"/>
      <c r="U147" s="110"/>
      <c r="V147" s="110"/>
      <c r="W147" s="110"/>
      <c r="X147" s="110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3"/>
      <c r="AJ147" s="83"/>
      <c r="AK147" s="83"/>
      <c r="AL147" s="83"/>
      <c r="AM147" s="83"/>
      <c r="AN147" s="83"/>
      <c r="AO147" s="83"/>
      <c r="AP147" s="83"/>
      <c r="AQ147" s="83"/>
      <c r="AR147" s="84"/>
    </row>
    <row r="148" ht="12.75" customHeight="1">
      <c r="A148" s="77"/>
      <c r="B148" s="83"/>
      <c r="C148" s="83"/>
      <c r="D148" s="83"/>
      <c r="E148" s="83"/>
      <c r="F148" s="83"/>
      <c r="G148" s="83"/>
      <c r="H148" s="134"/>
      <c r="I148" s="134"/>
      <c r="J148" s="134"/>
      <c r="K148" s="83"/>
      <c r="L148" s="135"/>
      <c r="M148" s="135"/>
      <c r="N148" s="135"/>
      <c r="O148" s="135"/>
      <c r="P148" s="135"/>
      <c r="Q148" s="135"/>
      <c r="R148" s="135"/>
      <c r="S148" s="83"/>
      <c r="T148" s="83"/>
      <c r="U148" s="110"/>
      <c r="V148" s="110"/>
      <c r="W148" s="110"/>
      <c r="X148" s="110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3"/>
      <c r="AJ148" s="83"/>
      <c r="AK148" s="83"/>
      <c r="AL148" s="83"/>
      <c r="AM148" s="83"/>
      <c r="AN148" s="83"/>
      <c r="AO148" s="83"/>
      <c r="AP148" s="83"/>
      <c r="AQ148" s="83"/>
      <c r="AR148" s="84"/>
    </row>
    <row r="149" ht="12.75" customHeight="1">
      <c r="A149" s="77"/>
      <c r="B149" s="83"/>
      <c r="C149" s="83"/>
      <c r="D149" s="83"/>
      <c r="E149" s="83"/>
      <c r="F149" s="83"/>
      <c r="G149" s="83"/>
      <c r="H149" s="134"/>
      <c r="I149" s="134"/>
      <c r="J149" s="134"/>
      <c r="K149" s="83"/>
      <c r="L149" s="135"/>
      <c r="M149" s="135"/>
      <c r="N149" s="135"/>
      <c r="O149" s="135"/>
      <c r="P149" s="135"/>
      <c r="Q149" s="135"/>
      <c r="R149" s="135"/>
      <c r="S149" s="83"/>
      <c r="T149" s="83"/>
      <c r="U149" s="110"/>
      <c r="V149" s="110"/>
      <c r="W149" s="110"/>
      <c r="X149" s="110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3"/>
      <c r="AJ149" s="83"/>
      <c r="AK149" s="83"/>
      <c r="AL149" s="83"/>
      <c r="AM149" s="83"/>
      <c r="AN149" s="83"/>
      <c r="AO149" s="83"/>
      <c r="AP149" s="83"/>
      <c r="AQ149" s="83"/>
      <c r="AR149" s="84"/>
    </row>
    <row r="150" ht="12.75" customHeight="1">
      <c r="A150" s="77"/>
      <c r="B150" s="83"/>
      <c r="C150" s="83"/>
      <c r="D150" s="83"/>
      <c r="E150" s="83"/>
      <c r="F150" s="83"/>
      <c r="G150" s="83"/>
      <c r="H150" s="134"/>
      <c r="I150" s="134"/>
      <c r="J150" s="134"/>
      <c r="K150" s="83"/>
      <c r="L150" s="135"/>
      <c r="M150" s="135"/>
      <c r="N150" s="135"/>
      <c r="O150" s="135"/>
      <c r="P150" s="135"/>
      <c r="Q150" s="135"/>
      <c r="R150" s="135"/>
      <c r="S150" s="83"/>
      <c r="T150" s="83"/>
      <c r="U150" s="110"/>
      <c r="V150" s="110"/>
      <c r="W150" s="110"/>
      <c r="X150" s="110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3"/>
      <c r="AJ150" s="83"/>
      <c r="AK150" s="83"/>
      <c r="AL150" s="83"/>
      <c r="AM150" s="83"/>
      <c r="AN150" s="83"/>
      <c r="AO150" s="83"/>
      <c r="AP150" s="83"/>
      <c r="AQ150" s="83"/>
      <c r="AR150" s="84"/>
    </row>
    <row r="151" ht="12.75" customHeight="1">
      <c r="A151" s="77"/>
      <c r="B151" s="83"/>
      <c r="C151" s="83"/>
      <c r="D151" s="83"/>
      <c r="E151" s="83"/>
      <c r="F151" s="83"/>
      <c r="G151" s="83"/>
      <c r="H151" s="134"/>
      <c r="I151" s="134"/>
      <c r="J151" s="134"/>
      <c r="K151" s="83"/>
      <c r="L151" s="135"/>
      <c r="M151" s="135"/>
      <c r="N151" s="135"/>
      <c r="O151" s="135"/>
      <c r="P151" s="135"/>
      <c r="Q151" s="135"/>
      <c r="R151" s="135"/>
      <c r="S151" s="83"/>
      <c r="T151" s="83"/>
      <c r="U151" s="110"/>
      <c r="V151" s="110"/>
      <c r="W151" s="110"/>
      <c r="X151" s="110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3"/>
      <c r="AJ151" s="83"/>
      <c r="AK151" s="83"/>
      <c r="AL151" s="83"/>
      <c r="AM151" s="83"/>
      <c r="AN151" s="83"/>
      <c r="AO151" s="83"/>
      <c r="AP151" s="83"/>
      <c r="AQ151" s="83"/>
      <c r="AR151" s="84"/>
    </row>
    <row r="152" ht="12.75" customHeight="1">
      <c r="A152" s="77"/>
      <c r="B152" s="83"/>
      <c r="C152" s="83"/>
      <c r="D152" s="83"/>
      <c r="E152" s="83"/>
      <c r="F152" s="83"/>
      <c r="G152" s="83"/>
      <c r="H152" s="134"/>
      <c r="I152" s="134"/>
      <c r="J152" s="134"/>
      <c r="K152" s="83"/>
      <c r="L152" s="135"/>
      <c r="M152" s="135"/>
      <c r="N152" s="135"/>
      <c r="O152" s="135"/>
      <c r="P152" s="135"/>
      <c r="Q152" s="135"/>
      <c r="R152" s="135"/>
      <c r="S152" s="83"/>
      <c r="T152" s="83"/>
      <c r="U152" s="110"/>
      <c r="V152" s="110"/>
      <c r="W152" s="110"/>
      <c r="X152" s="110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3"/>
      <c r="AJ152" s="83"/>
      <c r="AK152" s="83"/>
      <c r="AL152" s="83"/>
      <c r="AM152" s="83"/>
      <c r="AN152" s="83"/>
      <c r="AO152" s="83"/>
      <c r="AP152" s="83"/>
      <c r="AQ152" s="83"/>
      <c r="AR152" s="84"/>
    </row>
    <row r="153" ht="12.75" customHeight="1">
      <c r="A153" s="77"/>
      <c r="B153" s="83"/>
      <c r="C153" s="83"/>
      <c r="D153" s="83"/>
      <c r="E153" s="83"/>
      <c r="F153" s="83"/>
      <c r="G153" s="83"/>
      <c r="H153" s="134"/>
      <c r="I153" s="134"/>
      <c r="J153" s="134"/>
      <c r="K153" s="83"/>
      <c r="L153" s="135"/>
      <c r="M153" s="135"/>
      <c r="N153" s="135"/>
      <c r="O153" s="135"/>
      <c r="P153" s="135"/>
      <c r="Q153" s="135"/>
      <c r="R153" s="135"/>
      <c r="S153" s="83"/>
      <c r="T153" s="83"/>
      <c r="U153" s="110"/>
      <c r="V153" s="110"/>
      <c r="W153" s="110"/>
      <c r="X153" s="110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3"/>
      <c r="AJ153" s="83"/>
      <c r="AK153" s="83"/>
      <c r="AL153" s="83"/>
      <c r="AM153" s="83"/>
      <c r="AN153" s="83"/>
      <c r="AO153" s="83"/>
      <c r="AP153" s="83"/>
      <c r="AQ153" s="83"/>
      <c r="AR153" s="84"/>
    </row>
    <row r="154" ht="12.75" customHeight="1">
      <c r="A154" s="77"/>
      <c r="B154" s="83"/>
      <c r="C154" s="83"/>
      <c r="D154" s="83"/>
      <c r="E154" s="83"/>
      <c r="F154" s="83"/>
      <c r="G154" s="83"/>
      <c r="H154" s="134"/>
      <c r="I154" s="134"/>
      <c r="J154" s="134"/>
      <c r="K154" s="83"/>
      <c r="L154" s="135"/>
      <c r="M154" s="135"/>
      <c r="N154" s="135"/>
      <c r="O154" s="135"/>
      <c r="P154" s="135"/>
      <c r="Q154" s="135"/>
      <c r="R154" s="135"/>
      <c r="S154" s="83"/>
      <c r="T154" s="83"/>
      <c r="U154" s="110"/>
      <c r="V154" s="110"/>
      <c r="W154" s="110"/>
      <c r="X154" s="110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3"/>
      <c r="AJ154" s="83"/>
      <c r="AK154" s="83"/>
      <c r="AL154" s="83"/>
      <c r="AM154" s="83"/>
      <c r="AN154" s="83"/>
      <c r="AO154" s="83"/>
      <c r="AP154" s="83"/>
      <c r="AQ154" s="83"/>
      <c r="AR154" s="84"/>
    </row>
    <row r="155" ht="12.75" customHeight="1">
      <c r="A155" s="77"/>
      <c r="B155" s="83"/>
      <c r="C155" s="83"/>
      <c r="D155" s="83"/>
      <c r="E155" s="83"/>
      <c r="F155" s="83"/>
      <c r="G155" s="83"/>
      <c r="H155" s="134"/>
      <c r="I155" s="134"/>
      <c r="J155" s="134"/>
      <c r="K155" s="83"/>
      <c r="L155" s="135"/>
      <c r="M155" s="135"/>
      <c r="N155" s="135"/>
      <c r="O155" s="135"/>
      <c r="P155" s="135"/>
      <c r="Q155" s="135"/>
      <c r="R155" s="135"/>
      <c r="S155" s="83"/>
      <c r="T155" s="83"/>
      <c r="U155" s="110"/>
      <c r="V155" s="110"/>
      <c r="W155" s="110"/>
      <c r="X155" s="110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3"/>
      <c r="AJ155" s="83"/>
      <c r="AK155" s="83"/>
      <c r="AL155" s="83"/>
      <c r="AM155" s="83"/>
      <c r="AN155" s="83"/>
      <c r="AO155" s="83"/>
      <c r="AP155" s="83"/>
      <c r="AQ155" s="83"/>
      <c r="AR155" s="84"/>
    </row>
    <row r="156" ht="12.75" customHeight="1">
      <c r="A156" s="77"/>
      <c r="B156" s="83"/>
      <c r="C156" s="83"/>
      <c r="D156" s="83"/>
      <c r="E156" s="83"/>
      <c r="F156" s="83"/>
      <c r="G156" s="83"/>
      <c r="H156" s="134"/>
      <c r="I156" s="134"/>
      <c r="J156" s="134"/>
      <c r="K156" s="83"/>
      <c r="L156" s="135"/>
      <c r="M156" s="135"/>
      <c r="N156" s="135"/>
      <c r="O156" s="135"/>
      <c r="P156" s="135"/>
      <c r="Q156" s="135"/>
      <c r="R156" s="135"/>
      <c r="S156" s="83"/>
      <c r="T156" s="83"/>
      <c r="U156" s="110"/>
      <c r="V156" s="110"/>
      <c r="W156" s="110"/>
      <c r="X156" s="110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3"/>
      <c r="AJ156" s="83"/>
      <c r="AK156" s="83"/>
      <c r="AL156" s="83"/>
      <c r="AM156" s="83"/>
      <c r="AN156" s="83"/>
      <c r="AO156" s="83"/>
      <c r="AP156" s="83"/>
      <c r="AQ156" s="83"/>
      <c r="AR156" s="84"/>
    </row>
    <row r="157" ht="12.75" customHeight="1">
      <c r="A157" s="77"/>
      <c r="B157" s="83"/>
      <c r="C157" s="83"/>
      <c r="D157" s="83"/>
      <c r="E157" s="83"/>
      <c r="F157" s="83"/>
      <c r="G157" s="83"/>
      <c r="H157" s="134"/>
      <c r="I157" s="134"/>
      <c r="J157" s="134"/>
      <c r="K157" s="83"/>
      <c r="L157" s="135"/>
      <c r="M157" s="135"/>
      <c r="N157" s="135"/>
      <c r="O157" s="135"/>
      <c r="P157" s="135"/>
      <c r="Q157" s="135"/>
      <c r="R157" s="135"/>
      <c r="S157" s="83"/>
      <c r="T157" s="83"/>
      <c r="U157" s="110"/>
      <c r="V157" s="110"/>
      <c r="W157" s="110"/>
      <c r="X157" s="110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3"/>
      <c r="AJ157" s="83"/>
      <c r="AK157" s="83"/>
      <c r="AL157" s="83"/>
      <c r="AM157" s="83"/>
      <c r="AN157" s="83"/>
      <c r="AO157" s="83"/>
      <c r="AP157" s="83"/>
      <c r="AQ157" s="83"/>
      <c r="AR157" s="84"/>
    </row>
    <row r="158" ht="12.75" customHeight="1">
      <c r="A158" s="77"/>
      <c r="B158" s="83"/>
      <c r="C158" s="83"/>
      <c r="D158" s="83"/>
      <c r="E158" s="83"/>
      <c r="F158" s="83"/>
      <c r="G158" s="83"/>
      <c r="H158" s="134"/>
      <c r="I158" s="134"/>
      <c r="J158" s="134"/>
      <c r="K158" s="83"/>
      <c r="L158" s="135"/>
      <c r="M158" s="135"/>
      <c r="N158" s="135"/>
      <c r="O158" s="135"/>
      <c r="P158" s="135"/>
      <c r="Q158" s="135"/>
      <c r="R158" s="135"/>
      <c r="S158" s="83"/>
      <c r="T158" s="83"/>
      <c r="U158" s="110"/>
      <c r="V158" s="110"/>
      <c r="W158" s="110"/>
      <c r="X158" s="110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3"/>
      <c r="AJ158" s="83"/>
      <c r="AK158" s="83"/>
      <c r="AL158" s="83"/>
      <c r="AM158" s="83"/>
      <c r="AN158" s="83"/>
      <c r="AO158" s="83"/>
      <c r="AP158" s="83"/>
      <c r="AQ158" s="83"/>
      <c r="AR158" s="84"/>
    </row>
    <row r="159" ht="12.75" customHeight="1">
      <c r="A159" s="77"/>
      <c r="B159" s="83"/>
      <c r="C159" s="83"/>
      <c r="D159" s="83"/>
      <c r="E159" s="83"/>
      <c r="F159" s="83"/>
      <c r="G159" s="83"/>
      <c r="H159" s="134"/>
      <c r="I159" s="134"/>
      <c r="J159" s="134"/>
      <c r="K159" s="83"/>
      <c r="L159" s="135"/>
      <c r="M159" s="135"/>
      <c r="N159" s="135"/>
      <c r="O159" s="135"/>
      <c r="P159" s="135"/>
      <c r="Q159" s="135"/>
      <c r="R159" s="135"/>
      <c r="S159" s="83"/>
      <c r="T159" s="83"/>
      <c r="U159" s="110"/>
      <c r="V159" s="110"/>
      <c r="W159" s="110"/>
      <c r="X159" s="110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3"/>
      <c r="AJ159" s="83"/>
      <c r="AK159" s="83"/>
      <c r="AL159" s="83"/>
      <c r="AM159" s="83"/>
      <c r="AN159" s="83"/>
      <c r="AO159" s="83"/>
      <c r="AP159" s="83"/>
      <c r="AQ159" s="83"/>
      <c r="AR159" s="84"/>
    </row>
    <row r="160" ht="12.75" customHeight="1">
      <c r="A160" s="77"/>
      <c r="B160" s="83"/>
      <c r="C160" s="83"/>
      <c r="D160" s="83"/>
      <c r="E160" s="83"/>
      <c r="F160" s="83"/>
      <c r="G160" s="83"/>
      <c r="H160" s="134"/>
      <c r="I160" s="134"/>
      <c r="J160" s="134"/>
      <c r="K160" s="83"/>
      <c r="L160" s="135"/>
      <c r="M160" s="135"/>
      <c r="N160" s="135"/>
      <c r="O160" s="135"/>
      <c r="P160" s="135"/>
      <c r="Q160" s="135"/>
      <c r="R160" s="135"/>
      <c r="S160" s="83"/>
      <c r="T160" s="83"/>
      <c r="U160" s="110"/>
      <c r="V160" s="110"/>
      <c r="W160" s="110"/>
      <c r="X160" s="110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3"/>
      <c r="AJ160" s="83"/>
      <c r="AK160" s="83"/>
      <c r="AL160" s="83"/>
      <c r="AM160" s="83"/>
      <c r="AN160" s="83"/>
      <c r="AO160" s="83"/>
      <c r="AP160" s="83"/>
      <c r="AQ160" s="83"/>
      <c r="AR160" s="84"/>
    </row>
    <row r="161" ht="12.75" customHeight="1">
      <c r="A161" s="77"/>
      <c r="B161" s="83"/>
      <c r="C161" s="83"/>
      <c r="D161" s="83"/>
      <c r="E161" s="83"/>
      <c r="F161" s="83"/>
      <c r="G161" s="83"/>
      <c r="H161" s="134"/>
      <c r="I161" s="134"/>
      <c r="J161" s="134"/>
      <c r="K161" s="83"/>
      <c r="L161" s="135"/>
      <c r="M161" s="135"/>
      <c r="N161" s="135"/>
      <c r="O161" s="135"/>
      <c r="P161" s="135"/>
      <c r="Q161" s="135"/>
      <c r="R161" s="135"/>
      <c r="S161" s="83"/>
      <c r="T161" s="83"/>
      <c r="U161" s="110"/>
      <c r="V161" s="110"/>
      <c r="W161" s="110"/>
      <c r="X161" s="110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3"/>
      <c r="AJ161" s="83"/>
      <c r="AK161" s="83"/>
      <c r="AL161" s="83"/>
      <c r="AM161" s="83"/>
      <c r="AN161" s="83"/>
      <c r="AO161" s="83"/>
      <c r="AP161" s="83"/>
      <c r="AQ161" s="83"/>
      <c r="AR161" s="84"/>
    </row>
    <row r="162" ht="12.75" customHeight="1">
      <c r="A162" s="77"/>
      <c r="B162" s="83"/>
      <c r="C162" s="83"/>
      <c r="D162" s="83"/>
      <c r="E162" s="83"/>
      <c r="F162" s="83"/>
      <c r="G162" s="83"/>
      <c r="H162" s="134"/>
      <c r="I162" s="134"/>
      <c r="J162" s="134"/>
      <c r="K162" s="83"/>
      <c r="L162" s="135"/>
      <c r="M162" s="135"/>
      <c r="N162" s="135"/>
      <c r="O162" s="135"/>
      <c r="P162" s="135"/>
      <c r="Q162" s="135"/>
      <c r="R162" s="135"/>
      <c r="S162" s="83"/>
      <c r="T162" s="83"/>
      <c r="U162" s="110"/>
      <c r="V162" s="110"/>
      <c r="W162" s="110"/>
      <c r="X162" s="110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3"/>
      <c r="AJ162" s="83"/>
      <c r="AK162" s="83"/>
      <c r="AL162" s="83"/>
      <c r="AM162" s="83"/>
      <c r="AN162" s="83"/>
      <c r="AO162" s="83"/>
      <c r="AP162" s="83"/>
      <c r="AQ162" s="83"/>
      <c r="AR162" s="84"/>
    </row>
    <row r="163" ht="12.75" customHeight="1">
      <c r="A163" s="77"/>
      <c r="B163" s="83"/>
      <c r="C163" s="83"/>
      <c r="D163" s="83"/>
      <c r="E163" s="83"/>
      <c r="F163" s="83"/>
      <c r="G163" s="83"/>
      <c r="H163" s="134"/>
      <c r="I163" s="134"/>
      <c r="J163" s="134"/>
      <c r="K163" s="83"/>
      <c r="L163" s="135"/>
      <c r="M163" s="135"/>
      <c r="N163" s="135"/>
      <c r="O163" s="135"/>
      <c r="P163" s="135"/>
      <c r="Q163" s="135"/>
      <c r="R163" s="135"/>
      <c r="S163" s="83"/>
      <c r="T163" s="83"/>
      <c r="U163" s="110"/>
      <c r="V163" s="110"/>
      <c r="W163" s="110"/>
      <c r="X163" s="110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3"/>
      <c r="AJ163" s="83"/>
      <c r="AK163" s="83"/>
      <c r="AL163" s="83"/>
      <c r="AM163" s="83"/>
      <c r="AN163" s="83"/>
      <c r="AO163" s="83"/>
      <c r="AP163" s="83"/>
      <c r="AQ163" s="83"/>
      <c r="AR163" s="84"/>
    </row>
    <row r="164" ht="12.75" customHeight="1">
      <c r="A164" s="77"/>
      <c r="B164" s="83"/>
      <c r="C164" s="83"/>
      <c r="D164" s="83"/>
      <c r="E164" s="83"/>
      <c r="F164" s="83"/>
      <c r="G164" s="83"/>
      <c r="H164" s="134"/>
      <c r="I164" s="134"/>
      <c r="J164" s="134"/>
      <c r="K164" s="83"/>
      <c r="L164" s="135"/>
      <c r="M164" s="135"/>
      <c r="N164" s="135"/>
      <c r="O164" s="135"/>
      <c r="P164" s="135"/>
      <c r="Q164" s="135"/>
      <c r="R164" s="135"/>
      <c r="S164" s="83"/>
      <c r="T164" s="83"/>
      <c r="U164" s="110"/>
      <c r="V164" s="110"/>
      <c r="W164" s="110"/>
      <c r="X164" s="110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3"/>
      <c r="AJ164" s="83"/>
      <c r="AK164" s="83"/>
      <c r="AL164" s="83"/>
      <c r="AM164" s="83"/>
      <c r="AN164" s="83"/>
      <c r="AO164" s="83"/>
      <c r="AP164" s="83"/>
      <c r="AQ164" s="83"/>
      <c r="AR164" s="84"/>
    </row>
    <row r="165" ht="12.75" customHeight="1">
      <c r="A165" s="77"/>
      <c r="B165" s="83"/>
      <c r="C165" s="83"/>
      <c r="D165" s="83"/>
      <c r="E165" s="83"/>
      <c r="F165" s="83"/>
      <c r="G165" s="83"/>
      <c r="H165" s="134"/>
      <c r="I165" s="134"/>
      <c r="J165" s="134"/>
      <c r="K165" s="83"/>
      <c r="L165" s="135"/>
      <c r="M165" s="135"/>
      <c r="N165" s="135"/>
      <c r="O165" s="135"/>
      <c r="P165" s="135"/>
      <c r="Q165" s="135"/>
      <c r="R165" s="135"/>
      <c r="S165" s="83"/>
      <c r="T165" s="83"/>
      <c r="U165" s="110"/>
      <c r="V165" s="110"/>
      <c r="W165" s="110"/>
      <c r="X165" s="110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3"/>
      <c r="AJ165" s="83"/>
      <c r="AK165" s="83"/>
      <c r="AL165" s="83"/>
      <c r="AM165" s="83"/>
      <c r="AN165" s="83"/>
      <c r="AO165" s="83"/>
      <c r="AP165" s="83"/>
      <c r="AQ165" s="83"/>
      <c r="AR165" s="84"/>
    </row>
    <row r="166" ht="12.75" customHeight="1">
      <c r="A166" s="77"/>
      <c r="B166" s="83"/>
      <c r="C166" s="83"/>
      <c r="D166" s="83"/>
      <c r="E166" s="83"/>
      <c r="F166" s="83"/>
      <c r="G166" s="83"/>
      <c r="H166" s="134"/>
      <c r="I166" s="134"/>
      <c r="J166" s="134"/>
      <c r="K166" s="83"/>
      <c r="L166" s="135"/>
      <c r="M166" s="135"/>
      <c r="N166" s="135"/>
      <c r="O166" s="135"/>
      <c r="P166" s="135"/>
      <c r="Q166" s="135"/>
      <c r="R166" s="135"/>
      <c r="S166" s="83"/>
      <c r="T166" s="83"/>
      <c r="U166" s="110"/>
      <c r="V166" s="110"/>
      <c r="W166" s="110"/>
      <c r="X166" s="110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3"/>
      <c r="AJ166" s="83"/>
      <c r="AK166" s="83"/>
      <c r="AL166" s="83"/>
      <c r="AM166" s="83"/>
      <c r="AN166" s="83"/>
      <c r="AO166" s="83"/>
      <c r="AP166" s="83"/>
      <c r="AQ166" s="83"/>
      <c r="AR166" s="84"/>
    </row>
    <row r="167" ht="12.75" customHeight="1">
      <c r="A167" s="77"/>
      <c r="B167" s="83"/>
      <c r="C167" s="83"/>
      <c r="D167" s="83"/>
      <c r="E167" s="83"/>
      <c r="F167" s="83"/>
      <c r="G167" s="83"/>
      <c r="H167" s="134"/>
      <c r="I167" s="134"/>
      <c r="J167" s="134"/>
      <c r="K167" s="83"/>
      <c r="L167" s="135"/>
      <c r="M167" s="135"/>
      <c r="N167" s="135"/>
      <c r="O167" s="135"/>
      <c r="P167" s="135"/>
      <c r="Q167" s="135"/>
      <c r="R167" s="135"/>
      <c r="S167" s="83"/>
      <c r="T167" s="83"/>
      <c r="U167" s="110"/>
      <c r="V167" s="110"/>
      <c r="W167" s="110"/>
      <c r="X167" s="110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3"/>
      <c r="AJ167" s="83"/>
      <c r="AK167" s="83"/>
      <c r="AL167" s="83"/>
      <c r="AM167" s="83"/>
      <c r="AN167" s="83"/>
      <c r="AO167" s="83"/>
      <c r="AP167" s="83"/>
      <c r="AQ167" s="83"/>
      <c r="AR167" s="84"/>
    </row>
    <row r="168" ht="12.75" customHeight="1">
      <c r="A168" s="77"/>
      <c r="B168" s="83"/>
      <c r="C168" s="83"/>
      <c r="D168" s="83"/>
      <c r="E168" s="83"/>
      <c r="F168" s="83"/>
      <c r="G168" s="83"/>
      <c r="H168" s="134"/>
      <c r="I168" s="134"/>
      <c r="J168" s="134"/>
      <c r="K168" s="83"/>
      <c r="L168" s="135"/>
      <c r="M168" s="135"/>
      <c r="N168" s="135"/>
      <c r="O168" s="135"/>
      <c r="P168" s="135"/>
      <c r="Q168" s="135"/>
      <c r="R168" s="135"/>
      <c r="S168" s="83"/>
      <c r="T168" s="83"/>
      <c r="U168" s="110"/>
      <c r="V168" s="110"/>
      <c r="W168" s="110"/>
      <c r="X168" s="110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3"/>
      <c r="AJ168" s="83"/>
      <c r="AK168" s="83"/>
      <c r="AL168" s="83"/>
      <c r="AM168" s="83"/>
      <c r="AN168" s="83"/>
      <c r="AO168" s="83"/>
      <c r="AP168" s="83"/>
      <c r="AQ168" s="83"/>
      <c r="AR168" s="84"/>
    </row>
    <row r="169" ht="12.75" customHeight="1">
      <c r="A169" s="77"/>
      <c r="B169" s="83"/>
      <c r="C169" s="83"/>
      <c r="D169" s="83"/>
      <c r="E169" s="83"/>
      <c r="F169" s="83"/>
      <c r="G169" s="83"/>
      <c r="H169" s="134"/>
      <c r="I169" s="134"/>
      <c r="J169" s="134"/>
      <c r="K169" s="83"/>
      <c r="L169" s="135"/>
      <c r="M169" s="135"/>
      <c r="N169" s="135"/>
      <c r="O169" s="135"/>
      <c r="P169" s="135"/>
      <c r="Q169" s="135"/>
      <c r="R169" s="135"/>
      <c r="S169" s="83"/>
      <c r="T169" s="83"/>
      <c r="U169" s="110"/>
      <c r="V169" s="110"/>
      <c r="W169" s="110"/>
      <c r="X169" s="110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3"/>
      <c r="AJ169" s="83"/>
      <c r="AK169" s="83"/>
      <c r="AL169" s="83"/>
      <c r="AM169" s="83"/>
      <c r="AN169" s="83"/>
      <c r="AO169" s="83"/>
      <c r="AP169" s="83"/>
      <c r="AQ169" s="83"/>
      <c r="AR169" s="84"/>
    </row>
    <row r="170" ht="12.75" customHeight="1">
      <c r="A170" s="77"/>
      <c r="B170" s="83"/>
      <c r="C170" s="83"/>
      <c r="D170" s="83"/>
      <c r="E170" s="83"/>
      <c r="F170" s="83"/>
      <c r="G170" s="83"/>
      <c r="H170" s="134"/>
      <c r="I170" s="134"/>
      <c r="J170" s="134"/>
      <c r="K170" s="83"/>
      <c r="L170" s="135"/>
      <c r="M170" s="135"/>
      <c r="N170" s="135"/>
      <c r="O170" s="135"/>
      <c r="P170" s="135"/>
      <c r="Q170" s="135"/>
      <c r="R170" s="135"/>
      <c r="S170" s="83"/>
      <c r="T170" s="83"/>
      <c r="U170" s="110"/>
      <c r="V170" s="110"/>
      <c r="W170" s="110"/>
      <c r="X170" s="110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3"/>
      <c r="AJ170" s="83"/>
      <c r="AK170" s="83"/>
      <c r="AL170" s="83"/>
      <c r="AM170" s="83"/>
      <c r="AN170" s="83"/>
      <c r="AO170" s="83"/>
      <c r="AP170" s="83"/>
      <c r="AQ170" s="83"/>
      <c r="AR170" s="84"/>
    </row>
    <row r="171" ht="12.75" customHeight="1">
      <c r="A171" s="77"/>
      <c r="B171" s="83"/>
      <c r="C171" s="83"/>
      <c r="D171" s="83"/>
      <c r="E171" s="83"/>
      <c r="F171" s="83"/>
      <c r="G171" s="83"/>
      <c r="H171" s="134"/>
      <c r="I171" s="134"/>
      <c r="J171" s="134"/>
      <c r="K171" s="83"/>
      <c r="L171" s="135"/>
      <c r="M171" s="135"/>
      <c r="N171" s="135"/>
      <c r="O171" s="135"/>
      <c r="P171" s="135"/>
      <c r="Q171" s="135"/>
      <c r="R171" s="135"/>
      <c r="S171" s="83"/>
      <c r="T171" s="83"/>
      <c r="U171" s="110"/>
      <c r="V171" s="110"/>
      <c r="W171" s="110"/>
      <c r="X171" s="110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3"/>
      <c r="AJ171" s="83"/>
      <c r="AK171" s="83"/>
      <c r="AL171" s="83"/>
      <c r="AM171" s="83"/>
      <c r="AN171" s="83"/>
      <c r="AO171" s="83"/>
      <c r="AP171" s="83"/>
      <c r="AQ171" s="83"/>
      <c r="AR171" s="84"/>
    </row>
    <row r="172" ht="12.75" customHeight="1">
      <c r="A172" s="77"/>
      <c r="B172" s="83"/>
      <c r="C172" s="83"/>
      <c r="D172" s="83"/>
      <c r="E172" s="83"/>
      <c r="F172" s="83"/>
      <c r="G172" s="83"/>
      <c r="H172" s="134"/>
      <c r="I172" s="134"/>
      <c r="J172" s="134"/>
      <c r="K172" s="83"/>
      <c r="L172" s="135"/>
      <c r="M172" s="135"/>
      <c r="N172" s="135"/>
      <c r="O172" s="135"/>
      <c r="P172" s="135"/>
      <c r="Q172" s="135"/>
      <c r="R172" s="135"/>
      <c r="S172" s="83"/>
      <c r="T172" s="83"/>
      <c r="U172" s="110"/>
      <c r="V172" s="110"/>
      <c r="W172" s="110"/>
      <c r="X172" s="110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3"/>
      <c r="AJ172" s="83"/>
      <c r="AK172" s="83"/>
      <c r="AL172" s="83"/>
      <c r="AM172" s="83"/>
      <c r="AN172" s="83"/>
      <c r="AO172" s="83"/>
      <c r="AP172" s="83"/>
      <c r="AQ172" s="83"/>
      <c r="AR172" s="84"/>
    </row>
    <row r="173" ht="12.75" customHeight="1">
      <c r="A173" s="77"/>
      <c r="B173" s="83"/>
      <c r="C173" s="83"/>
      <c r="D173" s="83"/>
      <c r="E173" s="83"/>
      <c r="F173" s="83"/>
      <c r="G173" s="83"/>
      <c r="H173" s="134"/>
      <c r="I173" s="134"/>
      <c r="J173" s="134"/>
      <c r="K173" s="83"/>
      <c r="L173" s="135"/>
      <c r="M173" s="135"/>
      <c r="N173" s="135"/>
      <c r="O173" s="135"/>
      <c r="P173" s="135"/>
      <c r="Q173" s="135"/>
      <c r="R173" s="135"/>
      <c r="S173" s="83"/>
      <c r="T173" s="83"/>
      <c r="U173" s="110"/>
      <c r="V173" s="110"/>
      <c r="W173" s="110"/>
      <c r="X173" s="110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3"/>
      <c r="AJ173" s="83"/>
      <c r="AK173" s="83"/>
      <c r="AL173" s="83"/>
      <c r="AM173" s="83"/>
      <c r="AN173" s="83"/>
      <c r="AO173" s="83"/>
      <c r="AP173" s="83"/>
      <c r="AQ173" s="83"/>
      <c r="AR173" s="84"/>
    </row>
    <row r="174" ht="12.75" customHeight="1">
      <c r="A174" s="77"/>
      <c r="B174" s="83"/>
      <c r="C174" s="83"/>
      <c r="D174" s="83"/>
      <c r="E174" s="83"/>
      <c r="F174" s="83"/>
      <c r="G174" s="83"/>
      <c r="H174" s="134"/>
      <c r="I174" s="134"/>
      <c r="J174" s="134"/>
      <c r="K174" s="83"/>
      <c r="L174" s="135"/>
      <c r="M174" s="135"/>
      <c r="N174" s="135"/>
      <c r="O174" s="135"/>
      <c r="P174" s="135"/>
      <c r="Q174" s="135"/>
      <c r="R174" s="135"/>
      <c r="S174" s="83"/>
      <c r="T174" s="83"/>
      <c r="U174" s="110"/>
      <c r="V174" s="110"/>
      <c r="W174" s="110"/>
      <c r="X174" s="110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3"/>
      <c r="AJ174" s="83"/>
      <c r="AK174" s="83"/>
      <c r="AL174" s="83"/>
      <c r="AM174" s="83"/>
      <c r="AN174" s="83"/>
      <c r="AO174" s="83"/>
      <c r="AP174" s="83"/>
      <c r="AQ174" s="83"/>
      <c r="AR174" s="84"/>
    </row>
    <row r="175" ht="12.75" customHeight="1">
      <c r="A175" s="77"/>
      <c r="B175" s="83"/>
      <c r="C175" s="83"/>
      <c r="D175" s="83"/>
      <c r="E175" s="83"/>
      <c r="F175" s="83"/>
      <c r="G175" s="83"/>
      <c r="H175" s="134"/>
      <c r="I175" s="134"/>
      <c r="J175" s="134"/>
      <c r="K175" s="83"/>
      <c r="L175" s="135"/>
      <c r="M175" s="135"/>
      <c r="N175" s="135"/>
      <c r="O175" s="135"/>
      <c r="P175" s="135"/>
      <c r="Q175" s="135"/>
      <c r="R175" s="135"/>
      <c r="S175" s="83"/>
      <c r="T175" s="83"/>
      <c r="U175" s="110"/>
      <c r="V175" s="110"/>
      <c r="W175" s="110"/>
      <c r="X175" s="110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3"/>
      <c r="AJ175" s="83"/>
      <c r="AK175" s="83"/>
      <c r="AL175" s="83"/>
      <c r="AM175" s="83"/>
      <c r="AN175" s="83"/>
      <c r="AO175" s="83"/>
      <c r="AP175" s="83"/>
      <c r="AQ175" s="83"/>
      <c r="AR175" s="84"/>
    </row>
    <row r="176" ht="12.75" customHeight="1">
      <c r="A176" s="77"/>
      <c r="B176" s="83"/>
      <c r="C176" s="83"/>
      <c r="D176" s="83"/>
      <c r="E176" s="83"/>
      <c r="F176" s="83"/>
      <c r="G176" s="83"/>
      <c r="H176" s="134"/>
      <c r="I176" s="134"/>
      <c r="J176" s="134"/>
      <c r="K176" s="83"/>
      <c r="L176" s="135"/>
      <c r="M176" s="135"/>
      <c r="N176" s="135"/>
      <c r="O176" s="135"/>
      <c r="P176" s="135"/>
      <c r="Q176" s="135"/>
      <c r="R176" s="135"/>
      <c r="S176" s="83"/>
      <c r="T176" s="83"/>
      <c r="U176" s="110"/>
      <c r="V176" s="110"/>
      <c r="W176" s="110"/>
      <c r="X176" s="110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3"/>
      <c r="AJ176" s="83"/>
      <c r="AK176" s="83"/>
      <c r="AL176" s="83"/>
      <c r="AM176" s="83"/>
      <c r="AN176" s="83"/>
      <c r="AO176" s="83"/>
      <c r="AP176" s="83"/>
      <c r="AQ176" s="83"/>
      <c r="AR176" s="84"/>
    </row>
    <row r="177" ht="12.75" customHeight="1">
      <c r="A177" s="77"/>
      <c r="B177" s="83"/>
      <c r="C177" s="83"/>
      <c r="D177" s="83"/>
      <c r="E177" s="83"/>
      <c r="F177" s="83"/>
      <c r="G177" s="83"/>
      <c r="H177" s="134"/>
      <c r="I177" s="134"/>
      <c r="J177" s="134"/>
      <c r="K177" s="83"/>
      <c r="L177" s="135"/>
      <c r="M177" s="135"/>
      <c r="N177" s="135"/>
      <c r="O177" s="135"/>
      <c r="P177" s="135"/>
      <c r="Q177" s="135"/>
      <c r="R177" s="135"/>
      <c r="S177" s="83"/>
      <c r="T177" s="83"/>
      <c r="U177" s="110"/>
      <c r="V177" s="110"/>
      <c r="W177" s="110"/>
      <c r="X177" s="110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3"/>
      <c r="AJ177" s="83"/>
      <c r="AK177" s="83"/>
      <c r="AL177" s="83"/>
      <c r="AM177" s="83"/>
      <c r="AN177" s="83"/>
      <c r="AO177" s="83"/>
      <c r="AP177" s="83"/>
      <c r="AQ177" s="83"/>
      <c r="AR177" s="84"/>
    </row>
    <row r="178" ht="12.75" customHeight="1">
      <c r="A178" s="77"/>
      <c r="B178" s="83"/>
      <c r="C178" s="83"/>
      <c r="D178" s="83"/>
      <c r="E178" s="83"/>
      <c r="F178" s="83"/>
      <c r="G178" s="83"/>
      <c r="H178" s="134"/>
      <c r="I178" s="134"/>
      <c r="J178" s="134"/>
      <c r="K178" s="83"/>
      <c r="L178" s="135"/>
      <c r="M178" s="135"/>
      <c r="N178" s="135"/>
      <c r="O178" s="135"/>
      <c r="P178" s="135"/>
      <c r="Q178" s="135"/>
      <c r="R178" s="135"/>
      <c r="S178" s="83"/>
      <c r="T178" s="83"/>
      <c r="U178" s="110"/>
      <c r="V178" s="110"/>
      <c r="W178" s="110"/>
      <c r="X178" s="110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3"/>
      <c r="AJ178" s="83"/>
      <c r="AK178" s="83"/>
      <c r="AL178" s="83"/>
      <c r="AM178" s="83"/>
      <c r="AN178" s="83"/>
      <c r="AO178" s="83"/>
      <c r="AP178" s="83"/>
      <c r="AQ178" s="83"/>
      <c r="AR178" s="84"/>
    </row>
    <row r="179" ht="12.75" customHeight="1">
      <c r="A179" s="77"/>
      <c r="B179" s="83"/>
      <c r="C179" s="83"/>
      <c r="D179" s="83"/>
      <c r="E179" s="83"/>
      <c r="F179" s="83"/>
      <c r="G179" s="83"/>
      <c r="H179" s="134"/>
      <c r="I179" s="134"/>
      <c r="J179" s="134"/>
      <c r="K179" s="83"/>
      <c r="L179" s="135"/>
      <c r="M179" s="135"/>
      <c r="N179" s="135"/>
      <c r="O179" s="135"/>
      <c r="P179" s="135"/>
      <c r="Q179" s="135"/>
      <c r="R179" s="135"/>
      <c r="S179" s="83"/>
      <c r="T179" s="83"/>
      <c r="U179" s="110"/>
      <c r="V179" s="110"/>
      <c r="W179" s="110"/>
      <c r="X179" s="110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3"/>
      <c r="AJ179" s="83"/>
      <c r="AK179" s="83"/>
      <c r="AL179" s="83"/>
      <c r="AM179" s="83"/>
      <c r="AN179" s="83"/>
      <c r="AO179" s="83"/>
      <c r="AP179" s="83"/>
      <c r="AQ179" s="83"/>
      <c r="AR179" s="84"/>
    </row>
    <row r="180" ht="12.75" customHeight="1">
      <c r="A180" s="77"/>
      <c r="B180" s="83"/>
      <c r="C180" s="83"/>
      <c r="D180" s="83"/>
      <c r="E180" s="83"/>
      <c r="F180" s="83"/>
      <c r="G180" s="83"/>
      <c r="H180" s="134"/>
      <c r="I180" s="134"/>
      <c r="J180" s="134"/>
      <c r="K180" s="83"/>
      <c r="L180" s="135"/>
      <c r="M180" s="135"/>
      <c r="N180" s="135"/>
      <c r="O180" s="135"/>
      <c r="P180" s="135"/>
      <c r="Q180" s="135"/>
      <c r="R180" s="135"/>
      <c r="S180" s="83"/>
      <c r="T180" s="83"/>
      <c r="U180" s="110"/>
      <c r="V180" s="110"/>
      <c r="W180" s="110"/>
      <c r="X180" s="110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3"/>
      <c r="AJ180" s="83"/>
      <c r="AK180" s="83"/>
      <c r="AL180" s="83"/>
      <c r="AM180" s="83"/>
      <c r="AN180" s="83"/>
      <c r="AO180" s="83"/>
      <c r="AP180" s="83"/>
      <c r="AQ180" s="83"/>
      <c r="AR180" s="84"/>
    </row>
    <row r="181" ht="12.75" customHeight="1">
      <c r="A181" s="77"/>
      <c r="B181" s="83"/>
      <c r="C181" s="83"/>
      <c r="D181" s="83"/>
      <c r="E181" s="83"/>
      <c r="F181" s="83"/>
      <c r="G181" s="83"/>
      <c r="H181" s="134"/>
      <c r="I181" s="134"/>
      <c r="J181" s="134"/>
      <c r="K181" s="83"/>
      <c r="L181" s="135"/>
      <c r="M181" s="135"/>
      <c r="N181" s="135"/>
      <c r="O181" s="135"/>
      <c r="P181" s="135"/>
      <c r="Q181" s="135"/>
      <c r="R181" s="135"/>
      <c r="S181" s="83"/>
      <c r="T181" s="83"/>
      <c r="U181" s="110"/>
      <c r="V181" s="110"/>
      <c r="W181" s="110"/>
      <c r="X181" s="110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3"/>
      <c r="AJ181" s="83"/>
      <c r="AK181" s="83"/>
      <c r="AL181" s="83"/>
      <c r="AM181" s="83"/>
      <c r="AN181" s="83"/>
      <c r="AO181" s="83"/>
      <c r="AP181" s="83"/>
      <c r="AQ181" s="83"/>
      <c r="AR181" s="84"/>
    </row>
    <row r="182" ht="12.75" customHeight="1">
      <c r="A182" s="77"/>
      <c r="B182" s="83"/>
      <c r="C182" s="83"/>
      <c r="D182" s="83"/>
      <c r="E182" s="83"/>
      <c r="F182" s="83"/>
      <c r="G182" s="83"/>
      <c r="H182" s="134"/>
      <c r="I182" s="134"/>
      <c r="J182" s="134"/>
      <c r="K182" s="83"/>
      <c r="L182" s="135"/>
      <c r="M182" s="135"/>
      <c r="N182" s="135"/>
      <c r="O182" s="135"/>
      <c r="P182" s="135"/>
      <c r="Q182" s="135"/>
      <c r="R182" s="135"/>
      <c r="S182" s="83"/>
      <c r="T182" s="83"/>
      <c r="U182" s="110"/>
      <c r="V182" s="110"/>
      <c r="W182" s="110"/>
      <c r="X182" s="110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3"/>
      <c r="AJ182" s="83"/>
      <c r="AK182" s="83"/>
      <c r="AL182" s="83"/>
      <c r="AM182" s="83"/>
      <c r="AN182" s="83"/>
      <c r="AO182" s="83"/>
      <c r="AP182" s="83"/>
      <c r="AQ182" s="83"/>
      <c r="AR182" s="84"/>
    </row>
    <row r="183" ht="12.75" customHeight="1">
      <c r="A183" s="77"/>
      <c r="B183" s="83"/>
      <c r="C183" s="83"/>
      <c r="D183" s="83"/>
      <c r="E183" s="83"/>
      <c r="F183" s="83"/>
      <c r="G183" s="83"/>
      <c r="H183" s="134"/>
      <c r="I183" s="134"/>
      <c r="J183" s="134"/>
      <c r="K183" s="83"/>
      <c r="L183" s="135"/>
      <c r="M183" s="135"/>
      <c r="N183" s="135"/>
      <c r="O183" s="135"/>
      <c r="P183" s="135"/>
      <c r="Q183" s="135"/>
      <c r="R183" s="135"/>
      <c r="S183" s="83"/>
      <c r="T183" s="83"/>
      <c r="U183" s="110"/>
      <c r="V183" s="110"/>
      <c r="W183" s="110"/>
      <c r="X183" s="110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3"/>
      <c r="AJ183" s="83"/>
      <c r="AK183" s="83"/>
      <c r="AL183" s="83"/>
      <c r="AM183" s="83"/>
      <c r="AN183" s="83"/>
      <c r="AO183" s="83"/>
      <c r="AP183" s="83"/>
      <c r="AQ183" s="83"/>
      <c r="AR183" s="84"/>
    </row>
    <row r="184" ht="12.75" customHeight="1">
      <c r="A184" s="77"/>
      <c r="B184" s="83"/>
      <c r="C184" s="83"/>
      <c r="D184" s="83"/>
      <c r="E184" s="83"/>
      <c r="F184" s="83"/>
      <c r="G184" s="83"/>
      <c r="H184" s="134"/>
      <c r="I184" s="134"/>
      <c r="J184" s="134"/>
      <c r="K184" s="83"/>
      <c r="L184" s="135"/>
      <c r="M184" s="135"/>
      <c r="N184" s="135"/>
      <c r="O184" s="135"/>
      <c r="P184" s="135"/>
      <c r="Q184" s="135"/>
      <c r="R184" s="135"/>
      <c r="S184" s="83"/>
      <c r="T184" s="83"/>
      <c r="U184" s="110"/>
      <c r="V184" s="110"/>
      <c r="W184" s="110"/>
      <c r="X184" s="110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3"/>
      <c r="AJ184" s="83"/>
      <c r="AK184" s="83"/>
      <c r="AL184" s="83"/>
      <c r="AM184" s="83"/>
      <c r="AN184" s="83"/>
      <c r="AO184" s="83"/>
      <c r="AP184" s="83"/>
      <c r="AQ184" s="83"/>
      <c r="AR184" s="84"/>
    </row>
    <row r="185" ht="12.75" customHeight="1">
      <c r="A185" s="77"/>
      <c r="B185" s="83"/>
      <c r="C185" s="83"/>
      <c r="D185" s="83"/>
      <c r="E185" s="83"/>
      <c r="F185" s="83"/>
      <c r="G185" s="83"/>
      <c r="H185" s="134"/>
      <c r="I185" s="134"/>
      <c r="J185" s="134"/>
      <c r="K185" s="83"/>
      <c r="L185" s="135"/>
      <c r="M185" s="135"/>
      <c r="N185" s="135"/>
      <c r="O185" s="135"/>
      <c r="P185" s="135"/>
      <c r="Q185" s="135"/>
      <c r="R185" s="135"/>
      <c r="S185" s="83"/>
      <c r="T185" s="83"/>
      <c r="U185" s="110"/>
      <c r="V185" s="110"/>
      <c r="W185" s="110"/>
      <c r="X185" s="110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3"/>
      <c r="AJ185" s="83"/>
      <c r="AK185" s="83"/>
      <c r="AL185" s="83"/>
      <c r="AM185" s="83"/>
      <c r="AN185" s="83"/>
      <c r="AO185" s="83"/>
      <c r="AP185" s="83"/>
      <c r="AQ185" s="83"/>
      <c r="AR185" s="84"/>
    </row>
    <row r="186" ht="12.75" customHeight="1">
      <c r="A186" s="77"/>
      <c r="B186" s="83"/>
      <c r="C186" s="83"/>
      <c r="D186" s="83"/>
      <c r="E186" s="83"/>
      <c r="F186" s="83"/>
      <c r="G186" s="83"/>
      <c r="H186" s="134"/>
      <c r="I186" s="134"/>
      <c r="J186" s="134"/>
      <c r="K186" s="83"/>
      <c r="L186" s="135"/>
      <c r="M186" s="135"/>
      <c r="N186" s="135"/>
      <c r="O186" s="135"/>
      <c r="P186" s="135"/>
      <c r="Q186" s="135"/>
      <c r="R186" s="135"/>
      <c r="S186" s="83"/>
      <c r="T186" s="83"/>
      <c r="U186" s="110"/>
      <c r="V186" s="110"/>
      <c r="W186" s="110"/>
      <c r="X186" s="110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3"/>
      <c r="AJ186" s="83"/>
      <c r="AK186" s="83"/>
      <c r="AL186" s="83"/>
      <c r="AM186" s="83"/>
      <c r="AN186" s="83"/>
      <c r="AO186" s="83"/>
      <c r="AP186" s="83"/>
      <c r="AQ186" s="83"/>
      <c r="AR186" s="84"/>
    </row>
    <row r="187" ht="12.75" customHeight="1">
      <c r="A187" s="77"/>
      <c r="B187" s="83"/>
      <c r="C187" s="83"/>
      <c r="D187" s="83"/>
      <c r="E187" s="83"/>
      <c r="F187" s="83"/>
      <c r="G187" s="83"/>
      <c r="H187" s="134"/>
      <c r="I187" s="134"/>
      <c r="J187" s="134"/>
      <c r="K187" s="83"/>
      <c r="L187" s="135"/>
      <c r="M187" s="135"/>
      <c r="N187" s="135"/>
      <c r="O187" s="135"/>
      <c r="P187" s="135"/>
      <c r="Q187" s="135"/>
      <c r="R187" s="135"/>
      <c r="S187" s="83"/>
      <c r="T187" s="83"/>
      <c r="U187" s="110"/>
      <c r="V187" s="110"/>
      <c r="W187" s="110"/>
      <c r="X187" s="110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3"/>
      <c r="AJ187" s="83"/>
      <c r="AK187" s="83"/>
      <c r="AL187" s="83"/>
      <c r="AM187" s="83"/>
      <c r="AN187" s="83"/>
      <c r="AO187" s="83"/>
      <c r="AP187" s="83"/>
      <c r="AQ187" s="83"/>
      <c r="AR187" s="84"/>
    </row>
    <row r="188" ht="12.75" customHeight="1">
      <c r="A188" s="77"/>
      <c r="B188" s="83"/>
      <c r="C188" s="83"/>
      <c r="D188" s="83"/>
      <c r="E188" s="83"/>
      <c r="F188" s="83"/>
      <c r="G188" s="83"/>
      <c r="H188" s="134"/>
      <c r="I188" s="134"/>
      <c r="J188" s="134"/>
      <c r="K188" s="83"/>
      <c r="L188" s="135"/>
      <c r="M188" s="135"/>
      <c r="N188" s="135"/>
      <c r="O188" s="135"/>
      <c r="P188" s="135"/>
      <c r="Q188" s="135"/>
      <c r="R188" s="135"/>
      <c r="S188" s="83"/>
      <c r="T188" s="83"/>
      <c r="U188" s="110"/>
      <c r="V188" s="110"/>
      <c r="W188" s="110"/>
      <c r="X188" s="110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3"/>
      <c r="AJ188" s="83"/>
      <c r="AK188" s="83"/>
      <c r="AL188" s="83"/>
      <c r="AM188" s="83"/>
      <c r="AN188" s="83"/>
      <c r="AO188" s="83"/>
      <c r="AP188" s="83"/>
      <c r="AQ188" s="83"/>
      <c r="AR188" s="84"/>
    </row>
    <row r="189" ht="12.75" customHeight="1">
      <c r="A189" s="77"/>
      <c r="B189" s="83"/>
      <c r="C189" s="83"/>
      <c r="D189" s="83"/>
      <c r="E189" s="83"/>
      <c r="F189" s="83"/>
      <c r="G189" s="83"/>
      <c r="H189" s="134"/>
      <c r="I189" s="134"/>
      <c r="J189" s="134"/>
      <c r="K189" s="83"/>
      <c r="L189" s="135"/>
      <c r="M189" s="135"/>
      <c r="N189" s="135"/>
      <c r="O189" s="135"/>
      <c r="P189" s="135"/>
      <c r="Q189" s="135"/>
      <c r="R189" s="135"/>
      <c r="S189" s="83"/>
      <c r="T189" s="83"/>
      <c r="U189" s="110"/>
      <c r="V189" s="110"/>
      <c r="W189" s="110"/>
      <c r="X189" s="110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3"/>
      <c r="AJ189" s="83"/>
      <c r="AK189" s="83"/>
      <c r="AL189" s="83"/>
      <c r="AM189" s="83"/>
      <c r="AN189" s="83"/>
      <c r="AO189" s="83"/>
      <c r="AP189" s="83"/>
      <c r="AQ189" s="83"/>
      <c r="AR189" s="84"/>
    </row>
    <row r="190" ht="12.75" customHeight="1">
      <c r="A190" s="77"/>
      <c r="B190" s="83"/>
      <c r="C190" s="83"/>
      <c r="D190" s="83"/>
      <c r="E190" s="83"/>
      <c r="F190" s="83"/>
      <c r="G190" s="83"/>
      <c r="H190" s="134"/>
      <c r="I190" s="134"/>
      <c r="J190" s="134"/>
      <c r="K190" s="83"/>
      <c r="L190" s="135"/>
      <c r="M190" s="135"/>
      <c r="N190" s="135"/>
      <c r="O190" s="135"/>
      <c r="P190" s="135"/>
      <c r="Q190" s="135"/>
      <c r="R190" s="135"/>
      <c r="S190" s="83"/>
      <c r="T190" s="83"/>
      <c r="U190" s="110"/>
      <c r="V190" s="110"/>
      <c r="W190" s="110"/>
      <c r="X190" s="110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3"/>
      <c r="AJ190" s="83"/>
      <c r="AK190" s="83"/>
      <c r="AL190" s="83"/>
      <c r="AM190" s="83"/>
      <c r="AN190" s="83"/>
      <c r="AO190" s="83"/>
      <c r="AP190" s="83"/>
      <c r="AQ190" s="83"/>
      <c r="AR190" s="84"/>
    </row>
    <row r="191" ht="12.75" customHeight="1">
      <c r="A191" s="77"/>
      <c r="B191" s="83"/>
      <c r="C191" s="83"/>
      <c r="D191" s="83"/>
      <c r="E191" s="83"/>
      <c r="F191" s="83"/>
      <c r="G191" s="83"/>
      <c r="H191" s="134"/>
      <c r="I191" s="134"/>
      <c r="J191" s="134"/>
      <c r="K191" s="83"/>
      <c r="L191" s="135"/>
      <c r="M191" s="135"/>
      <c r="N191" s="135"/>
      <c r="O191" s="135"/>
      <c r="P191" s="135"/>
      <c r="Q191" s="135"/>
      <c r="R191" s="135"/>
      <c r="S191" s="83"/>
      <c r="T191" s="83"/>
      <c r="U191" s="110"/>
      <c r="V191" s="110"/>
      <c r="W191" s="110"/>
      <c r="X191" s="110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3"/>
      <c r="AJ191" s="83"/>
      <c r="AK191" s="83"/>
      <c r="AL191" s="83"/>
      <c r="AM191" s="83"/>
      <c r="AN191" s="83"/>
      <c r="AO191" s="83"/>
      <c r="AP191" s="83"/>
      <c r="AQ191" s="83"/>
      <c r="AR191" s="84"/>
    </row>
    <row r="192" ht="12.75" customHeight="1">
      <c r="A192" s="77"/>
      <c r="B192" s="83"/>
      <c r="C192" s="83"/>
      <c r="D192" s="83"/>
      <c r="E192" s="83"/>
      <c r="F192" s="83"/>
      <c r="G192" s="83"/>
      <c r="H192" s="134"/>
      <c r="I192" s="134"/>
      <c r="J192" s="134"/>
      <c r="K192" s="83"/>
      <c r="L192" s="135"/>
      <c r="M192" s="135"/>
      <c r="N192" s="135"/>
      <c r="O192" s="135"/>
      <c r="P192" s="135"/>
      <c r="Q192" s="135"/>
      <c r="R192" s="135"/>
      <c r="S192" s="83"/>
      <c r="T192" s="83"/>
      <c r="U192" s="110"/>
      <c r="V192" s="110"/>
      <c r="W192" s="110"/>
      <c r="X192" s="110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3"/>
      <c r="AJ192" s="83"/>
      <c r="AK192" s="83"/>
      <c r="AL192" s="83"/>
      <c r="AM192" s="83"/>
      <c r="AN192" s="83"/>
      <c r="AO192" s="83"/>
      <c r="AP192" s="83"/>
      <c r="AQ192" s="83"/>
      <c r="AR192" s="84"/>
    </row>
    <row r="193" ht="12.75" customHeight="1">
      <c r="A193" s="77"/>
      <c r="B193" s="83"/>
      <c r="C193" s="83"/>
      <c r="D193" s="83"/>
      <c r="E193" s="83"/>
      <c r="F193" s="83"/>
      <c r="G193" s="83"/>
      <c r="H193" s="134"/>
      <c r="I193" s="134"/>
      <c r="J193" s="134"/>
      <c r="K193" s="83"/>
      <c r="L193" s="135"/>
      <c r="M193" s="135"/>
      <c r="N193" s="135"/>
      <c r="O193" s="135"/>
      <c r="P193" s="135"/>
      <c r="Q193" s="135"/>
      <c r="R193" s="135"/>
      <c r="S193" s="83"/>
      <c r="T193" s="83"/>
      <c r="U193" s="110"/>
      <c r="V193" s="110"/>
      <c r="W193" s="110"/>
      <c r="X193" s="110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3"/>
      <c r="AJ193" s="83"/>
      <c r="AK193" s="83"/>
      <c r="AL193" s="83"/>
      <c r="AM193" s="83"/>
      <c r="AN193" s="83"/>
      <c r="AO193" s="83"/>
      <c r="AP193" s="83"/>
      <c r="AQ193" s="83"/>
      <c r="AR193" s="84"/>
    </row>
    <row r="194" ht="12.75" customHeight="1">
      <c r="A194" s="77"/>
      <c r="B194" s="83"/>
      <c r="C194" s="83"/>
      <c r="D194" s="83"/>
      <c r="E194" s="83"/>
      <c r="F194" s="83"/>
      <c r="G194" s="83"/>
      <c r="H194" s="134"/>
      <c r="I194" s="134"/>
      <c r="J194" s="134"/>
      <c r="K194" s="83"/>
      <c r="L194" s="135"/>
      <c r="M194" s="135"/>
      <c r="N194" s="135"/>
      <c r="O194" s="135"/>
      <c r="P194" s="135"/>
      <c r="Q194" s="135"/>
      <c r="R194" s="135"/>
      <c r="S194" s="83"/>
      <c r="T194" s="83"/>
      <c r="U194" s="110"/>
      <c r="V194" s="110"/>
      <c r="W194" s="110"/>
      <c r="X194" s="110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3"/>
      <c r="AJ194" s="83"/>
      <c r="AK194" s="83"/>
      <c r="AL194" s="83"/>
      <c r="AM194" s="83"/>
      <c r="AN194" s="83"/>
      <c r="AO194" s="83"/>
      <c r="AP194" s="83"/>
      <c r="AQ194" s="83"/>
      <c r="AR194" s="84"/>
    </row>
    <row r="195" ht="12.75" customHeight="1">
      <c r="A195" s="77"/>
      <c r="B195" s="83"/>
      <c r="C195" s="83"/>
      <c r="D195" s="83"/>
      <c r="E195" s="83"/>
      <c r="F195" s="83"/>
      <c r="G195" s="83"/>
      <c r="H195" s="134"/>
      <c r="I195" s="134"/>
      <c r="J195" s="134"/>
      <c r="K195" s="83"/>
      <c r="L195" s="135"/>
      <c r="M195" s="135"/>
      <c r="N195" s="135"/>
      <c r="O195" s="135"/>
      <c r="P195" s="135"/>
      <c r="Q195" s="135"/>
      <c r="R195" s="135"/>
      <c r="S195" s="83"/>
      <c r="T195" s="83"/>
      <c r="U195" s="110"/>
      <c r="V195" s="110"/>
      <c r="W195" s="110"/>
      <c r="X195" s="110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3"/>
      <c r="AJ195" s="83"/>
      <c r="AK195" s="83"/>
      <c r="AL195" s="83"/>
      <c r="AM195" s="83"/>
      <c r="AN195" s="83"/>
      <c r="AO195" s="83"/>
      <c r="AP195" s="83"/>
      <c r="AQ195" s="83"/>
      <c r="AR195" s="84"/>
    </row>
    <row r="196" ht="12.75" customHeight="1">
      <c r="A196" s="77"/>
      <c r="B196" s="83"/>
      <c r="C196" s="83"/>
      <c r="D196" s="83"/>
      <c r="E196" s="83"/>
      <c r="F196" s="83"/>
      <c r="G196" s="83"/>
      <c r="H196" s="134"/>
      <c r="I196" s="134"/>
      <c r="J196" s="134"/>
      <c r="K196" s="83"/>
      <c r="L196" s="135"/>
      <c r="M196" s="135"/>
      <c r="N196" s="135"/>
      <c r="O196" s="135"/>
      <c r="P196" s="135"/>
      <c r="Q196" s="135"/>
      <c r="R196" s="135"/>
      <c r="S196" s="83"/>
      <c r="T196" s="83"/>
      <c r="U196" s="110"/>
      <c r="V196" s="110"/>
      <c r="W196" s="110"/>
      <c r="X196" s="110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3"/>
      <c r="AJ196" s="83"/>
      <c r="AK196" s="83"/>
      <c r="AL196" s="83"/>
      <c r="AM196" s="83"/>
      <c r="AN196" s="83"/>
      <c r="AO196" s="83"/>
      <c r="AP196" s="83"/>
      <c r="AQ196" s="83"/>
      <c r="AR196" s="84"/>
    </row>
    <row r="197" ht="12.75" customHeight="1">
      <c r="A197" s="77"/>
      <c r="B197" s="83"/>
      <c r="C197" s="83"/>
      <c r="D197" s="83"/>
      <c r="E197" s="83"/>
      <c r="F197" s="83"/>
      <c r="G197" s="83"/>
      <c r="H197" s="134"/>
      <c r="I197" s="134"/>
      <c r="J197" s="134"/>
      <c r="K197" s="83"/>
      <c r="L197" s="135"/>
      <c r="M197" s="135"/>
      <c r="N197" s="135"/>
      <c r="O197" s="135"/>
      <c r="P197" s="135"/>
      <c r="Q197" s="135"/>
      <c r="R197" s="135"/>
      <c r="S197" s="83"/>
      <c r="T197" s="83"/>
      <c r="U197" s="110"/>
      <c r="V197" s="110"/>
      <c r="W197" s="110"/>
      <c r="X197" s="110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3"/>
      <c r="AJ197" s="83"/>
      <c r="AK197" s="83"/>
      <c r="AL197" s="83"/>
      <c r="AM197" s="83"/>
      <c r="AN197" s="83"/>
      <c r="AO197" s="83"/>
      <c r="AP197" s="83"/>
      <c r="AQ197" s="83"/>
      <c r="AR197" s="84"/>
    </row>
    <row r="198" ht="12.75" customHeight="1">
      <c r="A198" s="77"/>
      <c r="B198" s="83"/>
      <c r="C198" s="83"/>
      <c r="D198" s="83"/>
      <c r="E198" s="83"/>
      <c r="F198" s="83"/>
      <c r="G198" s="83"/>
      <c r="H198" s="134"/>
      <c r="I198" s="134"/>
      <c r="J198" s="134"/>
      <c r="K198" s="83"/>
      <c r="L198" s="135"/>
      <c r="M198" s="135"/>
      <c r="N198" s="135"/>
      <c r="O198" s="135"/>
      <c r="P198" s="135"/>
      <c r="Q198" s="135"/>
      <c r="R198" s="135"/>
      <c r="S198" s="83"/>
      <c r="T198" s="83"/>
      <c r="U198" s="110"/>
      <c r="V198" s="110"/>
      <c r="W198" s="110"/>
      <c r="X198" s="110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3"/>
      <c r="AJ198" s="83"/>
      <c r="AK198" s="83"/>
      <c r="AL198" s="83"/>
      <c r="AM198" s="83"/>
      <c r="AN198" s="83"/>
      <c r="AO198" s="83"/>
      <c r="AP198" s="83"/>
      <c r="AQ198" s="83"/>
      <c r="AR198" s="84"/>
    </row>
    <row r="199" ht="12.75" customHeight="1">
      <c r="A199" s="77"/>
      <c r="B199" s="83"/>
      <c r="C199" s="83"/>
      <c r="D199" s="83"/>
      <c r="E199" s="83"/>
      <c r="F199" s="83"/>
      <c r="G199" s="83"/>
      <c r="H199" s="134"/>
      <c r="I199" s="134"/>
      <c r="J199" s="134"/>
      <c r="K199" s="83"/>
      <c r="L199" s="135"/>
      <c r="M199" s="135"/>
      <c r="N199" s="135"/>
      <c r="O199" s="135"/>
      <c r="P199" s="135"/>
      <c r="Q199" s="135"/>
      <c r="R199" s="135"/>
      <c r="S199" s="83"/>
      <c r="T199" s="83"/>
      <c r="U199" s="110"/>
      <c r="V199" s="110"/>
      <c r="W199" s="110"/>
      <c r="X199" s="110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3"/>
      <c r="AJ199" s="83"/>
      <c r="AK199" s="83"/>
      <c r="AL199" s="83"/>
      <c r="AM199" s="83"/>
      <c r="AN199" s="83"/>
      <c r="AO199" s="83"/>
      <c r="AP199" s="83"/>
      <c r="AQ199" s="83"/>
      <c r="AR199" s="84"/>
    </row>
    <row r="200" ht="12.75" customHeight="1">
      <c r="A200" s="77"/>
      <c r="B200" s="83"/>
      <c r="C200" s="83"/>
      <c r="D200" s="83"/>
      <c r="E200" s="83"/>
      <c r="F200" s="83"/>
      <c r="G200" s="83"/>
      <c r="H200" s="134"/>
      <c r="I200" s="134"/>
      <c r="J200" s="134"/>
      <c r="K200" s="83"/>
      <c r="L200" s="135"/>
      <c r="M200" s="135"/>
      <c r="N200" s="135"/>
      <c r="O200" s="135"/>
      <c r="P200" s="135"/>
      <c r="Q200" s="135"/>
      <c r="R200" s="135"/>
      <c r="S200" s="83"/>
      <c r="T200" s="83"/>
      <c r="U200" s="110"/>
      <c r="V200" s="110"/>
      <c r="W200" s="110"/>
      <c r="X200" s="110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3"/>
      <c r="AJ200" s="83"/>
      <c r="AK200" s="83"/>
      <c r="AL200" s="83"/>
      <c r="AM200" s="83"/>
      <c r="AN200" s="83"/>
      <c r="AO200" s="83"/>
      <c r="AP200" s="83"/>
      <c r="AQ200" s="83"/>
      <c r="AR200" s="84"/>
    </row>
    <row r="201" ht="12.75" customHeight="1">
      <c r="A201" s="77"/>
      <c r="B201" s="83"/>
      <c r="C201" s="83"/>
      <c r="D201" s="83"/>
      <c r="E201" s="83"/>
      <c r="F201" s="83"/>
      <c r="G201" s="83"/>
      <c r="H201" s="134"/>
      <c r="I201" s="134"/>
      <c r="J201" s="134"/>
      <c r="K201" s="83"/>
      <c r="L201" s="135"/>
      <c r="M201" s="135"/>
      <c r="N201" s="135"/>
      <c r="O201" s="135"/>
      <c r="P201" s="135"/>
      <c r="Q201" s="135"/>
      <c r="R201" s="135"/>
      <c r="S201" s="83"/>
      <c r="T201" s="83"/>
      <c r="U201" s="110"/>
      <c r="V201" s="110"/>
      <c r="W201" s="110"/>
      <c r="X201" s="110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3"/>
      <c r="AJ201" s="83"/>
      <c r="AK201" s="83"/>
      <c r="AL201" s="83"/>
      <c r="AM201" s="83"/>
      <c r="AN201" s="83"/>
      <c r="AO201" s="83"/>
      <c r="AP201" s="83"/>
      <c r="AQ201" s="83"/>
      <c r="AR201" s="84"/>
    </row>
    <row r="202" ht="12.75" customHeight="1">
      <c r="A202" s="77"/>
      <c r="B202" s="83"/>
      <c r="C202" s="83"/>
      <c r="D202" s="83"/>
      <c r="E202" s="83"/>
      <c r="F202" s="83"/>
      <c r="G202" s="83"/>
      <c r="H202" s="134"/>
      <c r="I202" s="134"/>
      <c r="J202" s="134"/>
      <c r="K202" s="83"/>
      <c r="L202" s="135"/>
      <c r="M202" s="135"/>
      <c r="N202" s="135"/>
      <c r="O202" s="135"/>
      <c r="P202" s="135"/>
      <c r="Q202" s="135"/>
      <c r="R202" s="135"/>
      <c r="S202" s="83"/>
      <c r="T202" s="83"/>
      <c r="U202" s="110"/>
      <c r="V202" s="110"/>
      <c r="W202" s="110"/>
      <c r="X202" s="110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3"/>
      <c r="AJ202" s="83"/>
      <c r="AK202" s="83"/>
      <c r="AL202" s="83"/>
      <c r="AM202" s="83"/>
      <c r="AN202" s="83"/>
      <c r="AO202" s="83"/>
      <c r="AP202" s="83"/>
      <c r="AQ202" s="83"/>
      <c r="AR202" s="84"/>
    </row>
    <row r="203" ht="12.75" customHeight="1">
      <c r="A203" s="77"/>
      <c r="B203" s="83"/>
      <c r="C203" s="83"/>
      <c r="D203" s="83"/>
      <c r="E203" s="83"/>
      <c r="F203" s="83"/>
      <c r="G203" s="83"/>
      <c r="H203" s="134"/>
      <c r="I203" s="134"/>
      <c r="J203" s="134"/>
      <c r="K203" s="83"/>
      <c r="L203" s="135"/>
      <c r="M203" s="135"/>
      <c r="N203" s="135"/>
      <c r="O203" s="135"/>
      <c r="P203" s="135"/>
      <c r="Q203" s="135"/>
      <c r="R203" s="135"/>
      <c r="S203" s="83"/>
      <c r="T203" s="83"/>
      <c r="U203" s="110"/>
      <c r="V203" s="110"/>
      <c r="W203" s="110"/>
      <c r="X203" s="110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3"/>
      <c r="AJ203" s="83"/>
      <c r="AK203" s="83"/>
      <c r="AL203" s="83"/>
      <c r="AM203" s="83"/>
      <c r="AN203" s="83"/>
      <c r="AO203" s="83"/>
      <c r="AP203" s="83"/>
      <c r="AQ203" s="83"/>
      <c r="AR203" s="84"/>
    </row>
    <row r="204" ht="12.75" customHeight="1">
      <c r="A204" s="77"/>
      <c r="B204" s="83"/>
      <c r="C204" s="83"/>
      <c r="D204" s="83"/>
      <c r="E204" s="83"/>
      <c r="F204" s="83"/>
      <c r="G204" s="83"/>
      <c r="H204" s="134"/>
      <c r="I204" s="134"/>
      <c r="J204" s="134"/>
      <c r="K204" s="83"/>
      <c r="L204" s="135"/>
      <c r="M204" s="135"/>
      <c r="N204" s="135"/>
      <c r="O204" s="135"/>
      <c r="P204" s="135"/>
      <c r="Q204" s="135"/>
      <c r="R204" s="135"/>
      <c r="S204" s="83"/>
      <c r="T204" s="83"/>
      <c r="U204" s="110"/>
      <c r="V204" s="110"/>
      <c r="W204" s="110"/>
      <c r="X204" s="110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3"/>
      <c r="AJ204" s="83"/>
      <c r="AK204" s="83"/>
      <c r="AL204" s="83"/>
      <c r="AM204" s="83"/>
      <c r="AN204" s="83"/>
      <c r="AO204" s="83"/>
      <c r="AP204" s="83"/>
      <c r="AQ204" s="83"/>
      <c r="AR204" s="84"/>
    </row>
    <row r="205" ht="12.75" customHeight="1">
      <c r="A205" s="77"/>
      <c r="B205" s="83"/>
      <c r="C205" s="83"/>
      <c r="D205" s="83"/>
      <c r="E205" s="83"/>
      <c r="F205" s="83"/>
      <c r="G205" s="83"/>
      <c r="H205" s="134"/>
      <c r="I205" s="134"/>
      <c r="J205" s="134"/>
      <c r="K205" s="83"/>
      <c r="L205" s="135"/>
      <c r="M205" s="135"/>
      <c r="N205" s="135"/>
      <c r="O205" s="135"/>
      <c r="P205" s="135"/>
      <c r="Q205" s="135"/>
      <c r="R205" s="135"/>
      <c r="S205" s="83"/>
      <c r="T205" s="83"/>
      <c r="U205" s="110"/>
      <c r="V205" s="110"/>
      <c r="W205" s="110"/>
      <c r="X205" s="110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3"/>
      <c r="AJ205" s="83"/>
      <c r="AK205" s="83"/>
      <c r="AL205" s="83"/>
      <c r="AM205" s="83"/>
      <c r="AN205" s="83"/>
      <c r="AO205" s="83"/>
      <c r="AP205" s="83"/>
      <c r="AQ205" s="83"/>
      <c r="AR205" s="84"/>
    </row>
    <row r="206" ht="12.75" customHeight="1">
      <c r="A206" s="77"/>
      <c r="B206" s="83"/>
      <c r="C206" s="83"/>
      <c r="D206" s="83"/>
      <c r="E206" s="83"/>
      <c r="F206" s="83"/>
      <c r="G206" s="83"/>
      <c r="H206" s="134"/>
      <c r="I206" s="134"/>
      <c r="J206" s="134"/>
      <c r="K206" s="83"/>
      <c r="L206" s="135"/>
      <c r="M206" s="135"/>
      <c r="N206" s="135"/>
      <c r="O206" s="135"/>
      <c r="P206" s="135"/>
      <c r="Q206" s="135"/>
      <c r="R206" s="135"/>
      <c r="S206" s="83"/>
      <c r="T206" s="83"/>
      <c r="U206" s="110"/>
      <c r="V206" s="110"/>
      <c r="W206" s="110"/>
      <c r="X206" s="110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3"/>
      <c r="AJ206" s="83"/>
      <c r="AK206" s="83"/>
      <c r="AL206" s="83"/>
      <c r="AM206" s="83"/>
      <c r="AN206" s="83"/>
      <c r="AO206" s="83"/>
      <c r="AP206" s="83"/>
      <c r="AQ206" s="83"/>
      <c r="AR206" s="84"/>
    </row>
    <row r="207" ht="12.75" customHeight="1">
      <c r="A207" s="77"/>
      <c r="B207" s="83"/>
      <c r="C207" s="83"/>
      <c r="D207" s="83"/>
      <c r="E207" s="83"/>
      <c r="F207" s="83"/>
      <c r="G207" s="83"/>
      <c r="H207" s="134"/>
      <c r="I207" s="134"/>
      <c r="J207" s="134"/>
      <c r="K207" s="83"/>
      <c r="L207" s="135"/>
      <c r="M207" s="135"/>
      <c r="N207" s="135"/>
      <c r="O207" s="135"/>
      <c r="P207" s="135"/>
      <c r="Q207" s="135"/>
      <c r="R207" s="135"/>
      <c r="S207" s="83"/>
      <c r="T207" s="83"/>
      <c r="U207" s="110"/>
      <c r="V207" s="110"/>
      <c r="W207" s="110"/>
      <c r="X207" s="110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3"/>
      <c r="AJ207" s="83"/>
      <c r="AK207" s="83"/>
      <c r="AL207" s="83"/>
      <c r="AM207" s="83"/>
      <c r="AN207" s="83"/>
      <c r="AO207" s="83"/>
      <c r="AP207" s="83"/>
      <c r="AQ207" s="83"/>
      <c r="AR207" s="84"/>
    </row>
    <row r="208" ht="12.75" customHeight="1">
      <c r="A208" s="77"/>
      <c r="B208" s="83"/>
      <c r="C208" s="83"/>
      <c r="D208" s="83"/>
      <c r="E208" s="83"/>
      <c r="F208" s="83"/>
      <c r="G208" s="83"/>
      <c r="H208" s="134"/>
      <c r="I208" s="134"/>
      <c r="J208" s="134"/>
      <c r="K208" s="83"/>
      <c r="L208" s="135"/>
      <c r="M208" s="135"/>
      <c r="N208" s="135"/>
      <c r="O208" s="135"/>
      <c r="P208" s="135"/>
      <c r="Q208" s="135"/>
      <c r="R208" s="135"/>
      <c r="S208" s="83"/>
      <c r="T208" s="83"/>
      <c r="U208" s="110"/>
      <c r="V208" s="110"/>
      <c r="W208" s="110"/>
      <c r="X208" s="110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3"/>
      <c r="AJ208" s="83"/>
      <c r="AK208" s="83"/>
      <c r="AL208" s="83"/>
      <c r="AM208" s="83"/>
      <c r="AN208" s="83"/>
      <c r="AO208" s="83"/>
      <c r="AP208" s="83"/>
      <c r="AQ208" s="83"/>
      <c r="AR208" s="84"/>
    </row>
    <row r="209" ht="12.75" customHeight="1">
      <c r="A209" s="77"/>
      <c r="B209" s="83"/>
      <c r="C209" s="83"/>
      <c r="D209" s="83"/>
      <c r="E209" s="83"/>
      <c r="F209" s="83"/>
      <c r="G209" s="83"/>
      <c r="H209" s="134"/>
      <c r="I209" s="134"/>
      <c r="J209" s="134"/>
      <c r="K209" s="83"/>
      <c r="L209" s="135"/>
      <c r="M209" s="135"/>
      <c r="N209" s="135"/>
      <c r="O209" s="135"/>
      <c r="P209" s="135"/>
      <c r="Q209" s="135"/>
      <c r="R209" s="135"/>
      <c r="S209" s="83"/>
      <c r="T209" s="83"/>
      <c r="U209" s="110"/>
      <c r="V209" s="110"/>
      <c r="W209" s="110"/>
      <c r="X209" s="110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3"/>
      <c r="AJ209" s="83"/>
      <c r="AK209" s="83"/>
      <c r="AL209" s="83"/>
      <c r="AM209" s="83"/>
      <c r="AN209" s="83"/>
      <c r="AO209" s="83"/>
      <c r="AP209" s="83"/>
      <c r="AQ209" s="83"/>
      <c r="AR209" s="84"/>
    </row>
    <row r="210" ht="12.75" customHeight="1">
      <c r="A210" s="77"/>
      <c r="B210" s="83"/>
      <c r="C210" s="83"/>
      <c r="D210" s="83"/>
      <c r="E210" s="83"/>
      <c r="F210" s="83"/>
      <c r="G210" s="83"/>
      <c r="H210" s="134"/>
      <c r="I210" s="134"/>
      <c r="J210" s="134"/>
      <c r="K210" s="83"/>
      <c r="L210" s="135"/>
      <c r="M210" s="135"/>
      <c r="N210" s="135"/>
      <c r="O210" s="135"/>
      <c r="P210" s="135"/>
      <c r="Q210" s="135"/>
      <c r="R210" s="135"/>
      <c r="S210" s="83"/>
      <c r="T210" s="83"/>
      <c r="U210" s="110"/>
      <c r="V210" s="110"/>
      <c r="W210" s="110"/>
      <c r="X210" s="110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3"/>
      <c r="AJ210" s="83"/>
      <c r="AK210" s="83"/>
      <c r="AL210" s="83"/>
      <c r="AM210" s="83"/>
      <c r="AN210" s="83"/>
      <c r="AO210" s="83"/>
      <c r="AP210" s="83"/>
      <c r="AQ210" s="83"/>
      <c r="AR210" s="84"/>
    </row>
    <row r="211" ht="12.75" customHeight="1">
      <c r="A211" s="77"/>
      <c r="B211" s="83"/>
      <c r="C211" s="83"/>
      <c r="D211" s="83"/>
      <c r="E211" s="83"/>
      <c r="F211" s="83"/>
      <c r="G211" s="83"/>
      <c r="H211" s="134"/>
      <c r="I211" s="134"/>
      <c r="J211" s="134"/>
      <c r="K211" s="83"/>
      <c r="L211" s="135"/>
      <c r="M211" s="135"/>
      <c r="N211" s="135"/>
      <c r="O211" s="135"/>
      <c r="P211" s="135"/>
      <c r="Q211" s="135"/>
      <c r="R211" s="135"/>
      <c r="S211" s="83"/>
      <c r="T211" s="83"/>
      <c r="U211" s="110"/>
      <c r="V211" s="110"/>
      <c r="W211" s="110"/>
      <c r="X211" s="110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3"/>
      <c r="AJ211" s="83"/>
      <c r="AK211" s="83"/>
      <c r="AL211" s="83"/>
      <c r="AM211" s="83"/>
      <c r="AN211" s="83"/>
      <c r="AO211" s="83"/>
      <c r="AP211" s="83"/>
      <c r="AQ211" s="83"/>
      <c r="AR211" s="84"/>
    </row>
    <row r="212" ht="12.75" customHeight="1">
      <c r="A212" s="77"/>
      <c r="B212" s="83"/>
      <c r="C212" s="83"/>
      <c r="D212" s="83"/>
      <c r="E212" s="83"/>
      <c r="F212" s="83"/>
      <c r="G212" s="83"/>
      <c r="H212" s="134"/>
      <c r="I212" s="134"/>
      <c r="J212" s="134"/>
      <c r="K212" s="83"/>
      <c r="L212" s="135"/>
      <c r="M212" s="135"/>
      <c r="N212" s="135"/>
      <c r="O212" s="135"/>
      <c r="P212" s="135"/>
      <c r="Q212" s="135"/>
      <c r="R212" s="135"/>
      <c r="S212" s="83"/>
      <c r="T212" s="83"/>
      <c r="U212" s="110"/>
      <c r="V212" s="110"/>
      <c r="W212" s="110"/>
      <c r="X212" s="110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3"/>
      <c r="AJ212" s="83"/>
      <c r="AK212" s="83"/>
      <c r="AL212" s="83"/>
      <c r="AM212" s="83"/>
      <c r="AN212" s="83"/>
      <c r="AO212" s="83"/>
      <c r="AP212" s="83"/>
      <c r="AQ212" s="83"/>
      <c r="AR212" s="84"/>
    </row>
    <row r="213" ht="12.75" customHeight="1">
      <c r="A213" s="77"/>
      <c r="B213" s="83"/>
      <c r="C213" s="83"/>
      <c r="D213" s="83"/>
      <c r="E213" s="83"/>
      <c r="F213" s="83"/>
      <c r="G213" s="83"/>
      <c r="H213" s="134"/>
      <c r="I213" s="134"/>
      <c r="J213" s="134"/>
      <c r="K213" s="83"/>
      <c r="L213" s="135"/>
      <c r="M213" s="135"/>
      <c r="N213" s="135"/>
      <c r="O213" s="135"/>
      <c r="P213" s="135"/>
      <c r="Q213" s="135"/>
      <c r="R213" s="135"/>
      <c r="S213" s="83"/>
      <c r="T213" s="83"/>
      <c r="U213" s="110"/>
      <c r="V213" s="110"/>
      <c r="W213" s="110"/>
      <c r="X213" s="110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3"/>
      <c r="AJ213" s="83"/>
      <c r="AK213" s="83"/>
      <c r="AL213" s="83"/>
      <c r="AM213" s="83"/>
      <c r="AN213" s="83"/>
      <c r="AO213" s="83"/>
      <c r="AP213" s="83"/>
      <c r="AQ213" s="83"/>
      <c r="AR213" s="84"/>
    </row>
    <row r="214" ht="12.75" customHeight="1">
      <c r="A214" s="77"/>
      <c r="B214" s="83"/>
      <c r="C214" s="83"/>
      <c r="D214" s="83"/>
      <c r="E214" s="83"/>
      <c r="F214" s="83"/>
      <c r="G214" s="83"/>
      <c r="H214" s="134"/>
      <c r="I214" s="134"/>
      <c r="J214" s="134"/>
      <c r="K214" s="83"/>
      <c r="L214" s="135"/>
      <c r="M214" s="135"/>
      <c r="N214" s="135"/>
      <c r="O214" s="135"/>
      <c r="P214" s="135"/>
      <c r="Q214" s="135"/>
      <c r="R214" s="135"/>
      <c r="S214" s="83"/>
      <c r="T214" s="83"/>
      <c r="U214" s="110"/>
      <c r="V214" s="110"/>
      <c r="W214" s="110"/>
      <c r="X214" s="110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3"/>
      <c r="AJ214" s="83"/>
      <c r="AK214" s="83"/>
      <c r="AL214" s="83"/>
      <c r="AM214" s="83"/>
      <c r="AN214" s="83"/>
      <c r="AO214" s="83"/>
      <c r="AP214" s="83"/>
      <c r="AQ214" s="83"/>
      <c r="AR214" s="84"/>
    </row>
    <row r="215" ht="12.75" customHeight="1">
      <c r="A215" s="77"/>
      <c r="B215" s="83"/>
      <c r="C215" s="83"/>
      <c r="D215" s="83"/>
      <c r="E215" s="83"/>
      <c r="F215" s="83"/>
      <c r="G215" s="83"/>
      <c r="H215" s="134"/>
      <c r="I215" s="134"/>
      <c r="J215" s="134"/>
      <c r="K215" s="83"/>
      <c r="L215" s="135"/>
      <c r="M215" s="135"/>
      <c r="N215" s="135"/>
      <c r="O215" s="135"/>
      <c r="P215" s="135"/>
      <c r="Q215" s="135"/>
      <c r="R215" s="135"/>
      <c r="S215" s="83"/>
      <c r="T215" s="83"/>
      <c r="U215" s="110"/>
      <c r="V215" s="110"/>
      <c r="W215" s="110"/>
      <c r="X215" s="110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3"/>
      <c r="AJ215" s="83"/>
      <c r="AK215" s="83"/>
      <c r="AL215" s="83"/>
      <c r="AM215" s="83"/>
      <c r="AN215" s="83"/>
      <c r="AO215" s="83"/>
      <c r="AP215" s="83"/>
      <c r="AQ215" s="83"/>
      <c r="AR215" s="84"/>
    </row>
    <row r="216" ht="12.75" customHeight="1">
      <c r="A216" s="77"/>
      <c r="B216" s="83"/>
      <c r="C216" s="83"/>
      <c r="D216" s="83"/>
      <c r="E216" s="83"/>
      <c r="F216" s="83"/>
      <c r="G216" s="83"/>
      <c r="H216" s="134"/>
      <c r="I216" s="134"/>
      <c r="J216" s="134"/>
      <c r="K216" s="83"/>
      <c r="L216" s="135"/>
      <c r="M216" s="135"/>
      <c r="N216" s="135"/>
      <c r="O216" s="135"/>
      <c r="P216" s="135"/>
      <c r="Q216" s="135"/>
      <c r="R216" s="135"/>
      <c r="S216" s="83"/>
      <c r="T216" s="83"/>
      <c r="U216" s="110"/>
      <c r="V216" s="110"/>
      <c r="W216" s="110"/>
      <c r="X216" s="110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3"/>
      <c r="AJ216" s="83"/>
      <c r="AK216" s="83"/>
      <c r="AL216" s="83"/>
      <c r="AM216" s="83"/>
      <c r="AN216" s="83"/>
      <c r="AO216" s="83"/>
      <c r="AP216" s="83"/>
      <c r="AQ216" s="83"/>
      <c r="AR216" s="84"/>
    </row>
    <row r="217" ht="12.75" customHeight="1">
      <c r="A217" s="77"/>
      <c r="B217" s="83"/>
      <c r="C217" s="83"/>
      <c r="D217" s="83"/>
      <c r="E217" s="83"/>
      <c r="F217" s="83"/>
      <c r="G217" s="83"/>
      <c r="H217" s="134"/>
      <c r="I217" s="134"/>
      <c r="J217" s="134"/>
      <c r="K217" s="83"/>
      <c r="L217" s="135"/>
      <c r="M217" s="135"/>
      <c r="N217" s="135"/>
      <c r="O217" s="135"/>
      <c r="P217" s="135"/>
      <c r="Q217" s="135"/>
      <c r="R217" s="135"/>
      <c r="S217" s="83"/>
      <c r="T217" s="83"/>
      <c r="U217" s="110"/>
      <c r="V217" s="110"/>
      <c r="W217" s="110"/>
      <c r="X217" s="110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3"/>
      <c r="AJ217" s="83"/>
      <c r="AK217" s="83"/>
      <c r="AL217" s="83"/>
      <c r="AM217" s="83"/>
      <c r="AN217" s="83"/>
      <c r="AO217" s="83"/>
      <c r="AP217" s="83"/>
      <c r="AQ217" s="83"/>
      <c r="AR217" s="84"/>
    </row>
    <row r="218" ht="12.75" customHeight="1">
      <c r="A218" s="77"/>
      <c r="B218" s="83"/>
      <c r="C218" s="83"/>
      <c r="D218" s="83"/>
      <c r="E218" s="83"/>
      <c r="F218" s="83"/>
      <c r="G218" s="83"/>
      <c r="H218" s="134"/>
      <c r="I218" s="134"/>
      <c r="J218" s="134"/>
      <c r="K218" s="83"/>
      <c r="L218" s="135"/>
      <c r="M218" s="135"/>
      <c r="N218" s="135"/>
      <c r="O218" s="135"/>
      <c r="P218" s="135"/>
      <c r="Q218" s="135"/>
      <c r="R218" s="135"/>
      <c r="S218" s="83"/>
      <c r="T218" s="83"/>
      <c r="U218" s="110"/>
      <c r="V218" s="110"/>
      <c r="W218" s="110"/>
      <c r="X218" s="110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3"/>
      <c r="AJ218" s="83"/>
      <c r="AK218" s="83"/>
      <c r="AL218" s="83"/>
      <c r="AM218" s="83"/>
      <c r="AN218" s="83"/>
      <c r="AO218" s="83"/>
      <c r="AP218" s="83"/>
      <c r="AQ218" s="83"/>
      <c r="AR218" s="84"/>
    </row>
    <row r="219" ht="12.75" customHeight="1">
      <c r="A219" s="77"/>
      <c r="B219" s="83"/>
      <c r="C219" s="83"/>
      <c r="D219" s="83"/>
      <c r="E219" s="83"/>
      <c r="F219" s="83"/>
      <c r="G219" s="83"/>
      <c r="H219" s="134"/>
      <c r="I219" s="134"/>
      <c r="J219" s="134"/>
      <c r="K219" s="83"/>
      <c r="L219" s="135"/>
      <c r="M219" s="135"/>
      <c r="N219" s="135"/>
      <c r="O219" s="135"/>
      <c r="P219" s="135"/>
      <c r="Q219" s="135"/>
      <c r="R219" s="135"/>
      <c r="S219" s="83"/>
      <c r="T219" s="83"/>
      <c r="U219" s="110"/>
      <c r="V219" s="110"/>
      <c r="W219" s="110"/>
      <c r="X219" s="110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3"/>
      <c r="AJ219" s="83"/>
      <c r="AK219" s="83"/>
      <c r="AL219" s="83"/>
      <c r="AM219" s="83"/>
      <c r="AN219" s="83"/>
      <c r="AO219" s="83"/>
      <c r="AP219" s="83"/>
      <c r="AQ219" s="83"/>
      <c r="AR219" s="84"/>
    </row>
    <row r="220" ht="12.75" customHeight="1">
      <c r="A220" s="77"/>
      <c r="B220" s="83"/>
      <c r="C220" s="83"/>
      <c r="D220" s="83"/>
      <c r="E220" s="83"/>
      <c r="F220" s="83"/>
      <c r="G220" s="83"/>
      <c r="H220" s="134"/>
      <c r="I220" s="134"/>
      <c r="J220" s="134"/>
      <c r="K220" s="83"/>
      <c r="L220" s="135"/>
      <c r="M220" s="135"/>
      <c r="N220" s="135"/>
      <c r="O220" s="135"/>
      <c r="P220" s="135"/>
      <c r="Q220" s="135"/>
      <c r="R220" s="135"/>
      <c r="S220" s="83"/>
      <c r="T220" s="83"/>
      <c r="U220" s="110"/>
      <c r="V220" s="110"/>
      <c r="W220" s="110"/>
      <c r="X220" s="110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3"/>
      <c r="AJ220" s="83"/>
      <c r="AK220" s="83"/>
      <c r="AL220" s="83"/>
      <c r="AM220" s="83"/>
      <c r="AN220" s="83"/>
      <c r="AO220" s="83"/>
      <c r="AP220" s="83"/>
      <c r="AQ220" s="83"/>
      <c r="AR220" s="84"/>
    </row>
    <row r="221" ht="12.75" customHeight="1">
      <c r="A221" s="77"/>
      <c r="B221" s="83"/>
      <c r="C221" s="83"/>
      <c r="D221" s="83"/>
      <c r="E221" s="83"/>
      <c r="F221" s="83"/>
      <c r="G221" s="83"/>
      <c r="H221" s="134"/>
      <c r="I221" s="134"/>
      <c r="J221" s="134"/>
      <c r="K221" s="83"/>
      <c r="L221" s="135"/>
      <c r="M221" s="135"/>
      <c r="N221" s="135"/>
      <c r="O221" s="135"/>
      <c r="P221" s="135"/>
      <c r="Q221" s="135"/>
      <c r="R221" s="135"/>
      <c r="S221" s="83"/>
      <c r="T221" s="83"/>
      <c r="U221" s="110"/>
      <c r="V221" s="110"/>
      <c r="W221" s="110"/>
      <c r="X221" s="110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3"/>
      <c r="AJ221" s="83"/>
      <c r="AK221" s="83"/>
      <c r="AL221" s="83"/>
      <c r="AM221" s="83"/>
      <c r="AN221" s="83"/>
      <c r="AO221" s="83"/>
      <c r="AP221" s="83"/>
      <c r="AQ221" s="83"/>
      <c r="AR221" s="84"/>
    </row>
    <row r="222" ht="12.75" customHeight="1">
      <c r="A222" s="77"/>
      <c r="B222" s="83"/>
      <c r="C222" s="83"/>
      <c r="D222" s="83"/>
      <c r="E222" s="83"/>
      <c r="F222" s="83"/>
      <c r="G222" s="83"/>
      <c r="H222" s="134"/>
      <c r="I222" s="134"/>
      <c r="J222" s="134"/>
      <c r="K222" s="83"/>
      <c r="L222" s="135"/>
      <c r="M222" s="135"/>
      <c r="N222" s="135"/>
      <c r="O222" s="135"/>
      <c r="P222" s="135"/>
      <c r="Q222" s="135"/>
      <c r="R222" s="135"/>
      <c r="S222" s="83"/>
      <c r="T222" s="83"/>
      <c r="U222" s="110"/>
      <c r="V222" s="110"/>
      <c r="W222" s="110"/>
      <c r="X222" s="110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3"/>
      <c r="AJ222" s="83"/>
      <c r="AK222" s="83"/>
      <c r="AL222" s="83"/>
      <c r="AM222" s="83"/>
      <c r="AN222" s="83"/>
      <c r="AO222" s="83"/>
      <c r="AP222" s="83"/>
      <c r="AQ222" s="83"/>
      <c r="AR222" s="84"/>
    </row>
    <row r="223" ht="12.75" customHeight="1">
      <c r="A223" s="77"/>
      <c r="B223" s="83"/>
      <c r="C223" s="83"/>
      <c r="D223" s="83"/>
      <c r="E223" s="83"/>
      <c r="F223" s="83"/>
      <c r="G223" s="83"/>
      <c r="H223" s="134"/>
      <c r="I223" s="134"/>
      <c r="J223" s="134"/>
      <c r="K223" s="83"/>
      <c r="L223" s="135"/>
      <c r="M223" s="135"/>
      <c r="N223" s="135"/>
      <c r="O223" s="135"/>
      <c r="P223" s="135"/>
      <c r="Q223" s="135"/>
      <c r="R223" s="135"/>
      <c r="S223" s="83"/>
      <c r="T223" s="83"/>
      <c r="U223" s="110"/>
      <c r="V223" s="110"/>
      <c r="W223" s="110"/>
      <c r="X223" s="110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3"/>
      <c r="AJ223" s="83"/>
      <c r="AK223" s="83"/>
      <c r="AL223" s="83"/>
      <c r="AM223" s="83"/>
      <c r="AN223" s="83"/>
      <c r="AO223" s="83"/>
      <c r="AP223" s="83"/>
      <c r="AQ223" s="83"/>
      <c r="AR223" s="84"/>
    </row>
    <row r="224" ht="12.75" customHeight="1">
      <c r="A224" s="77"/>
      <c r="B224" s="83"/>
      <c r="C224" s="83"/>
      <c r="D224" s="83"/>
      <c r="E224" s="83"/>
      <c r="F224" s="83"/>
      <c r="G224" s="83"/>
      <c r="H224" s="134"/>
      <c r="I224" s="134"/>
      <c r="J224" s="134"/>
      <c r="K224" s="83"/>
      <c r="L224" s="135"/>
      <c r="M224" s="135"/>
      <c r="N224" s="135"/>
      <c r="O224" s="135"/>
      <c r="P224" s="135"/>
      <c r="Q224" s="135"/>
      <c r="R224" s="135"/>
      <c r="S224" s="83"/>
      <c r="T224" s="83"/>
      <c r="U224" s="110"/>
      <c r="V224" s="110"/>
      <c r="W224" s="110"/>
      <c r="X224" s="110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3"/>
      <c r="AJ224" s="83"/>
      <c r="AK224" s="83"/>
      <c r="AL224" s="83"/>
      <c r="AM224" s="83"/>
      <c r="AN224" s="83"/>
      <c r="AO224" s="83"/>
      <c r="AP224" s="83"/>
      <c r="AQ224" s="83"/>
      <c r="AR224" s="84"/>
    </row>
    <row r="225" ht="12.75" customHeight="1">
      <c r="A225" s="77"/>
      <c r="B225" s="83"/>
      <c r="C225" s="83"/>
      <c r="D225" s="83"/>
      <c r="E225" s="83"/>
      <c r="F225" s="83"/>
      <c r="G225" s="83"/>
      <c r="H225" s="134"/>
      <c r="I225" s="134"/>
      <c r="J225" s="134"/>
      <c r="K225" s="83"/>
      <c r="L225" s="135"/>
      <c r="M225" s="135"/>
      <c r="N225" s="135"/>
      <c r="O225" s="135"/>
      <c r="P225" s="135"/>
      <c r="Q225" s="135"/>
      <c r="R225" s="135"/>
      <c r="S225" s="83"/>
      <c r="T225" s="83"/>
      <c r="U225" s="110"/>
      <c r="V225" s="110"/>
      <c r="W225" s="110"/>
      <c r="X225" s="110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3"/>
      <c r="AJ225" s="83"/>
      <c r="AK225" s="83"/>
      <c r="AL225" s="83"/>
      <c r="AM225" s="83"/>
      <c r="AN225" s="83"/>
      <c r="AO225" s="83"/>
      <c r="AP225" s="83"/>
      <c r="AQ225" s="83"/>
      <c r="AR225" s="84"/>
    </row>
    <row r="226" ht="12.75" customHeight="1">
      <c r="A226" s="77"/>
      <c r="B226" s="83"/>
      <c r="C226" s="83"/>
      <c r="D226" s="83"/>
      <c r="E226" s="83"/>
      <c r="F226" s="83"/>
      <c r="G226" s="83"/>
      <c r="H226" s="134"/>
      <c r="I226" s="134"/>
      <c r="J226" s="134"/>
      <c r="K226" s="83"/>
      <c r="L226" s="135"/>
      <c r="M226" s="135"/>
      <c r="N226" s="135"/>
      <c r="O226" s="135"/>
      <c r="P226" s="135"/>
      <c r="Q226" s="135"/>
      <c r="R226" s="135"/>
      <c r="S226" s="83"/>
      <c r="T226" s="83"/>
      <c r="U226" s="110"/>
      <c r="V226" s="110"/>
      <c r="W226" s="110"/>
      <c r="X226" s="110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3"/>
      <c r="AJ226" s="83"/>
      <c r="AK226" s="83"/>
      <c r="AL226" s="83"/>
      <c r="AM226" s="83"/>
      <c r="AN226" s="83"/>
      <c r="AO226" s="83"/>
      <c r="AP226" s="83"/>
      <c r="AQ226" s="83"/>
      <c r="AR226" s="84"/>
    </row>
    <row r="227" ht="12.75" customHeight="1">
      <c r="A227" s="77"/>
      <c r="B227" s="83"/>
      <c r="C227" s="83"/>
      <c r="D227" s="83"/>
      <c r="E227" s="83"/>
      <c r="F227" s="83"/>
      <c r="G227" s="83"/>
      <c r="H227" s="134"/>
      <c r="I227" s="134"/>
      <c r="J227" s="134"/>
      <c r="K227" s="83"/>
      <c r="L227" s="135"/>
      <c r="M227" s="135"/>
      <c r="N227" s="135"/>
      <c r="O227" s="135"/>
      <c r="P227" s="135"/>
      <c r="Q227" s="135"/>
      <c r="R227" s="135"/>
      <c r="S227" s="83"/>
      <c r="T227" s="83"/>
      <c r="U227" s="110"/>
      <c r="V227" s="110"/>
      <c r="W227" s="110"/>
      <c r="X227" s="110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3"/>
      <c r="AJ227" s="83"/>
      <c r="AK227" s="83"/>
      <c r="AL227" s="83"/>
      <c r="AM227" s="83"/>
      <c r="AN227" s="83"/>
      <c r="AO227" s="83"/>
      <c r="AP227" s="83"/>
      <c r="AQ227" s="83"/>
      <c r="AR227" s="84"/>
    </row>
    <row r="228" ht="12.75" customHeight="1">
      <c r="A228" s="77"/>
      <c r="B228" s="83"/>
      <c r="C228" s="83"/>
      <c r="D228" s="83"/>
      <c r="E228" s="83"/>
      <c r="F228" s="83"/>
      <c r="G228" s="83"/>
      <c r="H228" s="134"/>
      <c r="I228" s="134"/>
      <c r="J228" s="134"/>
      <c r="K228" s="83"/>
      <c r="L228" s="135"/>
      <c r="M228" s="135"/>
      <c r="N228" s="135"/>
      <c r="O228" s="135"/>
      <c r="P228" s="135"/>
      <c r="Q228" s="135"/>
      <c r="R228" s="135"/>
      <c r="S228" s="83"/>
      <c r="T228" s="83"/>
      <c r="U228" s="110"/>
      <c r="V228" s="110"/>
      <c r="W228" s="110"/>
      <c r="X228" s="110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3"/>
      <c r="AJ228" s="83"/>
      <c r="AK228" s="83"/>
      <c r="AL228" s="83"/>
      <c r="AM228" s="83"/>
      <c r="AN228" s="83"/>
      <c r="AO228" s="83"/>
      <c r="AP228" s="83"/>
      <c r="AQ228" s="83"/>
      <c r="AR228" s="84"/>
    </row>
    <row r="229" ht="12.75" customHeight="1">
      <c r="A229" s="77"/>
      <c r="B229" s="83"/>
      <c r="C229" s="83"/>
      <c r="D229" s="83"/>
      <c r="E229" s="83"/>
      <c r="F229" s="83"/>
      <c r="G229" s="83"/>
      <c r="H229" s="134"/>
      <c r="I229" s="134"/>
      <c r="J229" s="134"/>
      <c r="K229" s="83"/>
      <c r="L229" s="135"/>
      <c r="M229" s="135"/>
      <c r="N229" s="135"/>
      <c r="O229" s="135"/>
      <c r="P229" s="135"/>
      <c r="Q229" s="135"/>
      <c r="R229" s="135"/>
      <c r="S229" s="83"/>
      <c r="T229" s="83"/>
      <c r="U229" s="110"/>
      <c r="V229" s="110"/>
      <c r="W229" s="110"/>
      <c r="X229" s="110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3"/>
      <c r="AJ229" s="83"/>
      <c r="AK229" s="83"/>
      <c r="AL229" s="83"/>
      <c r="AM229" s="83"/>
      <c r="AN229" s="83"/>
      <c r="AO229" s="83"/>
      <c r="AP229" s="83"/>
      <c r="AQ229" s="83"/>
      <c r="AR229" s="84"/>
    </row>
    <row r="230" ht="12.75" customHeight="1">
      <c r="A230" s="77"/>
      <c r="B230" s="83"/>
      <c r="C230" s="83"/>
      <c r="D230" s="83"/>
      <c r="E230" s="83"/>
      <c r="F230" s="83"/>
      <c r="G230" s="83"/>
      <c r="H230" s="134"/>
      <c r="I230" s="134"/>
      <c r="J230" s="134"/>
      <c r="K230" s="83"/>
      <c r="L230" s="135"/>
      <c r="M230" s="135"/>
      <c r="N230" s="135"/>
      <c r="O230" s="135"/>
      <c r="P230" s="135"/>
      <c r="Q230" s="135"/>
      <c r="R230" s="135"/>
      <c r="S230" s="83"/>
      <c r="T230" s="83"/>
      <c r="U230" s="110"/>
      <c r="V230" s="110"/>
      <c r="W230" s="110"/>
      <c r="X230" s="110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3"/>
      <c r="AJ230" s="83"/>
      <c r="AK230" s="83"/>
      <c r="AL230" s="83"/>
      <c r="AM230" s="83"/>
      <c r="AN230" s="83"/>
      <c r="AO230" s="83"/>
      <c r="AP230" s="83"/>
      <c r="AQ230" s="83"/>
      <c r="AR230" s="84"/>
    </row>
    <row r="231" ht="12.75" customHeight="1">
      <c r="A231" s="77"/>
      <c r="B231" s="83"/>
      <c r="C231" s="83"/>
      <c r="D231" s="83"/>
      <c r="E231" s="83"/>
      <c r="F231" s="83"/>
      <c r="G231" s="83"/>
      <c r="H231" s="134"/>
      <c r="I231" s="134"/>
      <c r="J231" s="134"/>
      <c r="K231" s="83"/>
      <c r="L231" s="135"/>
      <c r="M231" s="135"/>
      <c r="N231" s="135"/>
      <c r="O231" s="135"/>
      <c r="P231" s="135"/>
      <c r="Q231" s="135"/>
      <c r="R231" s="135"/>
      <c r="S231" s="83"/>
      <c r="T231" s="83"/>
      <c r="U231" s="110"/>
      <c r="V231" s="110"/>
      <c r="W231" s="110"/>
      <c r="X231" s="110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3"/>
      <c r="AJ231" s="83"/>
      <c r="AK231" s="83"/>
      <c r="AL231" s="83"/>
      <c r="AM231" s="83"/>
      <c r="AN231" s="83"/>
      <c r="AO231" s="83"/>
      <c r="AP231" s="83"/>
      <c r="AQ231" s="83"/>
      <c r="AR231" s="84"/>
    </row>
    <row r="232" ht="12.75" customHeight="1">
      <c r="A232" s="77"/>
      <c r="B232" s="83"/>
      <c r="C232" s="83"/>
      <c r="D232" s="83"/>
      <c r="E232" s="83"/>
      <c r="F232" s="83"/>
      <c r="G232" s="83"/>
      <c r="H232" s="134"/>
      <c r="I232" s="134"/>
      <c r="J232" s="134"/>
      <c r="K232" s="83"/>
      <c r="L232" s="135"/>
      <c r="M232" s="135"/>
      <c r="N232" s="135"/>
      <c r="O232" s="135"/>
      <c r="P232" s="135"/>
      <c r="Q232" s="135"/>
      <c r="R232" s="135"/>
      <c r="S232" s="83"/>
      <c r="T232" s="83"/>
      <c r="U232" s="110"/>
      <c r="V232" s="110"/>
      <c r="W232" s="110"/>
      <c r="X232" s="110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3"/>
      <c r="AJ232" s="83"/>
      <c r="AK232" s="83"/>
      <c r="AL232" s="83"/>
      <c r="AM232" s="83"/>
      <c r="AN232" s="83"/>
      <c r="AO232" s="83"/>
      <c r="AP232" s="83"/>
      <c r="AQ232" s="83"/>
      <c r="AR232" s="84"/>
    </row>
    <row r="233" ht="12.75" customHeight="1">
      <c r="A233" s="77"/>
      <c r="B233" s="83"/>
      <c r="C233" s="83"/>
      <c r="D233" s="83"/>
      <c r="E233" s="83"/>
      <c r="F233" s="83"/>
      <c r="G233" s="83"/>
      <c r="H233" s="134"/>
      <c r="I233" s="134"/>
      <c r="J233" s="134"/>
      <c r="K233" s="83"/>
      <c r="L233" s="135"/>
      <c r="M233" s="135"/>
      <c r="N233" s="135"/>
      <c r="O233" s="135"/>
      <c r="P233" s="135"/>
      <c r="Q233" s="135"/>
      <c r="R233" s="135"/>
      <c r="S233" s="83"/>
      <c r="T233" s="83"/>
      <c r="U233" s="110"/>
      <c r="V233" s="110"/>
      <c r="W233" s="110"/>
      <c r="X233" s="110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3"/>
      <c r="AJ233" s="83"/>
      <c r="AK233" s="83"/>
      <c r="AL233" s="83"/>
      <c r="AM233" s="83"/>
      <c r="AN233" s="83"/>
      <c r="AO233" s="83"/>
      <c r="AP233" s="83"/>
      <c r="AQ233" s="83"/>
      <c r="AR233" s="84"/>
    </row>
    <row r="234" ht="12.75" customHeight="1">
      <c r="A234" s="77"/>
      <c r="B234" s="83"/>
      <c r="C234" s="83"/>
      <c r="D234" s="83"/>
      <c r="E234" s="83"/>
      <c r="F234" s="83"/>
      <c r="G234" s="83"/>
      <c r="H234" s="134"/>
      <c r="I234" s="134"/>
      <c r="J234" s="134"/>
      <c r="K234" s="83"/>
      <c r="L234" s="135"/>
      <c r="M234" s="135"/>
      <c r="N234" s="135"/>
      <c r="O234" s="135"/>
      <c r="P234" s="135"/>
      <c r="Q234" s="135"/>
      <c r="R234" s="135"/>
      <c r="S234" s="83"/>
      <c r="T234" s="83"/>
      <c r="U234" s="110"/>
      <c r="V234" s="110"/>
      <c r="W234" s="110"/>
      <c r="X234" s="110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3"/>
      <c r="AJ234" s="83"/>
      <c r="AK234" s="83"/>
      <c r="AL234" s="83"/>
      <c r="AM234" s="83"/>
      <c r="AN234" s="83"/>
      <c r="AO234" s="83"/>
      <c r="AP234" s="83"/>
      <c r="AQ234" s="83"/>
      <c r="AR234" s="84"/>
    </row>
    <row r="235" ht="12.75" customHeight="1">
      <c r="A235" s="77"/>
      <c r="B235" s="83"/>
      <c r="C235" s="83"/>
      <c r="D235" s="83"/>
      <c r="E235" s="83"/>
      <c r="F235" s="83"/>
      <c r="G235" s="83"/>
      <c r="H235" s="134"/>
      <c r="I235" s="134"/>
      <c r="J235" s="134"/>
      <c r="K235" s="83"/>
      <c r="L235" s="135"/>
      <c r="M235" s="135"/>
      <c r="N235" s="135"/>
      <c r="O235" s="135"/>
      <c r="P235" s="135"/>
      <c r="Q235" s="135"/>
      <c r="R235" s="135"/>
      <c r="S235" s="83"/>
      <c r="T235" s="83"/>
      <c r="U235" s="110"/>
      <c r="V235" s="110"/>
      <c r="W235" s="110"/>
      <c r="X235" s="110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3"/>
      <c r="AJ235" s="83"/>
      <c r="AK235" s="83"/>
      <c r="AL235" s="83"/>
      <c r="AM235" s="83"/>
      <c r="AN235" s="83"/>
      <c r="AO235" s="83"/>
      <c r="AP235" s="83"/>
      <c r="AQ235" s="83"/>
      <c r="AR235" s="84"/>
    </row>
    <row r="236" ht="12.75" customHeight="1">
      <c r="A236" s="77"/>
      <c r="B236" s="83"/>
      <c r="C236" s="83"/>
      <c r="D236" s="83"/>
      <c r="E236" s="83"/>
      <c r="F236" s="83"/>
      <c r="G236" s="83"/>
      <c r="H236" s="134"/>
      <c r="I236" s="134"/>
      <c r="J236" s="134"/>
      <c r="K236" s="83"/>
      <c r="L236" s="135"/>
      <c r="M236" s="135"/>
      <c r="N236" s="135"/>
      <c r="O236" s="135"/>
      <c r="P236" s="135"/>
      <c r="Q236" s="135"/>
      <c r="R236" s="135"/>
      <c r="S236" s="83"/>
      <c r="T236" s="83"/>
      <c r="U236" s="110"/>
      <c r="V236" s="110"/>
      <c r="W236" s="110"/>
      <c r="X236" s="110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3"/>
      <c r="AJ236" s="83"/>
      <c r="AK236" s="83"/>
      <c r="AL236" s="83"/>
      <c r="AM236" s="83"/>
      <c r="AN236" s="83"/>
      <c r="AO236" s="83"/>
      <c r="AP236" s="83"/>
      <c r="AQ236" s="83"/>
      <c r="AR236" s="84"/>
    </row>
    <row r="237" ht="12.75" customHeight="1">
      <c r="A237" s="77"/>
      <c r="B237" s="83"/>
      <c r="C237" s="83"/>
      <c r="D237" s="83"/>
      <c r="E237" s="83"/>
      <c r="F237" s="83"/>
      <c r="G237" s="83"/>
      <c r="H237" s="134"/>
      <c r="I237" s="134"/>
      <c r="J237" s="134"/>
      <c r="K237" s="83"/>
      <c r="L237" s="135"/>
      <c r="M237" s="135"/>
      <c r="N237" s="135"/>
      <c r="O237" s="135"/>
      <c r="P237" s="135"/>
      <c r="Q237" s="135"/>
      <c r="R237" s="135"/>
      <c r="S237" s="83"/>
      <c r="T237" s="83"/>
      <c r="U237" s="110"/>
      <c r="V237" s="110"/>
      <c r="W237" s="110"/>
      <c r="X237" s="110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3"/>
      <c r="AJ237" s="83"/>
      <c r="AK237" s="83"/>
      <c r="AL237" s="83"/>
      <c r="AM237" s="83"/>
      <c r="AN237" s="83"/>
      <c r="AO237" s="83"/>
      <c r="AP237" s="83"/>
      <c r="AQ237" s="83"/>
      <c r="AR237" s="84"/>
    </row>
    <row r="238" ht="12.75" customHeight="1">
      <c r="A238" s="77"/>
      <c r="B238" s="83"/>
      <c r="C238" s="83"/>
      <c r="D238" s="83"/>
      <c r="E238" s="83"/>
      <c r="F238" s="83"/>
      <c r="G238" s="83"/>
      <c r="H238" s="134"/>
      <c r="I238" s="134"/>
      <c r="J238" s="134"/>
      <c r="K238" s="83"/>
      <c r="L238" s="135"/>
      <c r="M238" s="135"/>
      <c r="N238" s="135"/>
      <c r="O238" s="135"/>
      <c r="P238" s="135"/>
      <c r="Q238" s="135"/>
      <c r="R238" s="135"/>
      <c r="S238" s="83"/>
      <c r="T238" s="83"/>
      <c r="U238" s="110"/>
      <c r="V238" s="110"/>
      <c r="W238" s="110"/>
      <c r="X238" s="110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3"/>
      <c r="AJ238" s="83"/>
      <c r="AK238" s="83"/>
      <c r="AL238" s="83"/>
      <c r="AM238" s="83"/>
      <c r="AN238" s="83"/>
      <c r="AO238" s="83"/>
      <c r="AP238" s="83"/>
      <c r="AQ238" s="83"/>
      <c r="AR238" s="84"/>
    </row>
    <row r="239" ht="12.75" customHeight="1">
      <c r="A239" s="77"/>
      <c r="B239" s="83"/>
      <c r="C239" s="83"/>
      <c r="D239" s="83"/>
      <c r="E239" s="83"/>
      <c r="F239" s="83"/>
      <c r="G239" s="83"/>
      <c r="H239" s="134"/>
      <c r="I239" s="134"/>
      <c r="J239" s="134"/>
      <c r="K239" s="83"/>
      <c r="L239" s="135"/>
      <c r="M239" s="135"/>
      <c r="N239" s="135"/>
      <c r="O239" s="135"/>
      <c r="P239" s="135"/>
      <c r="Q239" s="135"/>
      <c r="R239" s="135"/>
      <c r="S239" s="83"/>
      <c r="T239" s="83"/>
      <c r="U239" s="110"/>
      <c r="V239" s="110"/>
      <c r="W239" s="110"/>
      <c r="X239" s="110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3"/>
      <c r="AJ239" s="83"/>
      <c r="AK239" s="83"/>
      <c r="AL239" s="83"/>
      <c r="AM239" s="83"/>
      <c r="AN239" s="83"/>
      <c r="AO239" s="83"/>
      <c r="AP239" s="83"/>
      <c r="AQ239" s="83"/>
      <c r="AR239" s="84"/>
    </row>
    <row r="240" ht="12.75" customHeight="1">
      <c r="A240" s="77"/>
      <c r="B240" s="83"/>
      <c r="C240" s="83"/>
      <c r="D240" s="83"/>
      <c r="E240" s="83"/>
      <c r="F240" s="83"/>
      <c r="G240" s="83"/>
      <c r="H240" s="134"/>
      <c r="I240" s="134"/>
      <c r="J240" s="134"/>
      <c r="K240" s="83"/>
      <c r="L240" s="135"/>
      <c r="M240" s="135"/>
      <c r="N240" s="135"/>
      <c r="O240" s="135"/>
      <c r="P240" s="135"/>
      <c r="Q240" s="135"/>
      <c r="R240" s="135"/>
      <c r="S240" s="83"/>
      <c r="T240" s="83"/>
      <c r="U240" s="110"/>
      <c r="V240" s="110"/>
      <c r="W240" s="110"/>
      <c r="X240" s="110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3"/>
      <c r="AJ240" s="83"/>
      <c r="AK240" s="83"/>
      <c r="AL240" s="83"/>
      <c r="AM240" s="83"/>
      <c r="AN240" s="83"/>
      <c r="AO240" s="83"/>
      <c r="AP240" s="83"/>
      <c r="AQ240" s="83"/>
      <c r="AR240" s="84"/>
    </row>
    <row r="241" ht="12.75" customHeight="1">
      <c r="A241" s="77"/>
      <c r="B241" s="83"/>
      <c r="C241" s="83"/>
      <c r="D241" s="83"/>
      <c r="E241" s="83"/>
      <c r="F241" s="83"/>
      <c r="G241" s="83"/>
      <c r="H241" s="134"/>
      <c r="I241" s="134"/>
      <c r="J241" s="134"/>
      <c r="K241" s="83"/>
      <c r="L241" s="135"/>
      <c r="M241" s="135"/>
      <c r="N241" s="135"/>
      <c r="O241" s="135"/>
      <c r="P241" s="135"/>
      <c r="Q241" s="135"/>
      <c r="R241" s="135"/>
      <c r="S241" s="83"/>
      <c r="T241" s="83"/>
      <c r="U241" s="110"/>
      <c r="V241" s="110"/>
      <c r="W241" s="110"/>
      <c r="X241" s="110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3"/>
      <c r="AJ241" s="83"/>
      <c r="AK241" s="83"/>
      <c r="AL241" s="83"/>
      <c r="AM241" s="83"/>
      <c r="AN241" s="83"/>
      <c r="AO241" s="83"/>
      <c r="AP241" s="83"/>
      <c r="AQ241" s="83"/>
      <c r="AR241" s="84"/>
    </row>
    <row r="242" ht="12.75" customHeight="1">
      <c r="A242" s="77"/>
      <c r="B242" s="83"/>
      <c r="C242" s="83"/>
      <c r="D242" s="83"/>
      <c r="E242" s="83"/>
      <c r="F242" s="83"/>
      <c r="G242" s="83"/>
      <c r="H242" s="134"/>
      <c r="I242" s="134"/>
      <c r="J242" s="134"/>
      <c r="K242" s="83"/>
      <c r="L242" s="135"/>
      <c r="M242" s="135"/>
      <c r="N242" s="135"/>
      <c r="O242" s="135"/>
      <c r="P242" s="135"/>
      <c r="Q242" s="135"/>
      <c r="R242" s="135"/>
      <c r="S242" s="83"/>
      <c r="T242" s="83"/>
      <c r="U242" s="110"/>
      <c r="V242" s="110"/>
      <c r="W242" s="110"/>
      <c r="X242" s="110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3"/>
      <c r="AJ242" s="83"/>
      <c r="AK242" s="83"/>
      <c r="AL242" s="83"/>
      <c r="AM242" s="83"/>
      <c r="AN242" s="83"/>
      <c r="AO242" s="83"/>
      <c r="AP242" s="83"/>
      <c r="AQ242" s="83"/>
      <c r="AR242" s="84"/>
    </row>
    <row r="243" ht="12.75" customHeight="1">
      <c r="A243" s="77"/>
      <c r="B243" s="83"/>
      <c r="C243" s="83"/>
      <c r="D243" s="83"/>
      <c r="E243" s="83"/>
      <c r="F243" s="83"/>
      <c r="G243" s="83"/>
      <c r="H243" s="134"/>
      <c r="I243" s="134"/>
      <c r="J243" s="134"/>
      <c r="K243" s="83"/>
      <c r="L243" s="135"/>
      <c r="M243" s="135"/>
      <c r="N243" s="135"/>
      <c r="O243" s="135"/>
      <c r="P243" s="135"/>
      <c r="Q243" s="135"/>
      <c r="R243" s="135"/>
      <c r="S243" s="83"/>
      <c r="T243" s="83"/>
      <c r="U243" s="110"/>
      <c r="V243" s="110"/>
      <c r="W243" s="110"/>
      <c r="X243" s="110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3"/>
      <c r="AJ243" s="83"/>
      <c r="AK243" s="83"/>
      <c r="AL243" s="83"/>
      <c r="AM243" s="83"/>
      <c r="AN243" s="83"/>
      <c r="AO243" s="83"/>
      <c r="AP243" s="83"/>
      <c r="AQ243" s="83"/>
      <c r="AR243" s="84"/>
    </row>
    <row r="244" ht="12.75" customHeight="1">
      <c r="A244" s="77"/>
      <c r="B244" s="83"/>
      <c r="C244" s="83"/>
      <c r="D244" s="83"/>
      <c r="E244" s="83"/>
      <c r="F244" s="83"/>
      <c r="G244" s="83"/>
      <c r="H244" s="134"/>
      <c r="I244" s="134"/>
      <c r="J244" s="134"/>
      <c r="K244" s="83"/>
      <c r="L244" s="135"/>
      <c r="M244" s="135"/>
      <c r="N244" s="135"/>
      <c r="O244" s="135"/>
      <c r="P244" s="135"/>
      <c r="Q244" s="135"/>
      <c r="R244" s="135"/>
      <c r="S244" s="83"/>
      <c r="T244" s="83"/>
      <c r="U244" s="110"/>
      <c r="V244" s="110"/>
      <c r="W244" s="110"/>
      <c r="X244" s="110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3"/>
      <c r="AJ244" s="83"/>
      <c r="AK244" s="83"/>
      <c r="AL244" s="83"/>
      <c r="AM244" s="83"/>
      <c r="AN244" s="83"/>
      <c r="AO244" s="83"/>
      <c r="AP244" s="83"/>
      <c r="AQ244" s="83"/>
      <c r="AR244" s="84"/>
    </row>
    <row r="245" ht="12.75" customHeight="1">
      <c r="A245" s="77"/>
      <c r="B245" s="83"/>
      <c r="C245" s="83"/>
      <c r="D245" s="83"/>
      <c r="E245" s="83"/>
      <c r="F245" s="83"/>
      <c r="G245" s="83"/>
      <c r="H245" s="134"/>
      <c r="I245" s="134"/>
      <c r="J245" s="134"/>
      <c r="K245" s="83"/>
      <c r="L245" s="135"/>
      <c r="M245" s="135"/>
      <c r="N245" s="135"/>
      <c r="O245" s="135"/>
      <c r="P245" s="135"/>
      <c r="Q245" s="135"/>
      <c r="R245" s="135"/>
      <c r="S245" s="83"/>
      <c r="T245" s="83"/>
      <c r="U245" s="110"/>
      <c r="V245" s="110"/>
      <c r="W245" s="110"/>
      <c r="X245" s="110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3"/>
      <c r="AJ245" s="83"/>
      <c r="AK245" s="83"/>
      <c r="AL245" s="83"/>
      <c r="AM245" s="83"/>
      <c r="AN245" s="83"/>
      <c r="AO245" s="83"/>
      <c r="AP245" s="83"/>
      <c r="AQ245" s="83"/>
      <c r="AR245" s="84"/>
    </row>
    <row r="246" ht="12.75" customHeight="1">
      <c r="A246" s="77"/>
      <c r="B246" s="83"/>
      <c r="C246" s="83"/>
      <c r="D246" s="83"/>
      <c r="E246" s="83"/>
      <c r="F246" s="83"/>
      <c r="G246" s="83"/>
      <c r="H246" s="134"/>
      <c r="I246" s="134"/>
      <c r="J246" s="134"/>
      <c r="K246" s="83"/>
      <c r="L246" s="135"/>
      <c r="M246" s="135"/>
      <c r="N246" s="135"/>
      <c r="O246" s="135"/>
      <c r="P246" s="135"/>
      <c r="Q246" s="135"/>
      <c r="R246" s="135"/>
      <c r="S246" s="83"/>
      <c r="T246" s="83"/>
      <c r="U246" s="110"/>
      <c r="V246" s="110"/>
      <c r="W246" s="110"/>
      <c r="X246" s="110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3"/>
      <c r="AJ246" s="83"/>
      <c r="AK246" s="83"/>
      <c r="AL246" s="83"/>
      <c r="AM246" s="83"/>
      <c r="AN246" s="83"/>
      <c r="AO246" s="83"/>
      <c r="AP246" s="83"/>
      <c r="AQ246" s="83"/>
      <c r="AR246" s="84"/>
    </row>
    <row r="247" ht="12.75" customHeight="1">
      <c r="A247" s="77"/>
      <c r="B247" s="83"/>
      <c r="C247" s="83"/>
      <c r="D247" s="83"/>
      <c r="E247" s="83"/>
      <c r="F247" s="83"/>
      <c r="G247" s="83"/>
      <c r="H247" s="134"/>
      <c r="I247" s="134"/>
      <c r="J247" s="134"/>
      <c r="K247" s="83"/>
      <c r="L247" s="135"/>
      <c r="M247" s="135"/>
      <c r="N247" s="135"/>
      <c r="O247" s="135"/>
      <c r="P247" s="135"/>
      <c r="Q247" s="135"/>
      <c r="R247" s="135"/>
      <c r="S247" s="83"/>
      <c r="T247" s="83"/>
      <c r="U247" s="110"/>
      <c r="V247" s="110"/>
      <c r="W247" s="110"/>
      <c r="X247" s="110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3"/>
      <c r="AJ247" s="83"/>
      <c r="AK247" s="83"/>
      <c r="AL247" s="83"/>
      <c r="AM247" s="83"/>
      <c r="AN247" s="83"/>
      <c r="AO247" s="83"/>
      <c r="AP247" s="83"/>
      <c r="AQ247" s="83"/>
      <c r="AR247" s="84"/>
    </row>
    <row r="248" ht="12.75" customHeight="1">
      <c r="A248" s="77"/>
      <c r="B248" s="83"/>
      <c r="C248" s="83"/>
      <c r="D248" s="83"/>
      <c r="E248" s="83"/>
      <c r="F248" s="83"/>
      <c r="G248" s="83"/>
      <c r="H248" s="134"/>
      <c r="I248" s="134"/>
      <c r="J248" s="134"/>
      <c r="K248" s="83"/>
      <c r="L248" s="135"/>
      <c r="M248" s="135"/>
      <c r="N248" s="135"/>
      <c r="O248" s="135"/>
      <c r="P248" s="135"/>
      <c r="Q248" s="135"/>
      <c r="R248" s="135"/>
      <c r="S248" s="83"/>
      <c r="T248" s="83"/>
      <c r="U248" s="110"/>
      <c r="V248" s="110"/>
      <c r="W248" s="110"/>
      <c r="X248" s="110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3"/>
      <c r="AJ248" s="83"/>
      <c r="AK248" s="83"/>
      <c r="AL248" s="83"/>
      <c r="AM248" s="83"/>
      <c r="AN248" s="83"/>
      <c r="AO248" s="83"/>
      <c r="AP248" s="83"/>
      <c r="AQ248" s="83"/>
      <c r="AR248" s="84"/>
    </row>
    <row r="249" ht="12.75" customHeight="1">
      <c r="A249" s="77"/>
      <c r="B249" s="83"/>
      <c r="C249" s="83"/>
      <c r="D249" s="83"/>
      <c r="E249" s="83"/>
      <c r="F249" s="83"/>
      <c r="G249" s="83"/>
      <c r="H249" s="134"/>
      <c r="I249" s="134"/>
      <c r="J249" s="134"/>
      <c r="K249" s="83"/>
      <c r="L249" s="135"/>
      <c r="M249" s="135"/>
      <c r="N249" s="135"/>
      <c r="O249" s="135"/>
      <c r="P249" s="135"/>
      <c r="Q249" s="135"/>
      <c r="R249" s="135"/>
      <c r="S249" s="83"/>
      <c r="T249" s="83"/>
      <c r="U249" s="110"/>
      <c r="V249" s="110"/>
      <c r="W249" s="110"/>
      <c r="X249" s="110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3"/>
      <c r="AJ249" s="83"/>
      <c r="AK249" s="83"/>
      <c r="AL249" s="83"/>
      <c r="AM249" s="83"/>
      <c r="AN249" s="83"/>
      <c r="AO249" s="83"/>
      <c r="AP249" s="83"/>
      <c r="AQ249" s="83"/>
      <c r="AR249" s="84"/>
    </row>
    <row r="250" ht="12.75" customHeight="1">
      <c r="A250" s="77"/>
      <c r="B250" s="83"/>
      <c r="C250" s="83"/>
      <c r="D250" s="83"/>
      <c r="E250" s="83"/>
      <c r="F250" s="83"/>
      <c r="G250" s="83"/>
      <c r="H250" s="134"/>
      <c r="I250" s="134"/>
      <c r="J250" s="134"/>
      <c r="K250" s="83"/>
      <c r="L250" s="135"/>
      <c r="M250" s="135"/>
      <c r="N250" s="135"/>
      <c r="O250" s="135"/>
      <c r="P250" s="135"/>
      <c r="Q250" s="135"/>
      <c r="R250" s="135"/>
      <c r="S250" s="83"/>
      <c r="T250" s="83"/>
      <c r="U250" s="110"/>
      <c r="V250" s="110"/>
      <c r="W250" s="110"/>
      <c r="X250" s="110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3"/>
      <c r="AJ250" s="83"/>
      <c r="AK250" s="83"/>
      <c r="AL250" s="83"/>
      <c r="AM250" s="83"/>
      <c r="AN250" s="83"/>
      <c r="AO250" s="83"/>
      <c r="AP250" s="83"/>
      <c r="AQ250" s="83"/>
      <c r="AR250" s="84"/>
    </row>
    <row r="251" ht="12.75" customHeight="1">
      <c r="A251" s="77"/>
      <c r="B251" s="83"/>
      <c r="C251" s="83"/>
      <c r="D251" s="83"/>
      <c r="E251" s="83"/>
      <c r="F251" s="83"/>
      <c r="G251" s="83"/>
      <c r="H251" s="134"/>
      <c r="I251" s="134"/>
      <c r="J251" s="134"/>
      <c r="K251" s="83"/>
      <c r="L251" s="135"/>
      <c r="M251" s="135"/>
      <c r="N251" s="135"/>
      <c r="O251" s="135"/>
      <c r="P251" s="135"/>
      <c r="Q251" s="135"/>
      <c r="R251" s="135"/>
      <c r="S251" s="83"/>
      <c r="T251" s="83"/>
      <c r="U251" s="110"/>
      <c r="V251" s="110"/>
      <c r="W251" s="110"/>
      <c r="X251" s="110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3"/>
      <c r="AJ251" s="83"/>
      <c r="AK251" s="83"/>
      <c r="AL251" s="83"/>
      <c r="AM251" s="83"/>
      <c r="AN251" s="83"/>
      <c r="AO251" s="83"/>
      <c r="AP251" s="83"/>
      <c r="AQ251" s="83"/>
      <c r="AR251" s="84"/>
    </row>
    <row r="252" ht="12.75" customHeight="1">
      <c r="A252" s="77"/>
      <c r="B252" s="83"/>
      <c r="C252" s="83"/>
      <c r="D252" s="83"/>
      <c r="E252" s="83"/>
      <c r="F252" s="83"/>
      <c r="G252" s="83"/>
      <c r="H252" s="134"/>
      <c r="I252" s="134"/>
      <c r="J252" s="134"/>
      <c r="K252" s="83"/>
      <c r="L252" s="135"/>
      <c r="M252" s="135"/>
      <c r="N252" s="135"/>
      <c r="O252" s="135"/>
      <c r="P252" s="135"/>
      <c r="Q252" s="135"/>
      <c r="R252" s="135"/>
      <c r="S252" s="83"/>
      <c r="T252" s="83"/>
      <c r="U252" s="110"/>
      <c r="V252" s="110"/>
      <c r="W252" s="110"/>
      <c r="X252" s="110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3"/>
      <c r="AJ252" s="83"/>
      <c r="AK252" s="83"/>
      <c r="AL252" s="83"/>
      <c r="AM252" s="83"/>
      <c r="AN252" s="83"/>
      <c r="AO252" s="83"/>
      <c r="AP252" s="83"/>
      <c r="AQ252" s="83"/>
      <c r="AR252" s="84"/>
    </row>
    <row r="253" ht="12.75" customHeight="1">
      <c r="A253" s="77"/>
      <c r="B253" s="83"/>
      <c r="C253" s="83"/>
      <c r="D253" s="83"/>
      <c r="E253" s="83"/>
      <c r="F253" s="83"/>
      <c r="G253" s="83"/>
      <c r="H253" s="134"/>
      <c r="I253" s="134"/>
      <c r="J253" s="134"/>
      <c r="K253" s="83"/>
      <c r="L253" s="135"/>
      <c r="M253" s="135"/>
      <c r="N253" s="135"/>
      <c r="O253" s="135"/>
      <c r="P253" s="135"/>
      <c r="Q253" s="135"/>
      <c r="R253" s="135"/>
      <c r="S253" s="83"/>
      <c r="T253" s="83"/>
      <c r="U253" s="110"/>
      <c r="V253" s="110"/>
      <c r="W253" s="110"/>
      <c r="X253" s="110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3"/>
      <c r="AJ253" s="83"/>
      <c r="AK253" s="83"/>
      <c r="AL253" s="83"/>
      <c r="AM253" s="83"/>
      <c r="AN253" s="83"/>
      <c r="AO253" s="83"/>
      <c r="AP253" s="83"/>
      <c r="AQ253" s="83"/>
      <c r="AR253" s="84"/>
    </row>
    <row r="254" ht="12.75" customHeight="1">
      <c r="A254" s="77"/>
      <c r="B254" s="83"/>
      <c r="C254" s="83"/>
      <c r="D254" s="83"/>
      <c r="E254" s="83"/>
      <c r="F254" s="83"/>
      <c r="G254" s="83"/>
      <c r="H254" s="134"/>
      <c r="I254" s="134"/>
      <c r="J254" s="134"/>
      <c r="K254" s="83"/>
      <c r="L254" s="135"/>
      <c r="M254" s="135"/>
      <c r="N254" s="135"/>
      <c r="O254" s="135"/>
      <c r="P254" s="135"/>
      <c r="Q254" s="135"/>
      <c r="R254" s="135"/>
      <c r="S254" s="83"/>
      <c r="T254" s="83"/>
      <c r="U254" s="110"/>
      <c r="V254" s="110"/>
      <c r="W254" s="110"/>
      <c r="X254" s="110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3"/>
      <c r="AJ254" s="83"/>
      <c r="AK254" s="83"/>
      <c r="AL254" s="83"/>
      <c r="AM254" s="83"/>
      <c r="AN254" s="83"/>
      <c r="AO254" s="83"/>
      <c r="AP254" s="83"/>
      <c r="AQ254" s="83"/>
      <c r="AR254" s="84"/>
    </row>
    <row r="255" ht="12.75" customHeight="1">
      <c r="A255" s="77"/>
      <c r="B255" s="83"/>
      <c r="C255" s="83"/>
      <c r="D255" s="83"/>
      <c r="E255" s="83"/>
      <c r="F255" s="83"/>
      <c r="G255" s="83"/>
      <c r="H255" s="134"/>
      <c r="I255" s="134"/>
      <c r="J255" s="134"/>
      <c r="K255" s="83"/>
      <c r="L255" s="135"/>
      <c r="M255" s="135"/>
      <c r="N255" s="135"/>
      <c r="O255" s="135"/>
      <c r="P255" s="135"/>
      <c r="Q255" s="135"/>
      <c r="R255" s="135"/>
      <c r="S255" s="83"/>
      <c r="T255" s="83"/>
      <c r="U255" s="110"/>
      <c r="V255" s="110"/>
      <c r="W255" s="110"/>
      <c r="X255" s="110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3"/>
      <c r="AJ255" s="83"/>
      <c r="AK255" s="83"/>
      <c r="AL255" s="83"/>
      <c r="AM255" s="83"/>
      <c r="AN255" s="83"/>
      <c r="AO255" s="83"/>
      <c r="AP255" s="83"/>
      <c r="AQ255" s="83"/>
      <c r="AR255" s="84"/>
    </row>
    <row r="256" ht="12.75" customHeight="1">
      <c r="A256" s="77"/>
      <c r="B256" s="83"/>
      <c r="C256" s="83"/>
      <c r="D256" s="83"/>
      <c r="E256" s="83"/>
      <c r="F256" s="83"/>
      <c r="G256" s="83"/>
      <c r="H256" s="134"/>
      <c r="I256" s="134"/>
      <c r="J256" s="134"/>
      <c r="K256" s="83"/>
      <c r="L256" s="135"/>
      <c r="M256" s="135"/>
      <c r="N256" s="135"/>
      <c r="O256" s="135"/>
      <c r="P256" s="135"/>
      <c r="Q256" s="135"/>
      <c r="R256" s="135"/>
      <c r="S256" s="83"/>
      <c r="T256" s="83"/>
      <c r="U256" s="110"/>
      <c r="V256" s="110"/>
      <c r="W256" s="110"/>
      <c r="X256" s="110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3"/>
      <c r="AJ256" s="83"/>
      <c r="AK256" s="83"/>
      <c r="AL256" s="83"/>
      <c r="AM256" s="83"/>
      <c r="AN256" s="83"/>
      <c r="AO256" s="83"/>
      <c r="AP256" s="83"/>
      <c r="AQ256" s="83"/>
      <c r="AR256" s="84"/>
    </row>
    <row r="257" ht="12.75" customHeight="1">
      <c r="A257" s="77"/>
      <c r="B257" s="83"/>
      <c r="C257" s="83"/>
      <c r="D257" s="83"/>
      <c r="E257" s="83"/>
      <c r="F257" s="83"/>
      <c r="G257" s="83"/>
      <c r="H257" s="134"/>
      <c r="I257" s="134"/>
      <c r="J257" s="134"/>
      <c r="K257" s="83"/>
      <c r="L257" s="135"/>
      <c r="M257" s="135"/>
      <c r="N257" s="135"/>
      <c r="O257" s="135"/>
      <c r="P257" s="135"/>
      <c r="Q257" s="135"/>
      <c r="R257" s="135"/>
      <c r="S257" s="83"/>
      <c r="T257" s="83"/>
      <c r="U257" s="110"/>
      <c r="V257" s="110"/>
      <c r="W257" s="110"/>
      <c r="X257" s="110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3"/>
      <c r="AJ257" s="83"/>
      <c r="AK257" s="83"/>
      <c r="AL257" s="83"/>
      <c r="AM257" s="83"/>
      <c r="AN257" s="83"/>
      <c r="AO257" s="83"/>
      <c r="AP257" s="83"/>
      <c r="AQ257" s="83"/>
      <c r="AR257" s="84"/>
    </row>
    <row r="258" ht="12.75" customHeight="1">
      <c r="A258" s="77"/>
      <c r="B258" s="83"/>
      <c r="C258" s="83"/>
      <c r="D258" s="83"/>
      <c r="E258" s="83"/>
      <c r="F258" s="83"/>
      <c r="G258" s="83"/>
      <c r="H258" s="134"/>
      <c r="I258" s="134"/>
      <c r="J258" s="134"/>
      <c r="K258" s="83"/>
      <c r="L258" s="135"/>
      <c r="M258" s="135"/>
      <c r="N258" s="135"/>
      <c r="O258" s="135"/>
      <c r="P258" s="135"/>
      <c r="Q258" s="135"/>
      <c r="R258" s="135"/>
      <c r="S258" s="83"/>
      <c r="T258" s="83"/>
      <c r="U258" s="110"/>
      <c r="V258" s="110"/>
      <c r="W258" s="110"/>
      <c r="X258" s="110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3"/>
      <c r="AJ258" s="83"/>
      <c r="AK258" s="83"/>
      <c r="AL258" s="83"/>
      <c r="AM258" s="83"/>
      <c r="AN258" s="83"/>
      <c r="AO258" s="83"/>
      <c r="AP258" s="83"/>
      <c r="AQ258" s="83"/>
      <c r="AR258" s="84"/>
    </row>
    <row r="259" ht="12.75" customHeight="1">
      <c r="A259" s="77"/>
      <c r="B259" s="83"/>
      <c r="C259" s="83"/>
      <c r="D259" s="83"/>
      <c r="E259" s="83"/>
      <c r="F259" s="83"/>
      <c r="G259" s="83"/>
      <c r="H259" s="134"/>
      <c r="I259" s="134"/>
      <c r="J259" s="134"/>
      <c r="K259" s="83"/>
      <c r="L259" s="135"/>
      <c r="M259" s="135"/>
      <c r="N259" s="135"/>
      <c r="O259" s="135"/>
      <c r="P259" s="135"/>
      <c r="Q259" s="135"/>
      <c r="R259" s="135"/>
      <c r="S259" s="83"/>
      <c r="T259" s="83"/>
      <c r="U259" s="110"/>
      <c r="V259" s="110"/>
      <c r="W259" s="110"/>
      <c r="X259" s="110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3"/>
      <c r="AJ259" s="83"/>
      <c r="AK259" s="83"/>
      <c r="AL259" s="83"/>
      <c r="AM259" s="83"/>
      <c r="AN259" s="83"/>
      <c r="AO259" s="83"/>
      <c r="AP259" s="83"/>
      <c r="AQ259" s="83"/>
      <c r="AR259" s="84"/>
    </row>
    <row r="260" ht="12.75" customHeight="1">
      <c r="A260" s="77"/>
      <c r="B260" s="83"/>
      <c r="C260" s="83"/>
      <c r="D260" s="83"/>
      <c r="E260" s="83"/>
      <c r="F260" s="83"/>
      <c r="G260" s="83"/>
      <c r="H260" s="134"/>
      <c r="I260" s="134"/>
      <c r="J260" s="134"/>
      <c r="K260" s="83"/>
      <c r="L260" s="135"/>
      <c r="M260" s="135"/>
      <c r="N260" s="135"/>
      <c r="O260" s="135"/>
      <c r="P260" s="135"/>
      <c r="Q260" s="135"/>
      <c r="R260" s="135"/>
      <c r="S260" s="83"/>
      <c r="T260" s="83"/>
      <c r="U260" s="110"/>
      <c r="V260" s="110"/>
      <c r="W260" s="110"/>
      <c r="X260" s="110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3"/>
      <c r="AJ260" s="83"/>
      <c r="AK260" s="83"/>
      <c r="AL260" s="83"/>
      <c r="AM260" s="83"/>
      <c r="AN260" s="83"/>
      <c r="AO260" s="83"/>
      <c r="AP260" s="83"/>
      <c r="AQ260" s="83"/>
      <c r="AR260" s="84"/>
    </row>
    <row r="261" ht="12.75" customHeight="1">
      <c r="A261" s="77"/>
      <c r="B261" s="83"/>
      <c r="C261" s="83"/>
      <c r="D261" s="83"/>
      <c r="E261" s="83"/>
      <c r="F261" s="83"/>
      <c r="G261" s="83"/>
      <c r="H261" s="134"/>
      <c r="I261" s="134"/>
      <c r="J261" s="134"/>
      <c r="K261" s="83"/>
      <c r="L261" s="135"/>
      <c r="M261" s="135"/>
      <c r="N261" s="135"/>
      <c r="O261" s="135"/>
      <c r="P261" s="135"/>
      <c r="Q261" s="135"/>
      <c r="R261" s="135"/>
      <c r="S261" s="83"/>
      <c r="T261" s="83"/>
      <c r="U261" s="110"/>
      <c r="V261" s="110"/>
      <c r="W261" s="110"/>
      <c r="X261" s="110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3"/>
      <c r="AJ261" s="83"/>
      <c r="AK261" s="83"/>
      <c r="AL261" s="83"/>
      <c r="AM261" s="83"/>
      <c r="AN261" s="83"/>
      <c r="AO261" s="83"/>
      <c r="AP261" s="83"/>
      <c r="AQ261" s="83"/>
      <c r="AR261" s="84"/>
    </row>
    <row r="262" ht="12.75" customHeight="1">
      <c r="A262" s="77"/>
      <c r="B262" s="83"/>
      <c r="C262" s="83"/>
      <c r="D262" s="83"/>
      <c r="E262" s="83"/>
      <c r="F262" s="83"/>
      <c r="G262" s="83"/>
      <c r="H262" s="134"/>
      <c r="I262" s="134"/>
      <c r="J262" s="134"/>
      <c r="K262" s="83"/>
      <c r="L262" s="135"/>
      <c r="M262" s="135"/>
      <c r="N262" s="135"/>
      <c r="O262" s="135"/>
      <c r="P262" s="135"/>
      <c r="Q262" s="135"/>
      <c r="R262" s="135"/>
      <c r="S262" s="83"/>
      <c r="T262" s="83"/>
      <c r="U262" s="110"/>
      <c r="V262" s="110"/>
      <c r="W262" s="110"/>
      <c r="X262" s="110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3"/>
      <c r="AJ262" s="83"/>
      <c r="AK262" s="83"/>
      <c r="AL262" s="83"/>
      <c r="AM262" s="83"/>
      <c r="AN262" s="83"/>
      <c r="AO262" s="83"/>
      <c r="AP262" s="83"/>
      <c r="AQ262" s="83"/>
      <c r="AR262" s="84"/>
    </row>
    <row r="263" ht="12.75" customHeight="1">
      <c r="A263" s="77"/>
      <c r="B263" s="83"/>
      <c r="C263" s="83"/>
      <c r="D263" s="83"/>
      <c r="E263" s="83"/>
      <c r="F263" s="83"/>
      <c r="G263" s="83"/>
      <c r="H263" s="134"/>
      <c r="I263" s="134"/>
      <c r="J263" s="134"/>
      <c r="K263" s="83"/>
      <c r="L263" s="135"/>
      <c r="M263" s="135"/>
      <c r="N263" s="135"/>
      <c r="O263" s="135"/>
      <c r="P263" s="135"/>
      <c r="Q263" s="135"/>
      <c r="R263" s="135"/>
      <c r="S263" s="83"/>
      <c r="T263" s="83"/>
      <c r="U263" s="110"/>
      <c r="V263" s="110"/>
      <c r="W263" s="110"/>
      <c r="X263" s="110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3"/>
      <c r="AJ263" s="83"/>
      <c r="AK263" s="83"/>
      <c r="AL263" s="83"/>
      <c r="AM263" s="83"/>
      <c r="AN263" s="83"/>
      <c r="AO263" s="83"/>
      <c r="AP263" s="83"/>
      <c r="AQ263" s="83"/>
      <c r="AR263" s="84"/>
    </row>
    <row r="264" ht="12.75" customHeight="1">
      <c r="A264" s="77"/>
      <c r="B264" s="83"/>
      <c r="C264" s="83"/>
      <c r="D264" s="83"/>
      <c r="E264" s="83"/>
      <c r="F264" s="83"/>
      <c r="G264" s="83"/>
      <c r="H264" s="134"/>
      <c r="I264" s="134"/>
      <c r="J264" s="134"/>
      <c r="K264" s="83"/>
      <c r="L264" s="135"/>
      <c r="M264" s="135"/>
      <c r="N264" s="135"/>
      <c r="O264" s="135"/>
      <c r="P264" s="135"/>
      <c r="Q264" s="135"/>
      <c r="R264" s="135"/>
      <c r="S264" s="83"/>
      <c r="T264" s="83"/>
      <c r="U264" s="110"/>
      <c r="V264" s="110"/>
      <c r="W264" s="110"/>
      <c r="X264" s="110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3"/>
      <c r="AJ264" s="83"/>
      <c r="AK264" s="83"/>
      <c r="AL264" s="83"/>
      <c r="AM264" s="83"/>
      <c r="AN264" s="83"/>
      <c r="AO264" s="83"/>
      <c r="AP264" s="83"/>
      <c r="AQ264" s="83"/>
      <c r="AR264" s="84"/>
    </row>
    <row r="265" ht="12.75" customHeight="1">
      <c r="A265" s="77"/>
      <c r="B265" s="83"/>
      <c r="C265" s="83"/>
      <c r="D265" s="83"/>
      <c r="E265" s="83"/>
      <c r="F265" s="83"/>
      <c r="G265" s="83"/>
      <c r="H265" s="134"/>
      <c r="I265" s="134"/>
      <c r="J265" s="134"/>
      <c r="K265" s="83"/>
      <c r="L265" s="135"/>
      <c r="M265" s="135"/>
      <c r="N265" s="135"/>
      <c r="O265" s="135"/>
      <c r="P265" s="135"/>
      <c r="Q265" s="135"/>
      <c r="R265" s="135"/>
      <c r="S265" s="83"/>
      <c r="T265" s="83"/>
      <c r="U265" s="110"/>
      <c r="V265" s="110"/>
      <c r="W265" s="110"/>
      <c r="X265" s="110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3"/>
      <c r="AJ265" s="83"/>
      <c r="AK265" s="83"/>
      <c r="AL265" s="83"/>
      <c r="AM265" s="83"/>
      <c r="AN265" s="83"/>
      <c r="AO265" s="83"/>
      <c r="AP265" s="83"/>
      <c r="AQ265" s="83"/>
      <c r="AR265" s="84"/>
    </row>
    <row r="266" ht="12.75" customHeight="1">
      <c r="A266" s="77"/>
      <c r="B266" s="83"/>
      <c r="C266" s="83"/>
      <c r="D266" s="83"/>
      <c r="E266" s="83"/>
      <c r="F266" s="83"/>
      <c r="G266" s="83"/>
      <c r="H266" s="134"/>
      <c r="I266" s="134"/>
      <c r="J266" s="134"/>
      <c r="K266" s="83"/>
      <c r="L266" s="135"/>
      <c r="M266" s="135"/>
      <c r="N266" s="135"/>
      <c r="O266" s="135"/>
      <c r="P266" s="135"/>
      <c r="Q266" s="135"/>
      <c r="R266" s="135"/>
      <c r="S266" s="83"/>
      <c r="T266" s="83"/>
      <c r="U266" s="110"/>
      <c r="V266" s="110"/>
      <c r="W266" s="110"/>
      <c r="X266" s="110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3"/>
      <c r="AJ266" s="83"/>
      <c r="AK266" s="83"/>
      <c r="AL266" s="83"/>
      <c r="AM266" s="83"/>
      <c r="AN266" s="83"/>
      <c r="AO266" s="83"/>
      <c r="AP266" s="83"/>
      <c r="AQ266" s="83"/>
      <c r="AR266" s="84"/>
    </row>
    <row r="267" ht="12.75" customHeight="1">
      <c r="A267" s="77"/>
      <c r="B267" s="83"/>
      <c r="C267" s="83"/>
      <c r="D267" s="83"/>
      <c r="E267" s="83"/>
      <c r="F267" s="83"/>
      <c r="G267" s="83"/>
      <c r="H267" s="134"/>
      <c r="I267" s="134"/>
      <c r="J267" s="134"/>
      <c r="K267" s="83"/>
      <c r="L267" s="135"/>
      <c r="M267" s="135"/>
      <c r="N267" s="135"/>
      <c r="O267" s="135"/>
      <c r="P267" s="135"/>
      <c r="Q267" s="135"/>
      <c r="R267" s="135"/>
      <c r="S267" s="83"/>
      <c r="T267" s="83"/>
      <c r="U267" s="110"/>
      <c r="V267" s="110"/>
      <c r="W267" s="110"/>
      <c r="X267" s="110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3"/>
      <c r="AJ267" s="83"/>
      <c r="AK267" s="83"/>
      <c r="AL267" s="83"/>
      <c r="AM267" s="83"/>
      <c r="AN267" s="83"/>
      <c r="AO267" s="83"/>
      <c r="AP267" s="83"/>
      <c r="AQ267" s="83"/>
      <c r="AR267" s="84"/>
    </row>
    <row r="268" ht="12.75" customHeight="1">
      <c r="A268" s="77"/>
      <c r="B268" s="83"/>
      <c r="C268" s="83"/>
      <c r="D268" s="83"/>
      <c r="E268" s="83"/>
      <c r="F268" s="83"/>
      <c r="G268" s="83"/>
      <c r="H268" s="134"/>
      <c r="I268" s="134"/>
      <c r="J268" s="134"/>
      <c r="K268" s="83"/>
      <c r="L268" s="135"/>
      <c r="M268" s="135"/>
      <c r="N268" s="135"/>
      <c r="O268" s="135"/>
      <c r="P268" s="135"/>
      <c r="Q268" s="135"/>
      <c r="R268" s="135"/>
      <c r="S268" s="83"/>
      <c r="T268" s="83"/>
      <c r="U268" s="110"/>
      <c r="V268" s="110"/>
      <c r="W268" s="110"/>
      <c r="X268" s="110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3"/>
      <c r="AJ268" s="83"/>
      <c r="AK268" s="83"/>
      <c r="AL268" s="83"/>
      <c r="AM268" s="83"/>
      <c r="AN268" s="83"/>
      <c r="AO268" s="83"/>
      <c r="AP268" s="83"/>
      <c r="AQ268" s="83"/>
      <c r="AR268" s="84"/>
    </row>
    <row r="269" ht="12.75" customHeight="1">
      <c r="A269" s="77"/>
      <c r="B269" s="83"/>
      <c r="C269" s="83"/>
      <c r="D269" s="83"/>
      <c r="E269" s="83"/>
      <c r="F269" s="83"/>
      <c r="G269" s="83"/>
      <c r="H269" s="134"/>
      <c r="I269" s="134"/>
      <c r="J269" s="134"/>
      <c r="K269" s="83"/>
      <c r="L269" s="135"/>
      <c r="M269" s="135"/>
      <c r="N269" s="135"/>
      <c r="O269" s="135"/>
      <c r="P269" s="135"/>
      <c r="Q269" s="135"/>
      <c r="R269" s="135"/>
      <c r="S269" s="83"/>
      <c r="T269" s="83"/>
      <c r="U269" s="110"/>
      <c r="V269" s="110"/>
      <c r="W269" s="110"/>
      <c r="X269" s="110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3"/>
      <c r="AJ269" s="83"/>
      <c r="AK269" s="83"/>
      <c r="AL269" s="83"/>
      <c r="AM269" s="83"/>
      <c r="AN269" s="83"/>
      <c r="AO269" s="83"/>
      <c r="AP269" s="83"/>
      <c r="AQ269" s="83"/>
      <c r="AR269" s="84"/>
    </row>
    <row r="270" ht="12.75" customHeight="1">
      <c r="A270" s="77"/>
      <c r="B270" s="83"/>
      <c r="C270" s="83"/>
      <c r="D270" s="83"/>
      <c r="E270" s="83"/>
      <c r="F270" s="83"/>
      <c r="G270" s="83"/>
      <c r="H270" s="134"/>
      <c r="I270" s="134"/>
      <c r="J270" s="134"/>
      <c r="K270" s="83"/>
      <c r="L270" s="135"/>
      <c r="M270" s="135"/>
      <c r="N270" s="135"/>
      <c r="O270" s="135"/>
      <c r="P270" s="135"/>
      <c r="Q270" s="135"/>
      <c r="R270" s="135"/>
      <c r="S270" s="83"/>
      <c r="T270" s="83"/>
      <c r="U270" s="110"/>
      <c r="V270" s="110"/>
      <c r="W270" s="110"/>
      <c r="X270" s="110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3"/>
      <c r="AJ270" s="83"/>
      <c r="AK270" s="83"/>
      <c r="AL270" s="83"/>
      <c r="AM270" s="83"/>
      <c r="AN270" s="83"/>
      <c r="AO270" s="83"/>
      <c r="AP270" s="83"/>
      <c r="AQ270" s="83"/>
      <c r="AR270" s="84"/>
    </row>
    <row r="271" ht="12.75" customHeight="1">
      <c r="A271" s="77"/>
      <c r="B271" s="83"/>
      <c r="C271" s="83"/>
      <c r="D271" s="83"/>
      <c r="E271" s="83"/>
      <c r="F271" s="83"/>
      <c r="G271" s="83"/>
      <c r="H271" s="134"/>
      <c r="I271" s="134"/>
      <c r="J271" s="134"/>
      <c r="K271" s="83"/>
      <c r="L271" s="135"/>
      <c r="M271" s="135"/>
      <c r="N271" s="135"/>
      <c r="O271" s="135"/>
      <c r="P271" s="135"/>
      <c r="Q271" s="135"/>
      <c r="R271" s="135"/>
      <c r="S271" s="83"/>
      <c r="T271" s="83"/>
      <c r="U271" s="110"/>
      <c r="V271" s="110"/>
      <c r="W271" s="110"/>
      <c r="X271" s="110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3"/>
      <c r="AJ271" s="83"/>
      <c r="AK271" s="83"/>
      <c r="AL271" s="83"/>
      <c r="AM271" s="83"/>
      <c r="AN271" s="83"/>
      <c r="AO271" s="83"/>
      <c r="AP271" s="83"/>
      <c r="AQ271" s="83"/>
      <c r="AR271" s="84"/>
    </row>
    <row r="272" ht="12.75" customHeight="1">
      <c r="A272" s="77"/>
      <c r="B272" s="83"/>
      <c r="C272" s="83"/>
      <c r="D272" s="83"/>
      <c r="E272" s="83"/>
      <c r="F272" s="83"/>
      <c r="G272" s="83"/>
      <c r="H272" s="134"/>
      <c r="I272" s="134"/>
      <c r="J272" s="134"/>
      <c r="K272" s="83"/>
      <c r="L272" s="135"/>
      <c r="M272" s="135"/>
      <c r="N272" s="135"/>
      <c r="O272" s="135"/>
      <c r="P272" s="135"/>
      <c r="Q272" s="135"/>
      <c r="R272" s="135"/>
      <c r="S272" s="83"/>
      <c r="T272" s="83"/>
      <c r="U272" s="110"/>
      <c r="V272" s="110"/>
      <c r="W272" s="110"/>
      <c r="X272" s="110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3"/>
      <c r="AJ272" s="83"/>
      <c r="AK272" s="83"/>
      <c r="AL272" s="83"/>
      <c r="AM272" s="83"/>
      <c r="AN272" s="83"/>
      <c r="AO272" s="83"/>
      <c r="AP272" s="83"/>
      <c r="AQ272" s="83"/>
      <c r="AR272" s="84"/>
    </row>
    <row r="273" ht="12.75" customHeight="1">
      <c r="A273" s="77"/>
      <c r="B273" s="83"/>
      <c r="C273" s="83"/>
      <c r="D273" s="83"/>
      <c r="E273" s="83"/>
      <c r="F273" s="83"/>
      <c r="G273" s="83"/>
      <c r="H273" s="134"/>
      <c r="I273" s="134"/>
      <c r="J273" s="134"/>
      <c r="K273" s="83"/>
      <c r="L273" s="135"/>
      <c r="M273" s="135"/>
      <c r="N273" s="135"/>
      <c r="O273" s="135"/>
      <c r="P273" s="135"/>
      <c r="Q273" s="135"/>
      <c r="R273" s="135"/>
      <c r="S273" s="83"/>
      <c r="T273" s="83"/>
      <c r="U273" s="110"/>
      <c r="V273" s="110"/>
      <c r="W273" s="110"/>
      <c r="X273" s="110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3"/>
      <c r="AJ273" s="83"/>
      <c r="AK273" s="83"/>
      <c r="AL273" s="83"/>
      <c r="AM273" s="83"/>
      <c r="AN273" s="83"/>
      <c r="AO273" s="83"/>
      <c r="AP273" s="83"/>
      <c r="AQ273" s="83"/>
      <c r="AR273" s="84"/>
    </row>
    <row r="274" ht="12.75" customHeight="1">
      <c r="A274" s="77"/>
      <c r="B274" s="83"/>
      <c r="C274" s="83"/>
      <c r="D274" s="83"/>
      <c r="E274" s="83"/>
      <c r="F274" s="83"/>
      <c r="G274" s="83"/>
      <c r="H274" s="134"/>
      <c r="I274" s="134"/>
      <c r="J274" s="134"/>
      <c r="K274" s="83"/>
      <c r="L274" s="135"/>
      <c r="M274" s="135"/>
      <c r="N274" s="135"/>
      <c r="O274" s="135"/>
      <c r="P274" s="135"/>
      <c r="Q274" s="135"/>
      <c r="R274" s="135"/>
      <c r="S274" s="83"/>
      <c r="T274" s="83"/>
      <c r="U274" s="110"/>
      <c r="V274" s="110"/>
      <c r="W274" s="110"/>
      <c r="X274" s="110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3"/>
      <c r="AJ274" s="83"/>
      <c r="AK274" s="83"/>
      <c r="AL274" s="83"/>
      <c r="AM274" s="83"/>
      <c r="AN274" s="83"/>
      <c r="AO274" s="83"/>
      <c r="AP274" s="83"/>
      <c r="AQ274" s="83"/>
      <c r="AR274" s="84"/>
    </row>
    <row r="275" ht="12.75" customHeight="1">
      <c r="A275" s="77"/>
      <c r="B275" s="83"/>
      <c r="C275" s="83"/>
      <c r="D275" s="83"/>
      <c r="E275" s="83"/>
      <c r="F275" s="83"/>
      <c r="G275" s="83"/>
      <c r="H275" s="134"/>
      <c r="I275" s="134"/>
      <c r="J275" s="134"/>
      <c r="K275" s="83"/>
      <c r="L275" s="135"/>
      <c r="M275" s="135"/>
      <c r="N275" s="135"/>
      <c r="O275" s="135"/>
      <c r="P275" s="135"/>
      <c r="Q275" s="135"/>
      <c r="R275" s="135"/>
      <c r="S275" s="83"/>
      <c r="T275" s="83"/>
      <c r="U275" s="110"/>
      <c r="V275" s="110"/>
      <c r="W275" s="110"/>
      <c r="X275" s="110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3"/>
      <c r="AJ275" s="83"/>
      <c r="AK275" s="83"/>
      <c r="AL275" s="83"/>
      <c r="AM275" s="83"/>
      <c r="AN275" s="83"/>
      <c r="AO275" s="83"/>
      <c r="AP275" s="83"/>
      <c r="AQ275" s="83"/>
      <c r="AR275" s="84"/>
    </row>
    <row r="276" ht="12.75" customHeight="1">
      <c r="A276" s="77"/>
      <c r="B276" s="83"/>
      <c r="C276" s="83"/>
      <c r="D276" s="83"/>
      <c r="E276" s="83"/>
      <c r="F276" s="83"/>
      <c r="G276" s="83"/>
      <c r="H276" s="134"/>
      <c r="I276" s="134"/>
      <c r="J276" s="134"/>
      <c r="K276" s="83"/>
      <c r="L276" s="135"/>
      <c r="M276" s="135"/>
      <c r="N276" s="135"/>
      <c r="O276" s="135"/>
      <c r="P276" s="135"/>
      <c r="Q276" s="135"/>
      <c r="R276" s="135"/>
      <c r="S276" s="83"/>
      <c r="T276" s="83"/>
      <c r="U276" s="110"/>
      <c r="V276" s="110"/>
      <c r="W276" s="110"/>
      <c r="X276" s="110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3"/>
      <c r="AJ276" s="83"/>
      <c r="AK276" s="83"/>
      <c r="AL276" s="83"/>
      <c r="AM276" s="83"/>
      <c r="AN276" s="83"/>
      <c r="AO276" s="83"/>
      <c r="AP276" s="83"/>
      <c r="AQ276" s="83"/>
      <c r="AR276" s="84"/>
    </row>
    <row r="277" ht="12.75" customHeight="1">
      <c r="A277" s="77"/>
      <c r="B277" s="83"/>
      <c r="C277" s="83"/>
      <c r="D277" s="83"/>
      <c r="E277" s="83"/>
      <c r="F277" s="83"/>
      <c r="G277" s="83"/>
      <c r="H277" s="134"/>
      <c r="I277" s="134"/>
      <c r="J277" s="134"/>
      <c r="K277" s="83"/>
      <c r="L277" s="135"/>
      <c r="M277" s="135"/>
      <c r="N277" s="135"/>
      <c r="O277" s="135"/>
      <c r="P277" s="135"/>
      <c r="Q277" s="135"/>
      <c r="R277" s="135"/>
      <c r="S277" s="83"/>
      <c r="T277" s="83"/>
      <c r="U277" s="110"/>
      <c r="V277" s="110"/>
      <c r="W277" s="110"/>
      <c r="X277" s="110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3"/>
      <c r="AJ277" s="83"/>
      <c r="AK277" s="83"/>
      <c r="AL277" s="83"/>
      <c r="AM277" s="83"/>
      <c r="AN277" s="83"/>
      <c r="AO277" s="83"/>
      <c r="AP277" s="83"/>
      <c r="AQ277" s="83"/>
      <c r="AR277" s="84"/>
    </row>
    <row r="278" ht="12.75" customHeight="1">
      <c r="A278" s="77"/>
      <c r="B278" s="83"/>
      <c r="C278" s="83"/>
      <c r="D278" s="83"/>
      <c r="E278" s="83"/>
      <c r="F278" s="83"/>
      <c r="G278" s="83"/>
      <c r="H278" s="134"/>
      <c r="I278" s="134"/>
      <c r="J278" s="134"/>
      <c r="K278" s="83"/>
      <c r="L278" s="135"/>
      <c r="M278" s="135"/>
      <c r="N278" s="135"/>
      <c r="O278" s="135"/>
      <c r="P278" s="135"/>
      <c r="Q278" s="135"/>
      <c r="R278" s="135"/>
      <c r="S278" s="83"/>
      <c r="T278" s="83"/>
      <c r="U278" s="110"/>
      <c r="V278" s="110"/>
      <c r="W278" s="110"/>
      <c r="X278" s="110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3"/>
      <c r="AJ278" s="83"/>
      <c r="AK278" s="83"/>
      <c r="AL278" s="83"/>
      <c r="AM278" s="83"/>
      <c r="AN278" s="83"/>
      <c r="AO278" s="83"/>
      <c r="AP278" s="83"/>
      <c r="AQ278" s="83"/>
      <c r="AR278" s="84"/>
    </row>
    <row r="279" ht="12.75" customHeight="1">
      <c r="A279" s="77"/>
      <c r="B279" s="83"/>
      <c r="C279" s="83"/>
      <c r="D279" s="83"/>
      <c r="E279" s="83"/>
      <c r="F279" s="83"/>
      <c r="G279" s="83"/>
      <c r="H279" s="134"/>
      <c r="I279" s="134"/>
      <c r="J279" s="134"/>
      <c r="K279" s="83"/>
      <c r="L279" s="135"/>
      <c r="M279" s="135"/>
      <c r="N279" s="135"/>
      <c r="O279" s="135"/>
      <c r="P279" s="135"/>
      <c r="Q279" s="135"/>
      <c r="R279" s="135"/>
      <c r="S279" s="83"/>
      <c r="T279" s="83"/>
      <c r="U279" s="110"/>
      <c r="V279" s="110"/>
      <c r="W279" s="110"/>
      <c r="X279" s="110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3"/>
      <c r="AJ279" s="83"/>
      <c r="AK279" s="83"/>
      <c r="AL279" s="83"/>
      <c r="AM279" s="83"/>
      <c r="AN279" s="83"/>
      <c r="AO279" s="83"/>
      <c r="AP279" s="83"/>
      <c r="AQ279" s="83"/>
      <c r="AR279" s="84"/>
    </row>
    <row r="280" ht="12.75" customHeight="1">
      <c r="A280" s="77"/>
      <c r="B280" s="83"/>
      <c r="C280" s="83"/>
      <c r="D280" s="83"/>
      <c r="E280" s="83"/>
      <c r="F280" s="83"/>
      <c r="G280" s="83"/>
      <c r="H280" s="134"/>
      <c r="I280" s="134"/>
      <c r="J280" s="134"/>
      <c r="K280" s="83"/>
      <c r="L280" s="135"/>
      <c r="M280" s="135"/>
      <c r="N280" s="135"/>
      <c r="O280" s="135"/>
      <c r="P280" s="135"/>
      <c r="Q280" s="135"/>
      <c r="R280" s="135"/>
      <c r="S280" s="83"/>
      <c r="T280" s="83"/>
      <c r="U280" s="110"/>
      <c r="V280" s="110"/>
      <c r="W280" s="110"/>
      <c r="X280" s="110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3"/>
      <c r="AJ280" s="83"/>
      <c r="AK280" s="83"/>
      <c r="AL280" s="83"/>
      <c r="AM280" s="83"/>
      <c r="AN280" s="83"/>
      <c r="AO280" s="83"/>
      <c r="AP280" s="83"/>
      <c r="AQ280" s="83"/>
      <c r="AR280" s="84"/>
    </row>
    <row r="281" ht="12.75" customHeight="1">
      <c r="A281" s="77"/>
      <c r="B281" s="83"/>
      <c r="C281" s="83"/>
      <c r="D281" s="83"/>
      <c r="E281" s="83"/>
      <c r="F281" s="83"/>
      <c r="G281" s="83"/>
      <c r="H281" s="134"/>
      <c r="I281" s="134"/>
      <c r="J281" s="134"/>
      <c r="K281" s="83"/>
      <c r="L281" s="135"/>
      <c r="M281" s="135"/>
      <c r="N281" s="135"/>
      <c r="O281" s="135"/>
      <c r="P281" s="135"/>
      <c r="Q281" s="135"/>
      <c r="R281" s="135"/>
      <c r="S281" s="83"/>
      <c r="T281" s="83"/>
      <c r="U281" s="110"/>
      <c r="V281" s="110"/>
      <c r="W281" s="110"/>
      <c r="X281" s="110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3"/>
      <c r="AJ281" s="83"/>
      <c r="AK281" s="83"/>
      <c r="AL281" s="83"/>
      <c r="AM281" s="83"/>
      <c r="AN281" s="83"/>
      <c r="AO281" s="83"/>
      <c r="AP281" s="83"/>
      <c r="AQ281" s="83"/>
      <c r="AR281" s="84"/>
    </row>
    <row r="282" ht="12.75" customHeight="1">
      <c r="A282" s="77"/>
      <c r="B282" s="83"/>
      <c r="C282" s="83"/>
      <c r="D282" s="83"/>
      <c r="E282" s="83"/>
      <c r="F282" s="83"/>
      <c r="G282" s="83"/>
      <c r="H282" s="134"/>
      <c r="I282" s="134"/>
      <c r="J282" s="134"/>
      <c r="K282" s="83"/>
      <c r="L282" s="135"/>
      <c r="M282" s="135"/>
      <c r="N282" s="135"/>
      <c r="O282" s="135"/>
      <c r="P282" s="135"/>
      <c r="Q282" s="135"/>
      <c r="R282" s="135"/>
      <c r="S282" s="83"/>
      <c r="T282" s="83"/>
      <c r="U282" s="110"/>
      <c r="V282" s="110"/>
      <c r="W282" s="110"/>
      <c r="X282" s="110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3"/>
      <c r="AJ282" s="83"/>
      <c r="AK282" s="83"/>
      <c r="AL282" s="83"/>
      <c r="AM282" s="83"/>
      <c r="AN282" s="83"/>
      <c r="AO282" s="83"/>
      <c r="AP282" s="83"/>
      <c r="AQ282" s="83"/>
      <c r="AR282" s="84"/>
    </row>
    <row r="283" ht="12.75" customHeight="1">
      <c r="A283" s="77"/>
      <c r="B283" s="83"/>
      <c r="C283" s="83"/>
      <c r="D283" s="83"/>
      <c r="E283" s="83"/>
      <c r="F283" s="83"/>
      <c r="G283" s="83"/>
      <c r="H283" s="134"/>
      <c r="I283" s="134"/>
      <c r="J283" s="134"/>
      <c r="K283" s="83"/>
      <c r="L283" s="135"/>
      <c r="M283" s="135"/>
      <c r="N283" s="135"/>
      <c r="O283" s="135"/>
      <c r="P283" s="135"/>
      <c r="Q283" s="135"/>
      <c r="R283" s="135"/>
      <c r="S283" s="83"/>
      <c r="T283" s="83"/>
      <c r="U283" s="110"/>
      <c r="V283" s="110"/>
      <c r="W283" s="110"/>
      <c r="X283" s="110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3"/>
      <c r="AJ283" s="83"/>
      <c r="AK283" s="83"/>
      <c r="AL283" s="83"/>
      <c r="AM283" s="83"/>
      <c r="AN283" s="83"/>
      <c r="AO283" s="83"/>
      <c r="AP283" s="83"/>
      <c r="AQ283" s="83"/>
      <c r="AR283" s="84"/>
    </row>
    <row r="284" ht="12.75" customHeight="1">
      <c r="A284" s="77"/>
      <c r="B284" s="83"/>
      <c r="C284" s="83"/>
      <c r="D284" s="83"/>
      <c r="E284" s="83"/>
      <c r="F284" s="83"/>
      <c r="G284" s="83"/>
      <c r="H284" s="134"/>
      <c r="I284" s="134"/>
      <c r="J284" s="134"/>
      <c r="K284" s="83"/>
      <c r="L284" s="135"/>
      <c r="M284" s="135"/>
      <c r="N284" s="135"/>
      <c r="O284" s="135"/>
      <c r="P284" s="135"/>
      <c r="Q284" s="135"/>
      <c r="R284" s="135"/>
      <c r="S284" s="83"/>
      <c r="T284" s="83"/>
      <c r="U284" s="110"/>
      <c r="V284" s="110"/>
      <c r="W284" s="110"/>
      <c r="X284" s="110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3"/>
      <c r="AJ284" s="83"/>
      <c r="AK284" s="83"/>
      <c r="AL284" s="83"/>
      <c r="AM284" s="83"/>
      <c r="AN284" s="83"/>
      <c r="AO284" s="83"/>
      <c r="AP284" s="83"/>
      <c r="AQ284" s="83"/>
      <c r="AR284" s="84"/>
    </row>
    <row r="285" ht="12.75" customHeight="1">
      <c r="A285" s="77"/>
      <c r="B285" s="83"/>
      <c r="C285" s="83"/>
      <c r="D285" s="83"/>
      <c r="E285" s="83"/>
      <c r="F285" s="83"/>
      <c r="G285" s="83"/>
      <c r="H285" s="134"/>
      <c r="I285" s="134"/>
      <c r="J285" s="134"/>
      <c r="K285" s="83"/>
      <c r="L285" s="135"/>
      <c r="M285" s="135"/>
      <c r="N285" s="135"/>
      <c r="O285" s="135"/>
      <c r="P285" s="135"/>
      <c r="Q285" s="135"/>
      <c r="R285" s="135"/>
      <c r="S285" s="83"/>
      <c r="T285" s="83"/>
      <c r="U285" s="110"/>
      <c r="V285" s="110"/>
      <c r="W285" s="110"/>
      <c r="X285" s="110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3"/>
      <c r="AJ285" s="83"/>
      <c r="AK285" s="83"/>
      <c r="AL285" s="83"/>
      <c r="AM285" s="83"/>
      <c r="AN285" s="83"/>
      <c r="AO285" s="83"/>
      <c r="AP285" s="83"/>
      <c r="AQ285" s="83"/>
      <c r="AR285" s="84"/>
    </row>
    <row r="286" ht="12.75" customHeight="1">
      <c r="A286" s="77"/>
      <c r="B286" s="83"/>
      <c r="C286" s="83"/>
      <c r="D286" s="83"/>
      <c r="E286" s="83"/>
      <c r="F286" s="83"/>
      <c r="G286" s="83"/>
      <c r="H286" s="134"/>
      <c r="I286" s="134"/>
      <c r="J286" s="134"/>
      <c r="K286" s="83"/>
      <c r="L286" s="135"/>
      <c r="M286" s="135"/>
      <c r="N286" s="135"/>
      <c r="O286" s="135"/>
      <c r="P286" s="135"/>
      <c r="Q286" s="135"/>
      <c r="R286" s="135"/>
      <c r="S286" s="83"/>
      <c r="T286" s="83"/>
      <c r="U286" s="110"/>
      <c r="V286" s="110"/>
      <c r="W286" s="110"/>
      <c r="X286" s="110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3"/>
      <c r="AJ286" s="83"/>
      <c r="AK286" s="83"/>
      <c r="AL286" s="83"/>
      <c r="AM286" s="83"/>
      <c r="AN286" s="83"/>
      <c r="AO286" s="83"/>
      <c r="AP286" s="83"/>
      <c r="AQ286" s="83"/>
      <c r="AR286" s="84"/>
    </row>
    <row r="287" ht="12.75" customHeight="1">
      <c r="A287" s="77"/>
      <c r="B287" s="83"/>
      <c r="C287" s="83"/>
      <c r="D287" s="83"/>
      <c r="E287" s="83"/>
      <c r="F287" s="83"/>
      <c r="G287" s="83"/>
      <c r="H287" s="134"/>
      <c r="I287" s="134"/>
      <c r="J287" s="134"/>
      <c r="K287" s="83"/>
      <c r="L287" s="135"/>
      <c r="M287" s="135"/>
      <c r="N287" s="135"/>
      <c r="O287" s="135"/>
      <c r="P287" s="135"/>
      <c r="Q287" s="135"/>
      <c r="R287" s="135"/>
      <c r="S287" s="83"/>
      <c r="T287" s="83"/>
      <c r="U287" s="110"/>
      <c r="V287" s="110"/>
      <c r="W287" s="110"/>
      <c r="X287" s="110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3"/>
      <c r="AJ287" s="83"/>
      <c r="AK287" s="83"/>
      <c r="AL287" s="83"/>
      <c r="AM287" s="83"/>
      <c r="AN287" s="83"/>
      <c r="AO287" s="83"/>
      <c r="AP287" s="83"/>
      <c r="AQ287" s="83"/>
      <c r="AR287" s="84"/>
    </row>
    <row r="288" ht="12.75" customHeight="1">
      <c r="A288" s="77"/>
      <c r="B288" s="83"/>
      <c r="C288" s="83"/>
      <c r="D288" s="83"/>
      <c r="E288" s="83"/>
      <c r="F288" s="83"/>
      <c r="G288" s="83"/>
      <c r="H288" s="134"/>
      <c r="I288" s="134"/>
      <c r="J288" s="134"/>
      <c r="K288" s="83"/>
      <c r="L288" s="135"/>
      <c r="M288" s="135"/>
      <c r="N288" s="135"/>
      <c r="O288" s="135"/>
      <c r="P288" s="135"/>
      <c r="Q288" s="135"/>
      <c r="R288" s="135"/>
      <c r="S288" s="83"/>
      <c r="T288" s="83"/>
      <c r="U288" s="110"/>
      <c r="V288" s="110"/>
      <c r="W288" s="110"/>
      <c r="X288" s="110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3"/>
      <c r="AJ288" s="83"/>
      <c r="AK288" s="83"/>
      <c r="AL288" s="83"/>
      <c r="AM288" s="83"/>
      <c r="AN288" s="83"/>
      <c r="AO288" s="83"/>
      <c r="AP288" s="83"/>
      <c r="AQ288" s="83"/>
      <c r="AR288" s="84"/>
    </row>
    <row r="289" ht="12.75" customHeight="1">
      <c r="A289" s="77"/>
      <c r="B289" s="83"/>
      <c r="C289" s="83"/>
      <c r="D289" s="83"/>
      <c r="E289" s="83"/>
      <c r="F289" s="83"/>
      <c r="G289" s="83"/>
      <c r="H289" s="134"/>
      <c r="I289" s="134"/>
      <c r="J289" s="134"/>
      <c r="K289" s="83"/>
      <c r="L289" s="135"/>
      <c r="M289" s="135"/>
      <c r="N289" s="135"/>
      <c r="O289" s="135"/>
      <c r="P289" s="135"/>
      <c r="Q289" s="135"/>
      <c r="R289" s="135"/>
      <c r="S289" s="83"/>
      <c r="T289" s="83"/>
      <c r="U289" s="110"/>
      <c r="V289" s="110"/>
      <c r="W289" s="110"/>
      <c r="X289" s="110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3"/>
      <c r="AJ289" s="83"/>
      <c r="AK289" s="83"/>
      <c r="AL289" s="83"/>
      <c r="AM289" s="83"/>
      <c r="AN289" s="83"/>
      <c r="AO289" s="83"/>
      <c r="AP289" s="83"/>
      <c r="AQ289" s="83"/>
      <c r="AR289" s="84"/>
    </row>
    <row r="290" ht="12.75" customHeight="1">
      <c r="A290" s="77"/>
      <c r="B290" s="83"/>
      <c r="C290" s="83"/>
      <c r="D290" s="83"/>
      <c r="E290" s="83"/>
      <c r="F290" s="83"/>
      <c r="G290" s="83"/>
      <c r="H290" s="134"/>
      <c r="I290" s="134"/>
      <c r="J290" s="134"/>
      <c r="K290" s="83"/>
      <c r="L290" s="135"/>
      <c r="M290" s="135"/>
      <c r="N290" s="135"/>
      <c r="O290" s="135"/>
      <c r="P290" s="135"/>
      <c r="Q290" s="135"/>
      <c r="R290" s="135"/>
      <c r="S290" s="83"/>
      <c r="T290" s="83"/>
      <c r="U290" s="110"/>
      <c r="V290" s="110"/>
      <c r="W290" s="110"/>
      <c r="X290" s="110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3"/>
      <c r="AJ290" s="83"/>
      <c r="AK290" s="83"/>
      <c r="AL290" s="83"/>
      <c r="AM290" s="83"/>
      <c r="AN290" s="83"/>
      <c r="AO290" s="83"/>
      <c r="AP290" s="83"/>
      <c r="AQ290" s="83"/>
      <c r="AR290" s="84"/>
    </row>
    <row r="291" ht="12.75" customHeight="1">
      <c r="A291" s="77"/>
      <c r="B291" s="83"/>
      <c r="C291" s="83"/>
      <c r="D291" s="83"/>
      <c r="E291" s="83"/>
      <c r="F291" s="83"/>
      <c r="G291" s="83"/>
      <c r="H291" s="134"/>
      <c r="I291" s="134"/>
      <c r="J291" s="134"/>
      <c r="K291" s="83"/>
      <c r="L291" s="135"/>
      <c r="M291" s="135"/>
      <c r="N291" s="135"/>
      <c r="O291" s="135"/>
      <c r="P291" s="135"/>
      <c r="Q291" s="135"/>
      <c r="R291" s="135"/>
      <c r="S291" s="83"/>
      <c r="T291" s="83"/>
      <c r="U291" s="110"/>
      <c r="V291" s="110"/>
      <c r="W291" s="110"/>
      <c r="X291" s="110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3"/>
      <c r="AJ291" s="83"/>
      <c r="AK291" s="83"/>
      <c r="AL291" s="83"/>
      <c r="AM291" s="83"/>
      <c r="AN291" s="83"/>
      <c r="AO291" s="83"/>
      <c r="AP291" s="83"/>
      <c r="AQ291" s="83"/>
      <c r="AR291" s="84"/>
    </row>
    <row r="292" ht="12.75" customHeight="1">
      <c r="A292" s="77"/>
      <c r="B292" s="83"/>
      <c r="C292" s="83"/>
      <c r="D292" s="83"/>
      <c r="E292" s="83"/>
      <c r="F292" s="83"/>
      <c r="G292" s="83"/>
      <c r="H292" s="134"/>
      <c r="I292" s="134"/>
      <c r="J292" s="134"/>
      <c r="K292" s="83"/>
      <c r="L292" s="135"/>
      <c r="M292" s="135"/>
      <c r="N292" s="135"/>
      <c r="O292" s="135"/>
      <c r="P292" s="135"/>
      <c r="Q292" s="135"/>
      <c r="R292" s="135"/>
      <c r="S292" s="83"/>
      <c r="T292" s="83"/>
      <c r="U292" s="110"/>
      <c r="V292" s="110"/>
      <c r="W292" s="110"/>
      <c r="X292" s="110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3"/>
      <c r="AJ292" s="83"/>
      <c r="AK292" s="83"/>
      <c r="AL292" s="83"/>
      <c r="AM292" s="83"/>
      <c r="AN292" s="83"/>
      <c r="AO292" s="83"/>
      <c r="AP292" s="83"/>
      <c r="AQ292" s="83"/>
      <c r="AR292" s="84"/>
    </row>
    <row r="293" ht="12.75" customHeight="1">
      <c r="A293" s="77"/>
      <c r="B293" s="83"/>
      <c r="C293" s="83"/>
      <c r="D293" s="83"/>
      <c r="E293" s="83"/>
      <c r="F293" s="83"/>
      <c r="G293" s="83"/>
      <c r="H293" s="134"/>
      <c r="I293" s="134"/>
      <c r="J293" s="134"/>
      <c r="K293" s="83"/>
      <c r="L293" s="135"/>
      <c r="M293" s="135"/>
      <c r="N293" s="135"/>
      <c r="O293" s="135"/>
      <c r="P293" s="135"/>
      <c r="Q293" s="135"/>
      <c r="R293" s="135"/>
      <c r="S293" s="83"/>
      <c r="T293" s="83"/>
      <c r="U293" s="110"/>
      <c r="V293" s="110"/>
      <c r="W293" s="110"/>
      <c r="X293" s="110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3"/>
      <c r="AJ293" s="83"/>
      <c r="AK293" s="83"/>
      <c r="AL293" s="83"/>
      <c r="AM293" s="83"/>
      <c r="AN293" s="83"/>
      <c r="AO293" s="83"/>
      <c r="AP293" s="83"/>
      <c r="AQ293" s="83"/>
      <c r="AR293" s="84"/>
    </row>
    <row r="294" ht="12.75" customHeight="1">
      <c r="A294" s="77"/>
      <c r="B294" s="83"/>
      <c r="C294" s="83"/>
      <c r="D294" s="83"/>
      <c r="E294" s="83"/>
      <c r="F294" s="83"/>
      <c r="G294" s="83"/>
      <c r="H294" s="134"/>
      <c r="I294" s="134"/>
      <c r="J294" s="134"/>
      <c r="K294" s="83"/>
      <c r="L294" s="135"/>
      <c r="M294" s="135"/>
      <c r="N294" s="135"/>
      <c r="O294" s="135"/>
      <c r="P294" s="135"/>
      <c r="Q294" s="135"/>
      <c r="R294" s="135"/>
      <c r="S294" s="83"/>
      <c r="T294" s="83"/>
      <c r="U294" s="110"/>
      <c r="V294" s="110"/>
      <c r="W294" s="110"/>
      <c r="X294" s="110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3"/>
      <c r="AJ294" s="83"/>
      <c r="AK294" s="83"/>
      <c r="AL294" s="83"/>
      <c r="AM294" s="83"/>
      <c r="AN294" s="83"/>
      <c r="AO294" s="83"/>
      <c r="AP294" s="83"/>
      <c r="AQ294" s="83"/>
      <c r="AR294" s="84"/>
    </row>
    <row r="295" ht="12.75" customHeight="1">
      <c r="A295" s="77"/>
      <c r="B295" s="83"/>
      <c r="C295" s="83"/>
      <c r="D295" s="83"/>
      <c r="E295" s="83"/>
      <c r="F295" s="83"/>
      <c r="G295" s="83"/>
      <c r="H295" s="134"/>
      <c r="I295" s="134"/>
      <c r="J295" s="134"/>
      <c r="K295" s="83"/>
      <c r="L295" s="135"/>
      <c r="M295" s="135"/>
      <c r="N295" s="135"/>
      <c r="O295" s="135"/>
      <c r="P295" s="135"/>
      <c r="Q295" s="135"/>
      <c r="R295" s="135"/>
      <c r="S295" s="83"/>
      <c r="T295" s="83"/>
      <c r="U295" s="110"/>
      <c r="V295" s="110"/>
      <c r="W295" s="110"/>
      <c r="X295" s="110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3"/>
      <c r="AJ295" s="83"/>
      <c r="AK295" s="83"/>
      <c r="AL295" s="83"/>
      <c r="AM295" s="83"/>
      <c r="AN295" s="83"/>
      <c r="AO295" s="83"/>
      <c r="AP295" s="83"/>
      <c r="AQ295" s="83"/>
      <c r="AR295" s="84"/>
    </row>
    <row r="296" ht="12.75" customHeight="1">
      <c r="A296" s="77"/>
      <c r="B296" s="83"/>
      <c r="C296" s="83"/>
      <c r="D296" s="83"/>
      <c r="E296" s="83"/>
      <c r="F296" s="83"/>
      <c r="G296" s="83"/>
      <c r="H296" s="134"/>
      <c r="I296" s="134"/>
      <c r="J296" s="134"/>
      <c r="K296" s="83"/>
      <c r="L296" s="135"/>
      <c r="M296" s="135"/>
      <c r="N296" s="135"/>
      <c r="O296" s="135"/>
      <c r="P296" s="135"/>
      <c r="Q296" s="135"/>
      <c r="R296" s="135"/>
      <c r="S296" s="83"/>
      <c r="T296" s="83"/>
      <c r="U296" s="110"/>
      <c r="V296" s="110"/>
      <c r="W296" s="110"/>
      <c r="X296" s="110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3"/>
      <c r="AJ296" s="83"/>
      <c r="AK296" s="83"/>
      <c r="AL296" s="83"/>
      <c r="AM296" s="83"/>
      <c r="AN296" s="83"/>
      <c r="AO296" s="83"/>
      <c r="AP296" s="83"/>
      <c r="AQ296" s="83"/>
      <c r="AR296" s="84"/>
    </row>
    <row r="297" ht="12.75" customHeight="1">
      <c r="A297" s="77"/>
      <c r="B297" s="83"/>
      <c r="C297" s="83"/>
      <c r="D297" s="83"/>
      <c r="E297" s="83"/>
      <c r="F297" s="83"/>
      <c r="G297" s="83"/>
      <c r="H297" s="134"/>
      <c r="I297" s="134"/>
      <c r="J297" s="134"/>
      <c r="K297" s="83"/>
      <c r="L297" s="135"/>
      <c r="M297" s="135"/>
      <c r="N297" s="135"/>
      <c r="O297" s="135"/>
      <c r="P297" s="135"/>
      <c r="Q297" s="135"/>
      <c r="R297" s="135"/>
      <c r="S297" s="83"/>
      <c r="T297" s="83"/>
      <c r="U297" s="110"/>
      <c r="V297" s="110"/>
      <c r="W297" s="110"/>
      <c r="X297" s="110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3"/>
      <c r="AJ297" s="83"/>
      <c r="AK297" s="83"/>
      <c r="AL297" s="83"/>
      <c r="AM297" s="83"/>
      <c r="AN297" s="83"/>
      <c r="AO297" s="83"/>
      <c r="AP297" s="83"/>
      <c r="AQ297" s="83"/>
      <c r="AR297" s="84"/>
    </row>
    <row r="298" ht="12.75" customHeight="1">
      <c r="A298" s="77"/>
      <c r="B298" s="83"/>
      <c r="C298" s="83"/>
      <c r="D298" s="83"/>
      <c r="E298" s="83"/>
      <c r="F298" s="83"/>
      <c r="G298" s="83"/>
      <c r="H298" s="134"/>
      <c r="I298" s="134"/>
      <c r="J298" s="134"/>
      <c r="K298" s="83"/>
      <c r="L298" s="135"/>
      <c r="M298" s="135"/>
      <c r="N298" s="135"/>
      <c r="O298" s="135"/>
      <c r="P298" s="135"/>
      <c r="Q298" s="135"/>
      <c r="R298" s="135"/>
      <c r="S298" s="83"/>
      <c r="T298" s="83"/>
      <c r="U298" s="110"/>
      <c r="V298" s="110"/>
      <c r="W298" s="110"/>
      <c r="X298" s="110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3"/>
      <c r="AJ298" s="83"/>
      <c r="AK298" s="83"/>
      <c r="AL298" s="83"/>
      <c r="AM298" s="83"/>
      <c r="AN298" s="83"/>
      <c r="AO298" s="83"/>
      <c r="AP298" s="83"/>
      <c r="AQ298" s="83"/>
      <c r="AR298" s="84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6"/>
      <c r="Z1" s="7"/>
      <c r="AA1" s="7"/>
      <c r="AB1" s="7"/>
      <c r="AC1" s="7"/>
      <c r="AD1" s="7"/>
      <c r="AE1" s="7"/>
      <c r="AF1" s="7"/>
      <c r="AG1" s="7"/>
      <c r="AH1" s="7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246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16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2.0</v>
      </c>
      <c r="D5" s="19" t="s">
        <v>31</v>
      </c>
      <c r="E5" s="23">
        <v>1.0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2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1.0</v>
      </c>
      <c r="D6" s="19" t="s">
        <v>31</v>
      </c>
      <c r="E6" s="23">
        <v>0.0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5</v>
      </c>
      <c r="M6" s="19" t="str">
        <f t="shared" ref="M6:M9" si="5">N6-O6</f>
        <v>1</v>
      </c>
      <c r="N6" s="19" t="str">
        <f t="shared" ref="N6:N9" si="6">SUM(INDIRECT($AC6),INDIRECT($AD6),INDIRECT($AE6))</f>
        <v>5</v>
      </c>
      <c r="O6" s="19" t="str">
        <f t="shared" ref="O6:O9" si="7">SUM(INDIRECT($AF6),INDIRECT($AG6),INDIRECT($AH6))</f>
        <v>4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2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0</v>
      </c>
      <c r="S6" s="31"/>
      <c r="T6" s="32" t="str">
        <f t="shared" si="1"/>
        <v/>
      </c>
      <c r="U6" s="19" t="str">
        <f t="shared" si="2"/>
        <v>2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1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1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1.0</v>
      </c>
      <c r="D7" s="19" t="s">
        <v>31</v>
      </c>
      <c r="E7" s="23">
        <v>2.0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7</v>
      </c>
      <c r="M7" s="19" t="str">
        <f t="shared" si="5"/>
        <v>3</v>
      </c>
      <c r="N7" s="19" t="str">
        <f t="shared" si="6"/>
        <v>6</v>
      </c>
      <c r="O7" s="19" t="str">
        <f t="shared" si="7"/>
        <v>3</v>
      </c>
      <c r="P7" s="19" t="str">
        <f t="shared" si="8"/>
        <v>2</v>
      </c>
      <c r="Q7" s="19" t="str">
        <f t="shared" si="9"/>
        <v>1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2.0</v>
      </c>
      <c r="D8" s="19" t="s">
        <v>31</v>
      </c>
      <c r="E8" s="23">
        <v>2.0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0</v>
      </c>
      <c r="M8" s="19" t="str">
        <f t="shared" si="5"/>
        <v>-4</v>
      </c>
      <c r="N8" s="19" t="str">
        <f t="shared" si="6"/>
        <v>1</v>
      </c>
      <c r="O8" s="19" t="str">
        <f t="shared" si="7"/>
        <v>5</v>
      </c>
      <c r="P8" s="19" t="str">
        <f t="shared" si="8"/>
        <v>0</v>
      </c>
      <c r="Q8" s="19" t="str">
        <f t="shared" si="9"/>
        <v>0</v>
      </c>
      <c r="R8" s="36" t="str">
        <f t="shared" si="10"/>
        <v>3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2.0</v>
      </c>
      <c r="D9" s="19" t="s">
        <v>31</v>
      </c>
      <c r="E9" s="23">
        <v>2.0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4</v>
      </c>
      <c r="M9" s="38" t="str">
        <f t="shared" si="5"/>
        <v>0</v>
      </c>
      <c r="N9" s="38" t="str">
        <f t="shared" si="6"/>
        <v>5</v>
      </c>
      <c r="O9" s="38" t="str">
        <f t="shared" si="7"/>
        <v>5</v>
      </c>
      <c r="P9" s="38" t="str">
        <f t="shared" si="8"/>
        <v>1</v>
      </c>
      <c r="Q9" s="38" t="str">
        <f t="shared" si="9"/>
        <v>1</v>
      </c>
      <c r="R9" s="39" t="str">
        <f t="shared" si="10"/>
        <v>1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0.0</v>
      </c>
      <c r="D10" s="38" t="s">
        <v>31</v>
      </c>
      <c r="E10" s="42">
        <v>2.0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1.0</v>
      </c>
      <c r="D13" s="19" t="s">
        <v>31</v>
      </c>
      <c r="E13" s="23">
        <v>1.0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4</v>
      </c>
      <c r="Y13" s="33" t="str">
        <f>IF(AND(ISNUMBER(RESULTADOS!C13),ISNUMBER(RESULTADOS!E13),ISNUMBER(C13),ISNUMBER(E13),C13=RESULTADOS!C13,E13=RESULTADOS!E13),2,0)</f>
        <v>2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2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1.0</v>
      </c>
      <c r="D14" s="19" t="s">
        <v>31</v>
      </c>
      <c r="E14" s="23">
        <v>3.0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5</v>
      </c>
      <c r="M14" s="19" t="str">
        <f t="shared" ref="M14:M17" si="18">N14-O14</f>
        <v>1</v>
      </c>
      <c r="N14" s="19" t="str">
        <f t="shared" ref="N14:N17" si="19">SUM(INDIRECT($AC14),INDIRECT($AD14),INDIRECT($AE14))</f>
        <v>6</v>
      </c>
      <c r="O14" s="19" t="str">
        <f t="shared" ref="O14:O17" si="20">SUM(INDIRECT($AF14),INDIRECT($AG14),INDIRECT($AH14))</f>
        <v>5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2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0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2.0</v>
      </c>
      <c r="D15" s="19" t="s">
        <v>31</v>
      </c>
      <c r="E15" s="23">
        <v>2.0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5</v>
      </c>
      <c r="M15" s="19" t="str">
        <f t="shared" si="18"/>
        <v>1</v>
      </c>
      <c r="N15" s="19" t="str">
        <f t="shared" si="19"/>
        <v>5</v>
      </c>
      <c r="O15" s="19" t="str">
        <f t="shared" si="20"/>
        <v>4</v>
      </c>
      <c r="P15" s="19" t="str">
        <f t="shared" si="21"/>
        <v>1</v>
      </c>
      <c r="Q15" s="19" t="str">
        <f t="shared" si="22"/>
        <v>2</v>
      </c>
      <c r="R15" s="36" t="str">
        <f t="shared" si="23"/>
        <v>0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2.0</v>
      </c>
      <c r="D16" s="19" t="s">
        <v>31</v>
      </c>
      <c r="E16" s="23">
        <v>1.0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-4</v>
      </c>
      <c r="N16" s="19" t="str">
        <f t="shared" si="19"/>
        <v>4</v>
      </c>
      <c r="O16" s="19" t="str">
        <f t="shared" si="20"/>
        <v>8</v>
      </c>
      <c r="P16" s="19" t="str">
        <f t="shared" si="21"/>
        <v>0</v>
      </c>
      <c r="Q16" s="19" t="str">
        <f t="shared" si="22"/>
        <v>0</v>
      </c>
      <c r="R16" s="36" t="str">
        <f t="shared" si="23"/>
        <v>3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2.0</v>
      </c>
      <c r="D17" s="19" t="s">
        <v>31</v>
      </c>
      <c r="E17" s="23">
        <v>2.0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5</v>
      </c>
      <c r="M17" s="38" t="str">
        <f t="shared" si="18"/>
        <v>2</v>
      </c>
      <c r="N17" s="38" t="str">
        <f t="shared" si="19"/>
        <v>7</v>
      </c>
      <c r="O17" s="38" t="str">
        <f t="shared" si="20"/>
        <v>5</v>
      </c>
      <c r="P17" s="38" t="str">
        <f t="shared" si="21"/>
        <v>1</v>
      </c>
      <c r="Q17" s="38" t="str">
        <f t="shared" si="22"/>
        <v>2</v>
      </c>
      <c r="R17" s="39" t="str">
        <f t="shared" si="23"/>
        <v>0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3.0</v>
      </c>
      <c r="D18" s="38" t="s">
        <v>31</v>
      </c>
      <c r="E18" s="42">
        <v>2.0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2.0</v>
      </c>
      <c r="D21" s="19" t="s">
        <v>31</v>
      </c>
      <c r="E21" s="23">
        <v>0.0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1.0</v>
      </c>
      <c r="D22" s="19" t="s">
        <v>31</v>
      </c>
      <c r="E22" s="23">
        <v>0.0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8</v>
      </c>
      <c r="N22" s="19" t="str">
        <f t="shared" ref="N22:N25" si="32">SUM(INDIRECT($AC22),INDIRECT($AD22),INDIRECT($AE22))</f>
        <v>8</v>
      </c>
      <c r="O22" s="19" t="str">
        <f t="shared" ref="O22:O25" si="33">SUM(INDIRECT($AF22),INDIRECT($AG22),INDIRECT($AH22))</f>
        <v>0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0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0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3.0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0</v>
      </c>
      <c r="M23" s="19" t="str">
        <f t="shared" si="31"/>
        <v>-5</v>
      </c>
      <c r="N23" s="19" t="str">
        <f t="shared" si="32"/>
        <v>1</v>
      </c>
      <c r="O23" s="19" t="str">
        <f t="shared" si="33"/>
        <v>6</v>
      </c>
      <c r="P23" s="19" t="str">
        <f t="shared" si="34"/>
        <v>0</v>
      </c>
      <c r="Q23" s="19" t="str">
        <f t="shared" si="35"/>
        <v>0</v>
      </c>
      <c r="R23" s="36" t="str">
        <f t="shared" si="36"/>
        <v>3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4.0</v>
      </c>
      <c r="D24" s="19" t="s">
        <v>31</v>
      </c>
      <c r="E24" s="23">
        <v>0.0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3</v>
      </c>
      <c r="M24" s="19" t="str">
        <f t="shared" si="31"/>
        <v>-6</v>
      </c>
      <c r="N24" s="19" t="str">
        <f t="shared" si="32"/>
        <v>1</v>
      </c>
      <c r="O24" s="19" t="str">
        <f t="shared" si="33"/>
        <v>7</v>
      </c>
      <c r="P24" s="19" t="str">
        <f t="shared" si="34"/>
        <v>1</v>
      </c>
      <c r="Q24" s="19" t="str">
        <f t="shared" si="35"/>
        <v>0</v>
      </c>
      <c r="R24" s="36" t="str">
        <f t="shared" si="36"/>
        <v>2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3.0</v>
      </c>
      <c r="D25" s="19" t="s">
        <v>31</v>
      </c>
      <c r="E25" s="23">
        <v>0.0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3</v>
      </c>
      <c r="N25" s="38" t="str">
        <f t="shared" si="32"/>
        <v>6</v>
      </c>
      <c r="O25" s="38" t="str">
        <f t="shared" si="33"/>
        <v>3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0.0</v>
      </c>
      <c r="D26" s="38" t="s">
        <v>31</v>
      </c>
      <c r="E26" s="42">
        <v>2.0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1.0</v>
      </c>
      <c r="D29" s="19" t="s">
        <v>31</v>
      </c>
      <c r="E29" s="23">
        <v>2.0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0.0</v>
      </c>
      <c r="D30" s="19" t="s">
        <v>31</v>
      </c>
      <c r="E30" s="23">
        <v>3.0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2</v>
      </c>
      <c r="M30" s="19" t="str">
        <f t="shared" ref="M30:M33" si="44">N30-O30</f>
        <v>-3</v>
      </c>
      <c r="N30" s="19" t="str">
        <f t="shared" ref="N30:N33" si="45">SUM(INDIRECT($AC30),INDIRECT($AD30),INDIRECT($AE30))</f>
        <v>3</v>
      </c>
      <c r="O30" s="19" t="str">
        <f t="shared" ref="O30:O33" si="46">SUM(INDIRECT($AF30),INDIRECT($AG30),INDIRECT($AH30))</f>
        <v>6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2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1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1.0</v>
      </c>
      <c r="D31" s="19" t="s">
        <v>31</v>
      </c>
      <c r="E31" s="23">
        <v>1.0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1</v>
      </c>
      <c r="M31" s="19" t="str">
        <f t="shared" si="44"/>
        <v>-2</v>
      </c>
      <c r="N31" s="19" t="str">
        <f t="shared" si="45"/>
        <v>3</v>
      </c>
      <c r="O31" s="19" t="str">
        <f t="shared" si="46"/>
        <v>5</v>
      </c>
      <c r="P31" s="19" t="str">
        <f t="shared" si="47"/>
        <v>0</v>
      </c>
      <c r="Q31" s="19" t="str">
        <f t="shared" si="48"/>
        <v>1</v>
      </c>
      <c r="R31" s="36" t="str">
        <f t="shared" si="49"/>
        <v>2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1.0</v>
      </c>
      <c r="D32" s="19" t="s">
        <v>31</v>
      </c>
      <c r="E32" s="23">
        <v>2.0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7</v>
      </c>
      <c r="M32" s="19" t="str">
        <f t="shared" si="44"/>
        <v>2</v>
      </c>
      <c r="N32" s="19" t="str">
        <f t="shared" si="45"/>
        <v>6</v>
      </c>
      <c r="O32" s="19" t="str">
        <f t="shared" si="46"/>
        <v>4</v>
      </c>
      <c r="P32" s="19" t="str">
        <f t="shared" si="47"/>
        <v>2</v>
      </c>
      <c r="Q32" s="19" t="str">
        <f t="shared" si="48"/>
        <v>1</v>
      </c>
      <c r="R32" s="36" t="str">
        <f t="shared" si="49"/>
        <v>0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2.0</v>
      </c>
      <c r="D33" s="19" t="s">
        <v>31</v>
      </c>
      <c r="E33" s="23">
        <v>1.0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6</v>
      </c>
      <c r="M33" s="38" t="str">
        <f t="shared" si="44"/>
        <v>3</v>
      </c>
      <c r="N33" s="38" t="str">
        <f t="shared" si="45"/>
        <v>6</v>
      </c>
      <c r="O33" s="38" t="str">
        <f t="shared" si="46"/>
        <v>3</v>
      </c>
      <c r="P33" s="38" t="str">
        <f t="shared" si="47"/>
        <v>2</v>
      </c>
      <c r="Q33" s="38" t="str">
        <f t="shared" si="48"/>
        <v>0</v>
      </c>
      <c r="R33" s="39" t="str">
        <f t="shared" si="49"/>
        <v>1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2.0</v>
      </c>
      <c r="D34" s="38" t="s">
        <v>31</v>
      </c>
      <c r="E34" s="42">
        <v>2.0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7.0</v>
      </c>
      <c r="D37" s="19" t="s">
        <v>31</v>
      </c>
      <c r="E37" s="23">
        <v>1.0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4</v>
      </c>
      <c r="Y37" s="33" t="str">
        <f>IF(AND(ISNUMBER(RESULTADOS!C37),ISNUMBER(RESULTADOS!E37),ISNUMBER(C37),ISNUMBER(E37),C37=RESULTADOS!C37,E37=RESULTADOS!E37),2,0)</f>
        <v>2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1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1.0</v>
      </c>
      <c r="D38" s="19" t="s">
        <v>31</v>
      </c>
      <c r="E38" s="23">
        <v>0.0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6</v>
      </c>
      <c r="M38" s="19" t="str">
        <f t="shared" ref="M38:M41" si="57">N38-O38</f>
        <v>7</v>
      </c>
      <c r="N38" s="19" t="str">
        <f t="shared" ref="N38:N41" si="58">SUM(INDIRECT($AC38),INDIRECT($AD38),INDIRECT($AE38))</f>
        <v>10</v>
      </c>
      <c r="O38" s="19" t="str">
        <f t="shared" ref="O38:O41" si="59">SUM(INDIRECT($AF38),INDIRECT($AG38),INDIRECT($AH38))</f>
        <v>3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2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1</v>
      </c>
      <c r="S38" s="31"/>
      <c r="T38" s="32" t="str">
        <f t="shared" si="53"/>
        <v/>
      </c>
      <c r="U38" s="19" t="str">
        <f t="shared" si="54"/>
        <v>4</v>
      </c>
      <c r="Y38" s="33" t="str">
        <f>IF(AND(ISNUMBER(RESULTADOS!C38),ISNUMBER(RESULTADOS!E38),ISNUMBER(C38),ISNUMBER(E38),C38=RESULTADOS!C38,E38=RESULTADOS!E38),2,0)</f>
        <v>2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1</v>
      </c>
      <c r="AA38" s="33" t="str">
        <f>IF(AND(ISNUMBER(RESULTADOS!C38),ISNUMBER(RESULTADOS!E38),ISNUMBER(C38),ISNUMBER(E38),AND(Z38=1,OR(C38=RESULTADOS!C38,E38=RESULTADOS!E38))),1,0)</f>
        <v>1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0.0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6</v>
      </c>
      <c r="M39" s="19" t="str">
        <f t="shared" si="57"/>
        <v>0</v>
      </c>
      <c r="N39" s="19" t="str">
        <f t="shared" si="58"/>
        <v>3</v>
      </c>
      <c r="O39" s="19" t="str">
        <f t="shared" si="59"/>
        <v>3</v>
      </c>
      <c r="P39" s="19" t="str">
        <f t="shared" si="60"/>
        <v>2</v>
      </c>
      <c r="Q39" s="19" t="str">
        <f t="shared" si="61"/>
        <v>0</v>
      </c>
      <c r="R39" s="36" t="str">
        <f t="shared" si="62"/>
        <v>1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4.0</v>
      </c>
      <c r="D40" s="19" t="s">
        <v>31</v>
      </c>
      <c r="E40" s="23">
        <v>0.0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-11</v>
      </c>
      <c r="N40" s="19" t="str">
        <f t="shared" si="58"/>
        <v>2</v>
      </c>
      <c r="O40" s="19" t="str">
        <f t="shared" si="59"/>
        <v>13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2.0</v>
      </c>
      <c r="D41" s="19" t="s">
        <v>31</v>
      </c>
      <c r="E41" s="23">
        <v>1.0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6</v>
      </c>
      <c r="M41" s="38" t="str">
        <f t="shared" si="57"/>
        <v>4</v>
      </c>
      <c r="N41" s="38" t="str">
        <f t="shared" si="58"/>
        <v>6</v>
      </c>
      <c r="O41" s="38" t="str">
        <f t="shared" si="59"/>
        <v>2</v>
      </c>
      <c r="P41" s="38" t="str">
        <f t="shared" si="60"/>
        <v>2</v>
      </c>
      <c r="Q41" s="38" t="str">
        <f t="shared" si="61"/>
        <v>0</v>
      </c>
      <c r="R41" s="39" t="str">
        <f t="shared" si="62"/>
        <v>1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1.0</v>
      </c>
      <c r="D42" s="38" t="s">
        <v>31</v>
      </c>
      <c r="E42" s="42">
        <v>2.0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1.0</v>
      </c>
      <c r="D45" s="19" t="s">
        <v>31</v>
      </c>
      <c r="E45" s="23">
        <v>2.0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1.0</v>
      </c>
      <c r="D46" s="19" t="s">
        <v>31</v>
      </c>
      <c r="E46" s="23">
        <v>2.0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4</v>
      </c>
      <c r="M46" s="19" t="str">
        <f t="shared" ref="M46:M49" si="70">N46-O46</f>
        <v>1</v>
      </c>
      <c r="N46" s="19" t="str">
        <f t="shared" ref="N46:N49" si="71">SUM(INDIRECT($AC46),INDIRECT($AD46),INDIRECT($AE46))</f>
        <v>5</v>
      </c>
      <c r="O46" s="19" t="str">
        <f t="shared" ref="O46:O49" si="72">SUM(INDIRECT($AF46),INDIRECT($AG46),INDIRECT($AH46))</f>
        <v>4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1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1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1</v>
      </c>
      <c r="S46" s="31"/>
      <c r="T46" s="32" t="str">
        <f t="shared" si="66"/>
        <v/>
      </c>
      <c r="U46" s="19" t="str">
        <f t="shared" si="67"/>
        <v>0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0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2.0</v>
      </c>
      <c r="D47" s="19" t="s">
        <v>31</v>
      </c>
      <c r="E47" s="23">
        <v>0.0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7</v>
      </c>
      <c r="M47" s="19" t="str">
        <f t="shared" si="70"/>
        <v>3</v>
      </c>
      <c r="N47" s="19" t="str">
        <f t="shared" si="71"/>
        <v>6</v>
      </c>
      <c r="O47" s="19" t="str">
        <f t="shared" si="72"/>
        <v>3</v>
      </c>
      <c r="P47" s="19" t="str">
        <f t="shared" si="73"/>
        <v>2</v>
      </c>
      <c r="Q47" s="19" t="str">
        <f t="shared" si="74"/>
        <v>1</v>
      </c>
      <c r="R47" s="36" t="str">
        <f t="shared" si="75"/>
        <v>0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2.0</v>
      </c>
      <c r="D48" s="19" t="s">
        <v>31</v>
      </c>
      <c r="E48" s="23">
        <v>2.0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0</v>
      </c>
      <c r="M48" s="19" t="str">
        <f t="shared" si="70"/>
        <v>-5</v>
      </c>
      <c r="N48" s="19" t="str">
        <f t="shared" si="71"/>
        <v>1</v>
      </c>
      <c r="O48" s="19" t="str">
        <f t="shared" si="72"/>
        <v>6</v>
      </c>
      <c r="P48" s="19" t="str">
        <f t="shared" si="73"/>
        <v>0</v>
      </c>
      <c r="Q48" s="19" t="str">
        <f t="shared" si="74"/>
        <v>0</v>
      </c>
      <c r="R48" s="36" t="str">
        <f t="shared" si="75"/>
        <v>3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2.0</v>
      </c>
      <c r="D49" s="19" t="s">
        <v>31</v>
      </c>
      <c r="E49" s="23">
        <v>2.0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5</v>
      </c>
      <c r="M49" s="38" t="str">
        <f t="shared" si="70"/>
        <v>1</v>
      </c>
      <c r="N49" s="38" t="str">
        <f t="shared" si="71"/>
        <v>6</v>
      </c>
      <c r="O49" s="38" t="str">
        <f t="shared" si="72"/>
        <v>5</v>
      </c>
      <c r="P49" s="38" t="str">
        <f t="shared" si="73"/>
        <v>1</v>
      </c>
      <c r="Q49" s="38" t="str">
        <f t="shared" si="74"/>
        <v>2</v>
      </c>
      <c r="R49" s="39" t="str">
        <f t="shared" si="75"/>
        <v>0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2.0</v>
      </c>
      <c r="D50" s="38" t="s">
        <v>31</v>
      </c>
      <c r="E50" s="42">
        <v>0.0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1.0</v>
      </c>
      <c r="D53" s="19" t="s">
        <v>31</v>
      </c>
      <c r="E53" s="23">
        <v>2.0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3.0</v>
      </c>
      <c r="D54" s="19" t="s">
        <v>31</v>
      </c>
      <c r="E54" s="23">
        <v>0.0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3</v>
      </c>
      <c r="M54" s="19" t="str">
        <f t="shared" ref="M54:M57" si="83">N54-O54</f>
        <v>0</v>
      </c>
      <c r="N54" s="19" t="str">
        <f t="shared" ref="N54:N57" si="84">SUM(INDIRECT($AC54),INDIRECT($AD54),INDIRECT($AE54))</f>
        <v>5</v>
      </c>
      <c r="O54" s="19" t="str">
        <f t="shared" ref="O54:O57" si="85">SUM(INDIRECT($AF54),INDIRECT($AG54),INDIRECT($AH54))</f>
        <v>5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1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2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1.0</v>
      </c>
      <c r="D55" s="19" t="s">
        <v>31</v>
      </c>
      <c r="E55" s="23">
        <v>2.0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7</v>
      </c>
      <c r="M55" s="19" t="str">
        <f t="shared" si="83"/>
        <v>4</v>
      </c>
      <c r="N55" s="19" t="str">
        <f t="shared" si="84"/>
        <v>7</v>
      </c>
      <c r="O55" s="19" t="str">
        <f t="shared" si="85"/>
        <v>3</v>
      </c>
      <c r="P55" s="19" t="str">
        <f t="shared" si="86"/>
        <v>2</v>
      </c>
      <c r="Q55" s="19" t="str">
        <f t="shared" si="87"/>
        <v>1</v>
      </c>
      <c r="R55" s="36" t="str">
        <f t="shared" si="88"/>
        <v>0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1.0</v>
      </c>
      <c r="D56" s="19" t="s">
        <v>31</v>
      </c>
      <c r="E56" s="23">
        <v>4.0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7</v>
      </c>
      <c r="M56" s="19" t="str">
        <f t="shared" si="83"/>
        <v>4</v>
      </c>
      <c r="N56" s="19" t="str">
        <f t="shared" si="84"/>
        <v>6</v>
      </c>
      <c r="O56" s="19" t="str">
        <f t="shared" si="85"/>
        <v>2</v>
      </c>
      <c r="P56" s="19" t="str">
        <f t="shared" si="86"/>
        <v>2</v>
      </c>
      <c r="Q56" s="19" t="str">
        <f t="shared" si="87"/>
        <v>1</v>
      </c>
      <c r="R56" s="36" t="str">
        <f t="shared" si="88"/>
        <v>0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1.0</v>
      </c>
      <c r="D57" s="19" t="s">
        <v>31</v>
      </c>
      <c r="E57" s="23">
        <v>1.0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0</v>
      </c>
      <c r="M57" s="38" t="str">
        <f t="shared" si="83"/>
        <v>-8</v>
      </c>
      <c r="N57" s="38" t="str">
        <f t="shared" si="84"/>
        <v>2</v>
      </c>
      <c r="O57" s="38" t="str">
        <f t="shared" si="85"/>
        <v>10</v>
      </c>
      <c r="P57" s="38" t="str">
        <f t="shared" si="86"/>
        <v>0</v>
      </c>
      <c r="Q57" s="38" t="str">
        <f t="shared" si="87"/>
        <v>0</v>
      </c>
      <c r="R57" s="39" t="str">
        <f t="shared" si="88"/>
        <v>3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1.0</v>
      </c>
      <c r="D58" s="38" t="s">
        <v>31</v>
      </c>
      <c r="E58" s="42">
        <v>3.0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4.0</v>
      </c>
      <c r="D61" s="19" t="s">
        <v>31</v>
      </c>
      <c r="E61" s="23">
        <v>2.0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0.0</v>
      </c>
      <c r="D62" s="19" t="s">
        <v>31</v>
      </c>
      <c r="E62" s="23">
        <v>1.0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0</v>
      </c>
      <c r="M62" s="19" t="str">
        <f t="shared" ref="M62:M65" si="96">N62-O62</f>
        <v>-4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7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0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3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4.0</v>
      </c>
      <c r="D63" s="19" t="s">
        <v>31</v>
      </c>
      <c r="E63" s="23">
        <v>2.0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3</v>
      </c>
      <c r="M63" s="19" t="str">
        <f t="shared" si="96"/>
        <v>-2</v>
      </c>
      <c r="N63" s="19" t="str">
        <f t="shared" si="97"/>
        <v>5</v>
      </c>
      <c r="O63" s="19" t="str">
        <f t="shared" si="98"/>
        <v>7</v>
      </c>
      <c r="P63" s="19" t="str">
        <f t="shared" si="99"/>
        <v>1</v>
      </c>
      <c r="Q63" s="19" t="str">
        <f t="shared" si="100"/>
        <v>0</v>
      </c>
      <c r="R63" s="36" t="str">
        <f t="shared" si="101"/>
        <v>2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2.0</v>
      </c>
      <c r="D64" s="19" t="s">
        <v>31</v>
      </c>
      <c r="E64" s="23">
        <v>1.0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7</v>
      </c>
      <c r="M64" s="19" t="str">
        <f t="shared" si="96"/>
        <v>4</v>
      </c>
      <c r="N64" s="19" t="str">
        <f t="shared" si="97"/>
        <v>10</v>
      </c>
      <c r="O64" s="19" t="str">
        <f t="shared" si="98"/>
        <v>6</v>
      </c>
      <c r="P64" s="19" t="str">
        <f t="shared" si="99"/>
        <v>2</v>
      </c>
      <c r="Q64" s="19" t="str">
        <f t="shared" si="100"/>
        <v>1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2.0</v>
      </c>
      <c r="D65" s="19" t="s">
        <v>31</v>
      </c>
      <c r="E65" s="23">
        <v>1.0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7</v>
      </c>
      <c r="M65" s="38" t="str">
        <f t="shared" si="96"/>
        <v>2</v>
      </c>
      <c r="N65" s="38" t="str">
        <f t="shared" si="97"/>
        <v>5</v>
      </c>
      <c r="O65" s="38" t="str">
        <f t="shared" si="98"/>
        <v>3</v>
      </c>
      <c r="P65" s="38" t="str">
        <f t="shared" si="99"/>
        <v>2</v>
      </c>
      <c r="Q65" s="38" t="str">
        <f t="shared" si="100"/>
        <v>1</v>
      </c>
      <c r="R65" s="39" t="str">
        <f t="shared" si="101"/>
        <v>0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2.0</v>
      </c>
      <c r="D66" s="38" t="s">
        <v>31</v>
      </c>
      <c r="E66" s="42">
        <v>2.0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2.0</v>
      </c>
      <c r="D69" s="19" t="s">
        <v>31</v>
      </c>
      <c r="E69" s="23">
        <v>2.0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0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0</v>
      </c>
      <c r="AA69" s="33" t="str">
        <f>IF(AND(ISNUMBER(RESULTADOS!C69),ISNUMBER(RESULTADOS!E69),ISNUMBER(C69),ISNUMBER(E69),AND(Z69=1,OR(C69=RESULTADOS!C69,E69=RESULTADOS!E69))),1,0)</f>
        <v>0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2.0</v>
      </c>
      <c r="D70" s="19" t="s">
        <v>31</v>
      </c>
      <c r="E70" s="23">
        <v>3.0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7</v>
      </c>
      <c r="M70" s="19" t="str">
        <f t="shared" ref="M70:M73" si="109">N70-O70</f>
        <v>5</v>
      </c>
      <c r="N70" s="19" t="str">
        <f t="shared" ref="N70:N73" si="110">SUM(INDIRECT($AC70),INDIRECT($AD70),INDIRECT($AE70))</f>
        <v>10</v>
      </c>
      <c r="O70" s="19" t="str">
        <f t="shared" ref="O70:O73" si="111">SUM(INDIRECT($AF70),INDIRECT($AG70),INDIRECT($AH70))</f>
        <v>5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2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1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4.0</v>
      </c>
      <c r="D71" s="19" t="s">
        <v>31</v>
      </c>
      <c r="E71" s="23">
        <v>1.0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-6</v>
      </c>
      <c r="N71" s="19" t="str">
        <f t="shared" si="110"/>
        <v>3</v>
      </c>
      <c r="O71" s="19" t="str">
        <f t="shared" si="111"/>
        <v>9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1.0</v>
      </c>
      <c r="D72" s="19" t="s">
        <v>31</v>
      </c>
      <c r="E72" s="23">
        <v>2.0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3</v>
      </c>
      <c r="M72" s="19" t="str">
        <f t="shared" si="109"/>
        <v>-2</v>
      </c>
      <c r="N72" s="19" t="str">
        <f t="shared" si="110"/>
        <v>6</v>
      </c>
      <c r="O72" s="19" t="str">
        <f t="shared" si="111"/>
        <v>8</v>
      </c>
      <c r="P72" s="19" t="str">
        <f t="shared" si="112"/>
        <v>1</v>
      </c>
      <c r="Q72" s="19" t="str">
        <f t="shared" si="113"/>
        <v>0</v>
      </c>
      <c r="R72" s="36" t="str">
        <f t="shared" si="114"/>
        <v>2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7</v>
      </c>
      <c r="M73" s="38" t="str">
        <f t="shared" si="109"/>
        <v>3</v>
      </c>
      <c r="N73" s="38" t="str">
        <f t="shared" si="110"/>
        <v>6</v>
      </c>
      <c r="O73" s="38" t="str">
        <f t="shared" si="111"/>
        <v>3</v>
      </c>
      <c r="P73" s="38" t="str">
        <f t="shared" si="112"/>
        <v>2</v>
      </c>
      <c r="Q73" s="38" t="str">
        <f t="shared" si="113"/>
        <v>1</v>
      </c>
      <c r="R73" s="39" t="str">
        <f t="shared" si="114"/>
        <v>0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2.0</v>
      </c>
      <c r="D74" s="38" t="s">
        <v>31</v>
      </c>
      <c r="E74" s="42">
        <v>4.0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1.0</v>
      </c>
      <c r="D77" s="19" t="s">
        <v>31</v>
      </c>
      <c r="E77" s="23">
        <v>1.0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0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0</v>
      </c>
      <c r="AA77" s="33" t="str">
        <f>IF(AND(ISNUMBER(RESULTADOS!C77),ISNUMBER(RESULTADOS!E77),ISNUMBER(C77),ISNUMBER(E77),AND(Z77=1,OR(C77=RESULTADOS!C77,E77=RESULTADOS!E77))),1,0)</f>
        <v>0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1.0</v>
      </c>
      <c r="D78" s="19" t="s">
        <v>31</v>
      </c>
      <c r="E78" s="23">
        <v>1.0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7</v>
      </c>
      <c r="M78" s="19" t="str">
        <f t="shared" ref="M78:M81" si="122">N78-O78</f>
        <v>5</v>
      </c>
      <c r="N78" s="19" t="str">
        <f t="shared" ref="N78:N81" si="123">SUM(INDIRECT($AC78),INDIRECT($AD78),INDIRECT($AE78))</f>
        <v>7</v>
      </c>
      <c r="O78" s="19" t="str">
        <f t="shared" ref="O78:O81" si="124">SUM(INDIRECT($AF78),INDIRECT($AG78),INDIRECT($AH78))</f>
        <v>2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2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1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0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0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2.0</v>
      </c>
      <c r="D79" s="19" t="s">
        <v>31</v>
      </c>
      <c r="E79" s="23">
        <v>0.0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7</v>
      </c>
      <c r="M79" s="19" t="str">
        <f t="shared" si="122"/>
        <v>4</v>
      </c>
      <c r="N79" s="19" t="str">
        <f t="shared" si="123"/>
        <v>6</v>
      </c>
      <c r="O79" s="19" t="str">
        <f t="shared" si="124"/>
        <v>2</v>
      </c>
      <c r="P79" s="19" t="str">
        <f t="shared" si="125"/>
        <v>2</v>
      </c>
      <c r="Q79" s="19" t="str">
        <f t="shared" si="126"/>
        <v>1</v>
      </c>
      <c r="R79" s="36" t="str">
        <f t="shared" si="127"/>
        <v>0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0.0</v>
      </c>
      <c r="D80" s="19" t="s">
        <v>31</v>
      </c>
      <c r="E80" s="23">
        <v>2.0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1</v>
      </c>
      <c r="M80" s="19" t="str">
        <f t="shared" si="122"/>
        <v>-5</v>
      </c>
      <c r="N80" s="19" t="str">
        <f t="shared" si="123"/>
        <v>2</v>
      </c>
      <c r="O80" s="19" t="str">
        <f t="shared" si="124"/>
        <v>7</v>
      </c>
      <c r="P80" s="19" t="str">
        <f t="shared" si="125"/>
        <v>0</v>
      </c>
      <c r="Q80" s="19" t="str">
        <f t="shared" si="126"/>
        <v>1</v>
      </c>
      <c r="R80" s="36" t="str">
        <f t="shared" si="127"/>
        <v>2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1.0</v>
      </c>
      <c r="D81" s="19" t="s">
        <v>31</v>
      </c>
      <c r="E81" s="23">
        <v>4.0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1</v>
      </c>
      <c r="M81" s="38" t="str">
        <f t="shared" si="122"/>
        <v>-4</v>
      </c>
      <c r="N81" s="38" t="str">
        <f t="shared" si="123"/>
        <v>2</v>
      </c>
      <c r="O81" s="38" t="str">
        <f t="shared" si="124"/>
        <v>6</v>
      </c>
      <c r="P81" s="38" t="str">
        <f t="shared" si="125"/>
        <v>0</v>
      </c>
      <c r="Q81" s="38" t="str">
        <f t="shared" si="126"/>
        <v>1</v>
      </c>
      <c r="R81" s="39" t="str">
        <f t="shared" si="127"/>
        <v>2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3.0</v>
      </c>
      <c r="D82" s="38" t="s">
        <v>31</v>
      </c>
      <c r="E82" s="42">
        <v>1.0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3.0</v>
      </c>
      <c r="D85" s="19" t="s">
        <v>31</v>
      </c>
      <c r="E85" s="23">
        <v>0.0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1.0</v>
      </c>
      <c r="D86" s="19" t="s">
        <v>31</v>
      </c>
      <c r="E86" s="23">
        <v>3.0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7</v>
      </c>
      <c r="M86" s="19" t="str">
        <f t="shared" ref="M86:M89" si="135">N86-O86</f>
        <v>4</v>
      </c>
      <c r="N86" s="19" t="str">
        <f t="shared" ref="N86:N89" si="136">SUM(INDIRECT($AC86),INDIRECT($AD86),INDIRECT($AE86))</f>
        <v>8</v>
      </c>
      <c r="O86" s="19" t="str">
        <f t="shared" ref="O86:O89" si="137">SUM(INDIRECT($AF86),INDIRECT($AG86),INDIRECT($AH86))</f>
        <v>4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1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0</v>
      </c>
      <c r="S86" s="31"/>
      <c r="T86" s="32" t="str">
        <f t="shared" si="131"/>
        <v/>
      </c>
      <c r="U86" s="19" t="str">
        <f t="shared" si="132"/>
        <v>4</v>
      </c>
      <c r="Y86" s="33" t="str">
        <f>IF(AND(ISNUMBER(RESULTADOS!C86),ISNUMBER(RESULTADOS!E86),ISNUMBER(C86),ISNUMBER(E86),C86=RESULTADOS!C86,E86=RESULTADOS!E86),2,0)</f>
        <v>2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3.0</v>
      </c>
      <c r="D87" s="19" t="s">
        <v>31</v>
      </c>
      <c r="E87" s="23">
        <v>0.0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7</v>
      </c>
      <c r="M87" s="19" t="str">
        <f t="shared" si="135"/>
        <v>6</v>
      </c>
      <c r="N87" s="19" t="str">
        <f t="shared" si="136"/>
        <v>8</v>
      </c>
      <c r="O87" s="19" t="str">
        <f t="shared" si="137"/>
        <v>2</v>
      </c>
      <c r="P87" s="19" t="str">
        <f t="shared" si="138"/>
        <v>2</v>
      </c>
      <c r="Q87" s="19" t="str">
        <f t="shared" si="139"/>
        <v>1</v>
      </c>
      <c r="R87" s="36" t="str">
        <f t="shared" si="140"/>
        <v>0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3.0</v>
      </c>
      <c r="D88" s="19" t="s">
        <v>31</v>
      </c>
      <c r="E88" s="23">
        <v>1.0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-3</v>
      </c>
      <c r="N88" s="19" t="str">
        <f t="shared" si="136"/>
        <v>4</v>
      </c>
      <c r="O88" s="19" t="str">
        <f t="shared" si="137"/>
        <v>7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3.0</v>
      </c>
      <c r="D89" s="19" t="s">
        <v>31</v>
      </c>
      <c r="E89" s="23">
        <v>1.0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-7</v>
      </c>
      <c r="N89" s="38" t="str">
        <f t="shared" si="136"/>
        <v>2</v>
      </c>
      <c r="O89" s="38" t="str">
        <f t="shared" si="137"/>
        <v>9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2.0</v>
      </c>
      <c r="D90" s="38" t="s">
        <v>31</v>
      </c>
      <c r="E90" s="42">
        <v>2.0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3.0</v>
      </c>
      <c r="D93" s="19" t="s">
        <v>31</v>
      </c>
      <c r="E93" s="23">
        <v>3.0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3.0</v>
      </c>
      <c r="D94" s="19" t="s">
        <v>31</v>
      </c>
      <c r="E94" s="23">
        <v>1.0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4</v>
      </c>
      <c r="M94" s="19" t="str">
        <f t="shared" ref="M94:M97" si="148">N94-O94</f>
        <v>1</v>
      </c>
      <c r="N94" s="19" t="str">
        <f t="shared" ref="N94:N97" si="149">SUM(INDIRECT($AC94),INDIRECT($AD94),INDIRECT($AE94))</f>
        <v>6</v>
      </c>
      <c r="O94" s="19" t="str">
        <f t="shared" ref="O94:O97" si="150">SUM(INDIRECT($AF94),INDIRECT($AG94),INDIRECT($AH94))</f>
        <v>5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1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1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1</v>
      </c>
      <c r="S94" s="31"/>
      <c r="T94" s="32" t="str">
        <f t="shared" si="144"/>
        <v/>
      </c>
      <c r="U94" s="19" t="str">
        <f t="shared" si="145"/>
        <v>1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0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2.0</v>
      </c>
      <c r="D95" s="19" t="s">
        <v>31</v>
      </c>
      <c r="E95" s="23">
        <v>2.0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7</v>
      </c>
      <c r="M95" s="19" t="str">
        <f t="shared" si="148"/>
        <v>3</v>
      </c>
      <c r="N95" s="19" t="str">
        <f t="shared" si="149"/>
        <v>7</v>
      </c>
      <c r="O95" s="19" t="str">
        <f t="shared" si="150"/>
        <v>4</v>
      </c>
      <c r="P95" s="19" t="str">
        <f t="shared" si="151"/>
        <v>2</v>
      </c>
      <c r="Q95" s="19" t="str">
        <f t="shared" si="152"/>
        <v>1</v>
      </c>
      <c r="R95" s="36" t="str">
        <f t="shared" si="153"/>
        <v>0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0.0</v>
      </c>
      <c r="D96" s="19" t="s">
        <v>31</v>
      </c>
      <c r="E96" s="23">
        <v>2.0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5</v>
      </c>
      <c r="M96" s="19" t="str">
        <f t="shared" si="148"/>
        <v>2</v>
      </c>
      <c r="N96" s="19" t="str">
        <f t="shared" si="149"/>
        <v>8</v>
      </c>
      <c r="O96" s="19" t="str">
        <f t="shared" si="150"/>
        <v>6</v>
      </c>
      <c r="P96" s="19" t="str">
        <f t="shared" si="151"/>
        <v>1</v>
      </c>
      <c r="Q96" s="19" t="str">
        <f t="shared" si="152"/>
        <v>2</v>
      </c>
      <c r="R96" s="36" t="str">
        <f t="shared" si="153"/>
        <v>0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1.0</v>
      </c>
      <c r="D97" s="19" t="s">
        <v>31</v>
      </c>
      <c r="E97" s="23">
        <v>2.0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-6</v>
      </c>
      <c r="N97" s="38" t="str">
        <f t="shared" si="149"/>
        <v>2</v>
      </c>
      <c r="O97" s="38" t="str">
        <f t="shared" si="150"/>
        <v>8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1.0</v>
      </c>
      <c r="D98" s="38" t="s">
        <v>31</v>
      </c>
      <c r="E98" s="42">
        <v>3.0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6"/>
      <c r="Z1" s="7"/>
      <c r="AA1" s="7"/>
      <c r="AB1" s="7"/>
      <c r="AC1" s="7"/>
      <c r="AD1" s="7"/>
      <c r="AE1" s="7"/>
      <c r="AF1" s="7"/>
      <c r="AG1" s="7"/>
      <c r="AH1" s="7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247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14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2.0</v>
      </c>
      <c r="D5" s="19" t="s">
        <v>31</v>
      </c>
      <c r="E5" s="23">
        <v>2.0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0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0</v>
      </c>
      <c r="AA5" s="33" t="str">
        <f>IF(AND(ISNUMBER(RESULTADOS!C5),ISNUMBER(RESULTADOS!E5),ISNUMBER(C5),ISNUMBER(E5),AND(Z5=1,OR(C5=RESULTADOS!C5,E5=RESULTADOS!E5))),1,0)</f>
        <v>0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1.0</v>
      </c>
      <c r="D6" s="19" t="s">
        <v>31</v>
      </c>
      <c r="E6" s="23">
        <v>1.0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4</v>
      </c>
      <c r="M6" s="19" t="str">
        <f t="shared" ref="M6:M9" si="5">N6-O6</f>
        <v>0</v>
      </c>
      <c r="N6" s="19" t="str">
        <f t="shared" ref="N6:N9" si="6">SUM(INDIRECT($AC6),INDIRECT($AD6),INDIRECT($AE6))</f>
        <v>4</v>
      </c>
      <c r="O6" s="19" t="str">
        <f t="shared" ref="O6:O9" si="7">SUM(INDIRECT($AF6),INDIRECT($AG6),INDIRECT($AH6))</f>
        <v>4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1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1.0</v>
      </c>
      <c r="D7" s="19" t="s">
        <v>31</v>
      </c>
      <c r="E7" s="23">
        <v>0.0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5</v>
      </c>
      <c r="M7" s="19" t="str">
        <f t="shared" si="5"/>
        <v>1</v>
      </c>
      <c r="N7" s="19" t="str">
        <f t="shared" si="6"/>
        <v>5</v>
      </c>
      <c r="O7" s="19" t="str">
        <f t="shared" si="7"/>
        <v>4</v>
      </c>
      <c r="P7" s="19" t="str">
        <f t="shared" si="8"/>
        <v>1</v>
      </c>
      <c r="Q7" s="19" t="str">
        <f t="shared" si="9"/>
        <v>2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2.0</v>
      </c>
      <c r="D8" s="19" t="s">
        <v>31</v>
      </c>
      <c r="E8" s="23">
        <v>1.0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5</v>
      </c>
      <c r="M8" s="19" t="str">
        <f t="shared" si="5"/>
        <v>1</v>
      </c>
      <c r="N8" s="19" t="str">
        <f t="shared" si="6"/>
        <v>3</v>
      </c>
      <c r="O8" s="19" t="str">
        <f t="shared" si="7"/>
        <v>2</v>
      </c>
      <c r="P8" s="19" t="str">
        <f t="shared" si="8"/>
        <v>1</v>
      </c>
      <c r="Q8" s="19" t="str">
        <f t="shared" si="9"/>
        <v>2</v>
      </c>
      <c r="R8" s="36" t="str">
        <f t="shared" si="10"/>
        <v>0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1.0</v>
      </c>
      <c r="D9" s="19" t="s">
        <v>31</v>
      </c>
      <c r="E9" s="23">
        <v>2.0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1</v>
      </c>
      <c r="M9" s="38" t="str">
        <f t="shared" si="5"/>
        <v>-2</v>
      </c>
      <c r="N9" s="38" t="str">
        <f t="shared" si="6"/>
        <v>3</v>
      </c>
      <c r="O9" s="38" t="str">
        <f t="shared" si="7"/>
        <v>5</v>
      </c>
      <c r="P9" s="38" t="str">
        <f t="shared" si="8"/>
        <v>0</v>
      </c>
      <c r="Q9" s="38" t="str">
        <f t="shared" si="9"/>
        <v>1</v>
      </c>
      <c r="R9" s="39" t="str">
        <f t="shared" si="10"/>
        <v>2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1.0</v>
      </c>
      <c r="D10" s="38" t="s">
        <v>31</v>
      </c>
      <c r="E10" s="42">
        <v>1.0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2.0</v>
      </c>
      <c r="D13" s="19" t="s">
        <v>31</v>
      </c>
      <c r="E13" s="23">
        <v>1.0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1.0</v>
      </c>
      <c r="D14" s="19" t="s">
        <v>31</v>
      </c>
      <c r="E14" s="23">
        <v>2.0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2</v>
      </c>
      <c r="M14" s="19" t="str">
        <f t="shared" ref="M14:M17" si="18">N14-O14</f>
        <v>-1</v>
      </c>
      <c r="N14" s="19" t="str">
        <f t="shared" ref="N14:N17" si="19">SUM(INDIRECT($AC14),INDIRECT($AD14),INDIRECT($AE14))</f>
        <v>4</v>
      </c>
      <c r="O14" s="19" t="str">
        <f t="shared" ref="O14:O17" si="20">SUM(INDIRECT($AF14),INDIRECT($AG14),INDIRECT($AH14))</f>
        <v>5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0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2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1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1.0</v>
      </c>
      <c r="D15" s="19" t="s">
        <v>31</v>
      </c>
      <c r="E15" s="23">
        <v>1.0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7</v>
      </c>
      <c r="M15" s="19" t="str">
        <f t="shared" si="18"/>
        <v>2</v>
      </c>
      <c r="N15" s="19" t="str">
        <f t="shared" si="19"/>
        <v>4</v>
      </c>
      <c r="O15" s="19" t="str">
        <f t="shared" si="20"/>
        <v>2</v>
      </c>
      <c r="P15" s="19" t="str">
        <f t="shared" si="21"/>
        <v>2</v>
      </c>
      <c r="Q15" s="19" t="str">
        <f t="shared" si="22"/>
        <v>1</v>
      </c>
      <c r="R15" s="36" t="str">
        <f t="shared" si="23"/>
        <v>0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1.0</v>
      </c>
      <c r="D16" s="19" t="s">
        <v>31</v>
      </c>
      <c r="E16" s="23">
        <v>1.0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2</v>
      </c>
      <c r="M16" s="19" t="str">
        <f t="shared" si="18"/>
        <v>-1</v>
      </c>
      <c r="N16" s="19" t="str">
        <f t="shared" si="19"/>
        <v>4</v>
      </c>
      <c r="O16" s="19" t="str">
        <f t="shared" si="20"/>
        <v>5</v>
      </c>
      <c r="P16" s="19" t="str">
        <f t="shared" si="21"/>
        <v>0</v>
      </c>
      <c r="Q16" s="19" t="str">
        <f t="shared" si="22"/>
        <v>2</v>
      </c>
      <c r="R16" s="36" t="str">
        <f t="shared" si="23"/>
        <v>1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0.0</v>
      </c>
      <c r="D17" s="19" t="s">
        <v>31</v>
      </c>
      <c r="E17" s="23">
        <v>1.0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4</v>
      </c>
      <c r="M17" s="38" t="str">
        <f t="shared" si="18"/>
        <v>0</v>
      </c>
      <c r="N17" s="38" t="str">
        <f t="shared" si="19"/>
        <v>3</v>
      </c>
      <c r="O17" s="38" t="str">
        <f t="shared" si="20"/>
        <v>3</v>
      </c>
      <c r="P17" s="38" t="str">
        <f t="shared" si="21"/>
        <v>1</v>
      </c>
      <c r="Q17" s="38" t="str">
        <f t="shared" si="22"/>
        <v>1</v>
      </c>
      <c r="R17" s="39" t="str">
        <f t="shared" si="23"/>
        <v>1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2.0</v>
      </c>
      <c r="D18" s="38" t="s">
        <v>31</v>
      </c>
      <c r="E18" s="42">
        <v>2.0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1.0</v>
      </c>
      <c r="D21" s="19" t="s">
        <v>31</v>
      </c>
      <c r="E21" s="23">
        <v>1.0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4</v>
      </c>
      <c r="Y21" s="33" t="str">
        <f>IF(AND(ISNUMBER(RESULTADOS!C21),ISNUMBER(RESULTADOS!E21),ISNUMBER(C21),ISNUMBER(E21),C21=RESULTADOS!C21,E21=RESULTADOS!E21),2,0)</f>
        <v>2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2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1.0</v>
      </c>
      <c r="D22" s="19" t="s">
        <v>31</v>
      </c>
      <c r="E22" s="23">
        <v>2.0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7</v>
      </c>
      <c r="M22" s="19" t="str">
        <f t="shared" ref="M22:M25" si="31">N22-O22</f>
        <v>5</v>
      </c>
      <c r="N22" s="19" t="str">
        <f t="shared" ref="N22:N25" si="32">SUM(INDIRECT($AC22),INDIRECT($AD22),INDIRECT($AE22))</f>
        <v>7</v>
      </c>
      <c r="O22" s="19" t="str">
        <f t="shared" ref="O22:O25" si="33">SUM(INDIRECT($AF22),INDIRECT($AG22),INDIRECT($AH22))</f>
        <v>2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2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1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1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0.0</v>
      </c>
      <c r="D23" s="19" t="s">
        <v>31</v>
      </c>
      <c r="E23" s="23">
        <v>2.0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-3</v>
      </c>
      <c r="N23" s="19" t="str">
        <f t="shared" si="32"/>
        <v>3</v>
      </c>
      <c r="O23" s="19" t="str">
        <f t="shared" si="33"/>
        <v>6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3.0</v>
      </c>
      <c r="D24" s="19" t="s">
        <v>31</v>
      </c>
      <c r="E24" s="23">
        <v>0.0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-6</v>
      </c>
      <c r="N24" s="19" t="str">
        <f t="shared" si="32"/>
        <v>1</v>
      </c>
      <c r="O24" s="19" t="str">
        <f t="shared" si="33"/>
        <v>7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2.0</v>
      </c>
      <c r="D25" s="19" t="s">
        <v>31</v>
      </c>
      <c r="E25" s="23">
        <v>0.0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7</v>
      </c>
      <c r="M25" s="38" t="str">
        <f t="shared" si="31"/>
        <v>4</v>
      </c>
      <c r="N25" s="38" t="str">
        <f t="shared" si="32"/>
        <v>5</v>
      </c>
      <c r="O25" s="38" t="str">
        <f t="shared" si="33"/>
        <v>1</v>
      </c>
      <c r="P25" s="38" t="str">
        <f t="shared" si="34"/>
        <v>2</v>
      </c>
      <c r="Q25" s="38" t="str">
        <f t="shared" si="35"/>
        <v>1</v>
      </c>
      <c r="R25" s="39" t="str">
        <f t="shared" si="36"/>
        <v>0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1.0</v>
      </c>
      <c r="D26" s="38" t="s">
        <v>31</v>
      </c>
      <c r="E26" s="42">
        <v>3.0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2.0</v>
      </c>
      <c r="D29" s="19" t="s">
        <v>31</v>
      </c>
      <c r="E29" s="23">
        <v>1.0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2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1</v>
      </c>
      <c r="AA29" s="33" t="str">
        <f>IF(AND(ISNUMBER(RESULTADOS!C29),ISNUMBER(RESULTADOS!E29),ISNUMBER(C29),ISNUMBER(E29),AND(Z29=1,OR(C29=RESULTADOS!C29,E29=RESULTADOS!E29))),1,0)</f>
        <v>1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0.0</v>
      </c>
      <c r="D30" s="19" t="s">
        <v>31</v>
      </c>
      <c r="E30" s="23">
        <v>2.0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0</v>
      </c>
      <c r="M30" s="19" t="str">
        <f t="shared" ref="M30:M33" si="44">N30-O30</f>
        <v>-5</v>
      </c>
      <c r="N30" s="19" t="str">
        <f t="shared" ref="N30:N33" si="45">SUM(INDIRECT($AC30),INDIRECT($AD30),INDIRECT($AE30))</f>
        <v>1</v>
      </c>
      <c r="O30" s="19" t="str">
        <f t="shared" ref="O30:O33" si="46">SUM(INDIRECT($AF30),INDIRECT($AG30),INDIRECT($AH30))</f>
        <v>6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3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2.0</v>
      </c>
      <c r="D31" s="19" t="s">
        <v>31</v>
      </c>
      <c r="E31" s="23">
        <v>1.0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9</v>
      </c>
      <c r="M31" s="19" t="str">
        <f t="shared" si="44"/>
        <v>3</v>
      </c>
      <c r="N31" s="19" t="str">
        <f t="shared" si="45"/>
        <v>5</v>
      </c>
      <c r="O31" s="19" t="str">
        <f t="shared" si="46"/>
        <v>2</v>
      </c>
      <c r="P31" s="19" t="str">
        <f t="shared" si="47"/>
        <v>3</v>
      </c>
      <c r="Q31" s="19" t="str">
        <f t="shared" si="48"/>
        <v>0</v>
      </c>
      <c r="R31" s="36" t="str">
        <f t="shared" si="49"/>
        <v>0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1.0</v>
      </c>
      <c r="D32" s="19" t="s">
        <v>31</v>
      </c>
      <c r="E32" s="23">
        <v>1.0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1</v>
      </c>
      <c r="M32" s="19" t="str">
        <f t="shared" si="44"/>
        <v>-3</v>
      </c>
      <c r="N32" s="19" t="str">
        <f t="shared" si="45"/>
        <v>2</v>
      </c>
      <c r="O32" s="19" t="str">
        <f t="shared" si="46"/>
        <v>5</v>
      </c>
      <c r="P32" s="19" t="str">
        <f t="shared" si="47"/>
        <v>0</v>
      </c>
      <c r="Q32" s="19" t="str">
        <f t="shared" si="48"/>
        <v>1</v>
      </c>
      <c r="R32" s="36" t="str">
        <f t="shared" si="49"/>
        <v>2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0.0</v>
      </c>
      <c r="D33" s="19" t="s">
        <v>31</v>
      </c>
      <c r="E33" s="23">
        <v>1.0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4</v>
      </c>
      <c r="M33" s="38" t="str">
        <f t="shared" si="44"/>
        <v>1</v>
      </c>
      <c r="N33" s="38" t="str">
        <f t="shared" si="45"/>
        <v>3</v>
      </c>
      <c r="O33" s="38" t="str">
        <f t="shared" si="46"/>
        <v>2</v>
      </c>
      <c r="P33" s="38" t="str">
        <f t="shared" si="47"/>
        <v>1</v>
      </c>
      <c r="Q33" s="38" t="str">
        <f t="shared" si="48"/>
        <v>1</v>
      </c>
      <c r="R33" s="39" t="str">
        <f t="shared" si="49"/>
        <v>1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2.0</v>
      </c>
      <c r="D34" s="38" t="s">
        <v>31</v>
      </c>
      <c r="E34" s="42">
        <v>0.0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4.0</v>
      </c>
      <c r="D37" s="19" t="s">
        <v>31</v>
      </c>
      <c r="E37" s="23">
        <v>0.0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2.0</v>
      </c>
      <c r="D38" s="19" t="s">
        <v>31</v>
      </c>
      <c r="E38" s="23">
        <v>2.0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7</v>
      </c>
      <c r="M38" s="19" t="str">
        <f t="shared" ref="M38:M41" si="57">N38-O38</f>
        <v>5</v>
      </c>
      <c r="N38" s="19" t="str">
        <f t="shared" ref="N38:N41" si="58">SUM(INDIRECT($AC38),INDIRECT($AD38),INDIRECT($AE38))</f>
        <v>7</v>
      </c>
      <c r="O38" s="19" t="str">
        <f t="shared" ref="O38:O41" si="59">SUM(INDIRECT($AF38),INDIRECT($AG38),INDIRECT($AH38))</f>
        <v>2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2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1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1.0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4</v>
      </c>
      <c r="M39" s="19" t="str">
        <f t="shared" si="57"/>
        <v>1</v>
      </c>
      <c r="N39" s="19" t="str">
        <f t="shared" si="58"/>
        <v>5</v>
      </c>
      <c r="O39" s="19" t="str">
        <f t="shared" si="59"/>
        <v>4</v>
      </c>
      <c r="P39" s="19" t="str">
        <f t="shared" si="60"/>
        <v>1</v>
      </c>
      <c r="Q39" s="19" t="str">
        <f t="shared" si="61"/>
        <v>1</v>
      </c>
      <c r="R39" s="36" t="str">
        <f t="shared" si="62"/>
        <v>1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3.0</v>
      </c>
      <c r="D40" s="19" t="s">
        <v>31</v>
      </c>
      <c r="E40" s="23">
        <v>0.0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-9</v>
      </c>
      <c r="N40" s="19" t="str">
        <f t="shared" si="58"/>
        <v>0</v>
      </c>
      <c r="O40" s="19" t="str">
        <f t="shared" si="59"/>
        <v>9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1.0</v>
      </c>
      <c r="D41" s="19" t="s">
        <v>31</v>
      </c>
      <c r="E41" s="23">
        <v>1.0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5</v>
      </c>
      <c r="M41" s="38" t="str">
        <f t="shared" si="57"/>
        <v>3</v>
      </c>
      <c r="N41" s="38" t="str">
        <f t="shared" si="58"/>
        <v>6</v>
      </c>
      <c r="O41" s="38" t="str">
        <f t="shared" si="59"/>
        <v>3</v>
      </c>
      <c r="P41" s="38" t="str">
        <f t="shared" si="60"/>
        <v>1</v>
      </c>
      <c r="Q41" s="38" t="str">
        <f t="shared" si="61"/>
        <v>2</v>
      </c>
      <c r="R41" s="39" t="str">
        <f t="shared" si="62"/>
        <v>0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0.0</v>
      </c>
      <c r="D42" s="38" t="s">
        <v>31</v>
      </c>
      <c r="E42" s="42">
        <v>2.0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2.0</v>
      </c>
      <c r="D45" s="19" t="s">
        <v>31</v>
      </c>
      <c r="E45" s="23">
        <v>2.0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4</v>
      </c>
      <c r="Y45" s="33" t="str">
        <f>IF(AND(ISNUMBER(RESULTADOS!C45),ISNUMBER(RESULTADOS!E45),ISNUMBER(C45),ISNUMBER(E45),C45=RESULTADOS!C45,E45=RESULTADOS!E45),2,0)</f>
        <v>2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2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1.0</v>
      </c>
      <c r="D46" s="19" t="s">
        <v>31</v>
      </c>
      <c r="E46" s="23">
        <v>0.0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7</v>
      </c>
      <c r="M46" s="19" t="str">
        <f t="shared" ref="M46:M49" si="70">N46-O46</f>
        <v>3</v>
      </c>
      <c r="N46" s="19" t="str">
        <f t="shared" ref="N46:N49" si="71">SUM(INDIRECT($AC46),INDIRECT($AD46),INDIRECT($AE46))</f>
        <v>7</v>
      </c>
      <c r="O46" s="19" t="str">
        <f t="shared" ref="O46:O49" si="72">SUM(INDIRECT($AF46),INDIRECT($AG46),INDIRECT($AH46))</f>
        <v>4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2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1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1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2.0</v>
      </c>
      <c r="D47" s="19" t="s">
        <v>31</v>
      </c>
      <c r="E47" s="23">
        <v>1.0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5</v>
      </c>
      <c r="M47" s="19" t="str">
        <f t="shared" si="70"/>
        <v>1</v>
      </c>
      <c r="N47" s="19" t="str">
        <f t="shared" si="71"/>
        <v>6</v>
      </c>
      <c r="O47" s="19" t="str">
        <f t="shared" si="72"/>
        <v>5</v>
      </c>
      <c r="P47" s="19" t="str">
        <f t="shared" si="73"/>
        <v>1</v>
      </c>
      <c r="Q47" s="19" t="str">
        <f t="shared" si="74"/>
        <v>2</v>
      </c>
      <c r="R47" s="36" t="str">
        <f t="shared" si="75"/>
        <v>0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1.0</v>
      </c>
      <c r="D48" s="19" t="s">
        <v>31</v>
      </c>
      <c r="E48" s="23">
        <v>2.0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4</v>
      </c>
      <c r="M48" s="19" t="str">
        <f t="shared" si="70"/>
        <v>0</v>
      </c>
      <c r="N48" s="19" t="str">
        <f t="shared" si="71"/>
        <v>4</v>
      </c>
      <c r="O48" s="19" t="str">
        <f t="shared" si="72"/>
        <v>4</v>
      </c>
      <c r="P48" s="19" t="str">
        <f t="shared" si="73"/>
        <v>1</v>
      </c>
      <c r="Q48" s="19" t="str">
        <f t="shared" si="74"/>
        <v>1</v>
      </c>
      <c r="R48" s="36" t="str">
        <f t="shared" si="75"/>
        <v>1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1.0</v>
      </c>
      <c r="D49" s="19" t="s">
        <v>31</v>
      </c>
      <c r="E49" s="23">
        <v>3.0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-4</v>
      </c>
      <c r="N49" s="38" t="str">
        <f t="shared" si="71"/>
        <v>2</v>
      </c>
      <c r="O49" s="38" t="str">
        <f t="shared" si="72"/>
        <v>6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2.0</v>
      </c>
      <c r="D50" s="38" t="s">
        <v>31</v>
      </c>
      <c r="E50" s="42">
        <v>2.0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1.0</v>
      </c>
      <c r="D53" s="19" t="s">
        <v>31</v>
      </c>
      <c r="E53" s="23">
        <v>0.0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1.0</v>
      </c>
      <c r="D54" s="19" t="s">
        <v>31</v>
      </c>
      <c r="E54" s="23">
        <v>0.0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7</v>
      </c>
      <c r="M54" s="19" t="str">
        <f t="shared" ref="M54:M57" si="83">N54-O54</f>
        <v>4</v>
      </c>
      <c r="N54" s="19" t="str">
        <f t="shared" ref="N54:N57" si="84">SUM(INDIRECT($AC54),INDIRECT($AD54),INDIRECT($AE54))</f>
        <v>5</v>
      </c>
      <c r="O54" s="19" t="str">
        <f t="shared" ref="O54:O57" si="85">SUM(INDIRECT($AF54),INDIRECT($AG54),INDIRECT($AH54))</f>
        <v>1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2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1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1.0</v>
      </c>
      <c r="D55" s="19" t="s">
        <v>31</v>
      </c>
      <c r="E55" s="23">
        <v>1.0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4</v>
      </c>
      <c r="M55" s="19" t="str">
        <f t="shared" si="83"/>
        <v>1</v>
      </c>
      <c r="N55" s="19" t="str">
        <f t="shared" si="84"/>
        <v>4</v>
      </c>
      <c r="O55" s="19" t="str">
        <f t="shared" si="85"/>
        <v>3</v>
      </c>
      <c r="P55" s="19" t="str">
        <f t="shared" si="86"/>
        <v>1</v>
      </c>
      <c r="Q55" s="19" t="str">
        <f t="shared" si="87"/>
        <v>1</v>
      </c>
      <c r="R55" s="36" t="str">
        <f t="shared" si="88"/>
        <v>1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2.0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5</v>
      </c>
      <c r="M56" s="19" t="str">
        <f t="shared" si="83"/>
        <v>1</v>
      </c>
      <c r="N56" s="19" t="str">
        <f t="shared" si="84"/>
        <v>4</v>
      </c>
      <c r="O56" s="19" t="str">
        <f t="shared" si="85"/>
        <v>3</v>
      </c>
      <c r="P56" s="19" t="str">
        <f t="shared" si="86"/>
        <v>1</v>
      </c>
      <c r="Q56" s="19" t="str">
        <f t="shared" si="87"/>
        <v>2</v>
      </c>
      <c r="R56" s="36" t="str">
        <f t="shared" si="88"/>
        <v>0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2.0</v>
      </c>
      <c r="D57" s="19" t="s">
        <v>31</v>
      </c>
      <c r="E57" s="23">
        <v>2.0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0</v>
      </c>
      <c r="M57" s="38" t="str">
        <f t="shared" si="83"/>
        <v>-6</v>
      </c>
      <c r="N57" s="38" t="str">
        <f t="shared" si="84"/>
        <v>0</v>
      </c>
      <c r="O57" s="38" t="str">
        <f t="shared" si="85"/>
        <v>6</v>
      </c>
      <c r="P57" s="38" t="str">
        <f t="shared" si="86"/>
        <v>0</v>
      </c>
      <c r="Q57" s="38" t="str">
        <f t="shared" si="87"/>
        <v>0</v>
      </c>
      <c r="R57" s="39" t="str">
        <f t="shared" si="88"/>
        <v>3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0.0</v>
      </c>
      <c r="D58" s="38" t="s">
        <v>31</v>
      </c>
      <c r="E58" s="42">
        <v>3.0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4.0</v>
      </c>
      <c r="D61" s="19" t="s">
        <v>31</v>
      </c>
      <c r="E61" s="23">
        <v>1.0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1.0</v>
      </c>
      <c r="D62" s="19" t="s">
        <v>31</v>
      </c>
      <c r="E62" s="23">
        <v>2.0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1</v>
      </c>
      <c r="M62" s="19" t="str">
        <f t="shared" ref="M62:M65" si="96">N62-O62</f>
        <v>-4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7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0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1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3.0</v>
      </c>
      <c r="D63" s="19" t="s">
        <v>31</v>
      </c>
      <c r="E63" s="23">
        <v>0.0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1</v>
      </c>
      <c r="M63" s="19" t="str">
        <f t="shared" si="96"/>
        <v>-4</v>
      </c>
      <c r="N63" s="19" t="str">
        <f t="shared" si="97"/>
        <v>3</v>
      </c>
      <c r="O63" s="19" t="str">
        <f t="shared" si="98"/>
        <v>7</v>
      </c>
      <c r="P63" s="19" t="str">
        <f t="shared" si="99"/>
        <v>0</v>
      </c>
      <c r="Q63" s="19" t="str">
        <f t="shared" si="100"/>
        <v>1</v>
      </c>
      <c r="R63" s="36" t="str">
        <f t="shared" si="101"/>
        <v>2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1.0</v>
      </c>
      <c r="D64" s="19" t="s">
        <v>31</v>
      </c>
      <c r="E64" s="23">
        <v>0.0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7</v>
      </c>
      <c r="N64" s="19" t="str">
        <f t="shared" si="97"/>
        <v>9</v>
      </c>
      <c r="O64" s="19" t="str">
        <f t="shared" si="98"/>
        <v>2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2.0</v>
      </c>
      <c r="D65" s="19" t="s">
        <v>31</v>
      </c>
      <c r="E65" s="23">
        <v>2.0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1</v>
      </c>
      <c r="N65" s="38" t="str">
        <f t="shared" si="97"/>
        <v>4</v>
      </c>
      <c r="O65" s="38" t="str">
        <f t="shared" si="98"/>
        <v>3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1.0</v>
      </c>
      <c r="D66" s="38" t="s">
        <v>31</v>
      </c>
      <c r="E66" s="42">
        <v>2.0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3.0</v>
      </c>
      <c r="D69" s="19" t="s">
        <v>31</v>
      </c>
      <c r="E69" s="23">
        <v>1.0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4</v>
      </c>
      <c r="Y69" s="33" t="str">
        <f>IF(AND(ISNUMBER(RESULTADOS!C69),ISNUMBER(RESULTADOS!E69),ISNUMBER(C69),ISNUMBER(E69),C69=RESULTADOS!C69,E69=RESULTADOS!E69),2,0)</f>
        <v>2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3.0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8</v>
      </c>
      <c r="N70" s="19" t="str">
        <f t="shared" ref="N70:N73" si="110">SUM(INDIRECT($AC70),INDIRECT($AD70),INDIRECT($AE70))</f>
        <v>10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2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1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4.0</v>
      </c>
      <c r="D71" s="19" t="s">
        <v>31</v>
      </c>
      <c r="E71" s="23">
        <v>0.0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-9</v>
      </c>
      <c r="N71" s="19" t="str">
        <f t="shared" si="110"/>
        <v>0</v>
      </c>
      <c r="O71" s="19" t="str">
        <f t="shared" si="111"/>
        <v>9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2.0</v>
      </c>
      <c r="D72" s="19" t="s">
        <v>31</v>
      </c>
      <c r="E72" s="23">
        <v>2.0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4</v>
      </c>
      <c r="M72" s="19" t="str">
        <f t="shared" si="109"/>
        <v>1</v>
      </c>
      <c r="N72" s="19" t="str">
        <f t="shared" si="110"/>
        <v>6</v>
      </c>
      <c r="O72" s="19" t="str">
        <f t="shared" si="111"/>
        <v>5</v>
      </c>
      <c r="P72" s="19" t="str">
        <f t="shared" si="112"/>
        <v>1</v>
      </c>
      <c r="Q72" s="19" t="str">
        <f t="shared" si="113"/>
        <v>1</v>
      </c>
      <c r="R72" s="36" t="str">
        <f t="shared" si="114"/>
        <v>1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4</v>
      </c>
      <c r="M73" s="38" t="str">
        <f t="shared" si="109"/>
        <v>0</v>
      </c>
      <c r="N73" s="38" t="str">
        <f t="shared" si="110"/>
        <v>5</v>
      </c>
      <c r="O73" s="38" t="str">
        <f t="shared" si="111"/>
        <v>5</v>
      </c>
      <c r="P73" s="38" t="str">
        <f t="shared" si="112"/>
        <v>1</v>
      </c>
      <c r="Q73" s="38" t="str">
        <f t="shared" si="113"/>
        <v>1</v>
      </c>
      <c r="R73" s="39" t="str">
        <f t="shared" si="114"/>
        <v>1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3.0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1.0</v>
      </c>
      <c r="D77" s="19" t="s">
        <v>31</v>
      </c>
      <c r="E77" s="23">
        <v>0.0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1.0</v>
      </c>
      <c r="D78" s="19" t="s">
        <v>31</v>
      </c>
      <c r="E78" s="23">
        <v>0.0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4</v>
      </c>
      <c r="N78" s="19" t="str">
        <f t="shared" ref="N78:N81" si="123">SUM(INDIRECT($AC78),INDIRECT($AD78),INDIRECT($AE78))</f>
        <v>5</v>
      </c>
      <c r="O78" s="19" t="str">
        <f t="shared" ref="O78:O81" si="124">SUM(INDIRECT($AF78),INDIRECT($AG78),INDIRECT($AH78))</f>
        <v>1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1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2.0</v>
      </c>
      <c r="D79" s="19" t="s">
        <v>31</v>
      </c>
      <c r="E79" s="23">
        <v>1.0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4</v>
      </c>
      <c r="M79" s="19" t="str">
        <f t="shared" si="122"/>
        <v>0</v>
      </c>
      <c r="N79" s="19" t="str">
        <f t="shared" si="123"/>
        <v>3</v>
      </c>
      <c r="O79" s="19" t="str">
        <f t="shared" si="124"/>
        <v>3</v>
      </c>
      <c r="P79" s="19" t="str">
        <f t="shared" si="125"/>
        <v>1</v>
      </c>
      <c r="Q79" s="19" t="str">
        <f t="shared" si="126"/>
        <v>1</v>
      </c>
      <c r="R79" s="36" t="str">
        <f t="shared" si="127"/>
        <v>1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1.0</v>
      </c>
      <c r="D80" s="19" t="s">
        <v>31</v>
      </c>
      <c r="E80" s="23">
        <v>2.0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-4</v>
      </c>
      <c r="N80" s="19" t="str">
        <f t="shared" si="123"/>
        <v>1</v>
      </c>
      <c r="O80" s="19" t="str">
        <f t="shared" si="124"/>
        <v>5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3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2.0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4</v>
      </c>
      <c r="M81" s="38" t="str">
        <f t="shared" si="122"/>
        <v>0</v>
      </c>
      <c r="N81" s="38" t="str">
        <f t="shared" si="123"/>
        <v>3</v>
      </c>
      <c r="O81" s="38" t="str">
        <f t="shared" si="124"/>
        <v>3</v>
      </c>
      <c r="P81" s="38" t="str">
        <f t="shared" si="125"/>
        <v>1</v>
      </c>
      <c r="Q81" s="38" t="str">
        <f t="shared" si="126"/>
        <v>1</v>
      </c>
      <c r="R81" s="39" t="str">
        <f t="shared" si="127"/>
        <v>1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1.0</v>
      </c>
      <c r="D82" s="38" t="s">
        <v>31</v>
      </c>
      <c r="E82" s="42">
        <v>1.0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2.0</v>
      </c>
      <c r="D85" s="19" t="s">
        <v>31</v>
      </c>
      <c r="E85" s="23">
        <v>1.0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0.0</v>
      </c>
      <c r="D86" s="19" t="s">
        <v>31</v>
      </c>
      <c r="E86" s="23">
        <v>2.0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2</v>
      </c>
      <c r="N86" s="19" t="str">
        <f t="shared" ref="N86:N89" si="136">SUM(INDIRECT($AC86),INDIRECT($AD86),INDIRECT($AE86))</f>
        <v>5</v>
      </c>
      <c r="O86" s="19" t="str">
        <f t="shared" ref="O86:O89" si="137">SUM(INDIRECT($AF86),INDIRECT($AG86),INDIRECT($AH86))</f>
        <v>3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1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2.0</v>
      </c>
      <c r="D87" s="19" t="s">
        <v>31</v>
      </c>
      <c r="E87" s="23">
        <v>0.0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4</v>
      </c>
      <c r="N87" s="19" t="str">
        <f t="shared" si="136"/>
        <v>6</v>
      </c>
      <c r="O87" s="19" t="str">
        <f t="shared" si="137"/>
        <v>2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2.0</v>
      </c>
      <c r="D88" s="19" t="s">
        <v>31</v>
      </c>
      <c r="E88" s="23">
        <v>1.0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-1</v>
      </c>
      <c r="N88" s="19" t="str">
        <f t="shared" si="136"/>
        <v>4</v>
      </c>
      <c r="O88" s="19" t="str">
        <f t="shared" si="137"/>
        <v>5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2.0</v>
      </c>
      <c r="D89" s="19" t="s">
        <v>31</v>
      </c>
      <c r="E89" s="23">
        <v>1.0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-5</v>
      </c>
      <c r="N89" s="38" t="str">
        <f t="shared" si="136"/>
        <v>1</v>
      </c>
      <c r="O89" s="38" t="str">
        <f t="shared" si="137"/>
        <v>6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1.0</v>
      </c>
      <c r="D90" s="38" t="s">
        <v>31</v>
      </c>
      <c r="E90" s="42">
        <v>2.0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2.0</v>
      </c>
      <c r="D93" s="19" t="s">
        <v>31</v>
      </c>
      <c r="E93" s="23">
        <v>1.0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1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1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2.0</v>
      </c>
      <c r="D94" s="19" t="s">
        <v>31</v>
      </c>
      <c r="E94" s="23">
        <v>1.0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4</v>
      </c>
      <c r="M94" s="19" t="str">
        <f t="shared" ref="M94:M97" si="148">N94-O94</f>
        <v>1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4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1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1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1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0</v>
      </c>
      <c r="AB94" s="6" t="str">
        <f>IF(
  AND(
    ISNUMBER(RESULTADOS!C94),
    ISNUMBER(RESULTADOS!E94),
    ISNUMBER(C94),
    ISNUMBER(E94),
    AND(Z94=1,AA94=0,(RESULTADOS!C94-RESULTADOS!E94)=(C94-E94))
  ),
  1,
  0
)</f>
        <v>1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2.0</v>
      </c>
      <c r="D95" s="19" t="s">
        <v>31</v>
      </c>
      <c r="E95" s="23">
        <v>1.0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4</v>
      </c>
      <c r="M95" s="19" t="str">
        <f t="shared" si="148"/>
        <v>0</v>
      </c>
      <c r="N95" s="19" t="str">
        <f t="shared" si="149"/>
        <v>4</v>
      </c>
      <c r="O95" s="19" t="str">
        <f t="shared" si="150"/>
        <v>4</v>
      </c>
      <c r="P95" s="19" t="str">
        <f t="shared" si="151"/>
        <v>1</v>
      </c>
      <c r="Q95" s="19" t="str">
        <f t="shared" si="152"/>
        <v>1</v>
      </c>
      <c r="R95" s="36" t="str">
        <f t="shared" si="153"/>
        <v>1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1.0</v>
      </c>
      <c r="D96" s="19" t="s">
        <v>31</v>
      </c>
      <c r="E96" s="23">
        <v>3.0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9</v>
      </c>
      <c r="M96" s="19" t="str">
        <f t="shared" si="148"/>
        <v>5</v>
      </c>
      <c r="N96" s="19" t="str">
        <f t="shared" si="149"/>
        <v>7</v>
      </c>
      <c r="O96" s="19" t="str">
        <f t="shared" si="150"/>
        <v>2</v>
      </c>
      <c r="P96" s="19" t="str">
        <f t="shared" si="151"/>
        <v>3</v>
      </c>
      <c r="Q96" s="19" t="str">
        <f t="shared" si="152"/>
        <v>0</v>
      </c>
      <c r="R96" s="36" t="str">
        <f t="shared" si="153"/>
        <v>0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1.0</v>
      </c>
      <c r="D97" s="19" t="s">
        <v>31</v>
      </c>
      <c r="E97" s="23">
        <v>1.0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-6</v>
      </c>
      <c r="N97" s="38" t="str">
        <f t="shared" si="149"/>
        <v>2</v>
      </c>
      <c r="O97" s="38" t="str">
        <f t="shared" si="150"/>
        <v>8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3.0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59"/>
      <c r="D1" s="59"/>
      <c r="E1" s="59"/>
      <c r="F1" s="59"/>
      <c r="G1" s="59"/>
      <c r="H1" s="3"/>
      <c r="I1" s="59"/>
      <c r="J1" s="59"/>
      <c r="K1" s="3"/>
      <c r="L1" s="59"/>
      <c r="M1" s="59"/>
      <c r="N1" s="59"/>
      <c r="O1" s="59"/>
      <c r="P1" s="59"/>
      <c r="Q1" s="59"/>
      <c r="R1" s="59"/>
      <c r="S1" s="59"/>
      <c r="T1" s="3"/>
      <c r="U1" s="4"/>
      <c r="V1" s="59"/>
      <c r="W1" s="59"/>
      <c r="X1" s="59"/>
      <c r="Y1" s="6"/>
      <c r="Z1" s="7"/>
      <c r="AA1" s="7"/>
      <c r="AB1" s="7"/>
      <c r="AC1" s="7"/>
      <c r="AD1" s="7"/>
      <c r="AE1" s="7"/>
      <c r="AF1" s="7"/>
      <c r="AG1" s="7"/>
      <c r="AH1" s="7"/>
      <c r="AI1" s="59"/>
      <c r="AJ1" s="59"/>
      <c r="AK1" s="59"/>
      <c r="AL1" s="59"/>
      <c r="AM1" s="59"/>
      <c r="AN1" s="59"/>
      <c r="AO1" s="59"/>
      <c r="AP1" s="59"/>
      <c r="AQ1" s="59"/>
      <c r="AR1" s="59"/>
    </row>
    <row r="2" ht="18.75" customHeight="1">
      <c r="B2" s="8" t="s">
        <v>8</v>
      </c>
      <c r="C2" s="9"/>
      <c r="D2" s="9"/>
      <c r="E2" s="9"/>
      <c r="F2" s="10"/>
      <c r="G2" s="59"/>
      <c r="H2" s="11" t="s">
        <v>23</v>
      </c>
      <c r="I2" s="10"/>
      <c r="J2" s="59"/>
      <c r="K2" s="11" t="s">
        <v>24</v>
      </c>
      <c r="L2" s="9"/>
      <c r="M2" s="9"/>
      <c r="N2" s="9"/>
      <c r="O2" s="9"/>
      <c r="P2" s="9"/>
      <c r="Q2" s="9"/>
      <c r="R2" s="10"/>
      <c r="S2" s="59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59"/>
      <c r="AJ2" s="59"/>
      <c r="AK2" s="59"/>
      <c r="AL2" s="59"/>
      <c r="AM2" s="59"/>
      <c r="AN2" s="59"/>
      <c r="AO2" s="59"/>
      <c r="AP2" s="59"/>
      <c r="AQ2" s="59"/>
      <c r="AR2" s="59"/>
    </row>
    <row r="3" ht="15.0" customHeight="1">
      <c r="C3" s="59"/>
      <c r="D3" s="59"/>
      <c r="E3" s="59"/>
      <c r="F3" s="59"/>
      <c r="G3" s="59"/>
      <c r="H3" s="59"/>
      <c r="I3" s="59"/>
      <c r="J3" s="59"/>
      <c r="K3" s="3"/>
      <c r="L3" s="59"/>
      <c r="M3" s="59"/>
      <c r="N3" s="59"/>
      <c r="O3" s="59"/>
      <c r="P3" s="59"/>
      <c r="Q3" s="59"/>
      <c r="R3" s="59"/>
      <c r="S3" s="59"/>
      <c r="T3" s="13" t="s">
        <v>26</v>
      </c>
      <c r="U3" s="14" t="str">
        <f>SUM(U5:U10,U13:U18,U21:U26,U29:U34,U37:U42,U45:U50,U53:U58,U61:U66)</f>
        <v>12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59"/>
      <c r="H4" s="16" t="s">
        <v>28</v>
      </c>
      <c r="I4" s="17" t="s">
        <v>29</v>
      </c>
      <c r="J4" s="18"/>
      <c r="K4" s="59"/>
      <c r="L4" s="59"/>
      <c r="M4" s="59"/>
      <c r="N4" s="59"/>
      <c r="O4" s="59"/>
      <c r="P4" s="59"/>
      <c r="Q4" s="59"/>
      <c r="R4" s="59"/>
      <c r="S4" s="59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1.0</v>
      </c>
      <c r="D5" s="19" t="s">
        <v>31</v>
      </c>
      <c r="E5" s="23">
        <v>0.0</v>
      </c>
      <c r="F5" s="24" t="s">
        <v>32</v>
      </c>
      <c r="G5" s="59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2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1.0</v>
      </c>
      <c r="D6" s="19" t="s">
        <v>31</v>
      </c>
      <c r="E6" s="23">
        <v>2.0</v>
      </c>
      <c r="F6" s="34" t="s">
        <v>41</v>
      </c>
      <c r="G6" s="59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0</v>
      </c>
      <c r="M6" s="19" t="str">
        <f t="shared" ref="M6:M9" si="5">N6-O6</f>
        <v>-3</v>
      </c>
      <c r="N6" s="19" t="str">
        <f t="shared" ref="N6:N9" si="6">SUM(INDIRECT($AC6),INDIRECT($AD6),INDIRECT($AE6))</f>
        <v>3</v>
      </c>
      <c r="O6" s="19" t="str">
        <f t="shared" ref="O6:O9" si="7">SUM(INDIRECT($AF6),INDIRECT($AG6),INDIRECT($AH6))</f>
        <v>6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0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0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3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1.0</v>
      </c>
      <c r="D7" s="19" t="s">
        <v>31</v>
      </c>
      <c r="E7" s="23">
        <v>1.0</v>
      </c>
      <c r="F7" s="34" t="s">
        <v>32</v>
      </c>
      <c r="G7" s="59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7</v>
      </c>
      <c r="M7" s="19" t="str">
        <f t="shared" si="5"/>
        <v>2</v>
      </c>
      <c r="N7" s="19" t="str">
        <f t="shared" si="6"/>
        <v>6</v>
      </c>
      <c r="O7" s="19" t="str">
        <f t="shared" si="7"/>
        <v>4</v>
      </c>
      <c r="P7" s="19" t="str">
        <f t="shared" si="8"/>
        <v>2</v>
      </c>
      <c r="Q7" s="19" t="str">
        <f t="shared" si="9"/>
        <v>1</v>
      </c>
      <c r="R7" s="36" t="str">
        <f t="shared" si="10"/>
        <v>0</v>
      </c>
      <c r="S7" s="59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3.0</v>
      </c>
      <c r="D8" s="19" t="s">
        <v>31</v>
      </c>
      <c r="E8" s="23">
        <v>2.0</v>
      </c>
      <c r="F8" s="34" t="s">
        <v>40</v>
      </c>
      <c r="G8" s="59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5</v>
      </c>
      <c r="M8" s="19" t="str">
        <f t="shared" si="5"/>
        <v>1</v>
      </c>
      <c r="N8" s="19" t="str">
        <f t="shared" si="6"/>
        <v>5</v>
      </c>
      <c r="O8" s="19" t="str">
        <f t="shared" si="7"/>
        <v>4</v>
      </c>
      <c r="P8" s="19" t="str">
        <f t="shared" si="8"/>
        <v>1</v>
      </c>
      <c r="Q8" s="19" t="str">
        <f t="shared" si="9"/>
        <v>2</v>
      </c>
      <c r="R8" s="36" t="str">
        <f t="shared" si="10"/>
        <v>0</v>
      </c>
      <c r="S8" s="59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1.0</v>
      </c>
      <c r="D9" s="19" t="s">
        <v>31</v>
      </c>
      <c r="E9" s="23">
        <v>0.0</v>
      </c>
      <c r="F9" s="34" t="s">
        <v>40</v>
      </c>
      <c r="G9" s="59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4</v>
      </c>
      <c r="M9" s="38" t="str">
        <f t="shared" si="5"/>
        <v>0</v>
      </c>
      <c r="N9" s="38" t="str">
        <f t="shared" si="6"/>
        <v>2</v>
      </c>
      <c r="O9" s="38" t="str">
        <f t="shared" si="7"/>
        <v>2</v>
      </c>
      <c r="P9" s="38" t="str">
        <f t="shared" si="8"/>
        <v>1</v>
      </c>
      <c r="Q9" s="38" t="str">
        <f t="shared" si="9"/>
        <v>1</v>
      </c>
      <c r="R9" s="39" t="str">
        <f t="shared" si="10"/>
        <v>1</v>
      </c>
      <c r="S9" s="59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2.0</v>
      </c>
      <c r="D10" s="38" t="s">
        <v>31</v>
      </c>
      <c r="E10" s="42">
        <v>2.0</v>
      </c>
      <c r="F10" s="43" t="s">
        <v>30</v>
      </c>
      <c r="G10" s="59"/>
      <c r="H10" s="44">
        <v>46197.0</v>
      </c>
      <c r="I10" s="45">
        <v>0.916666666666667</v>
      </c>
      <c r="J10" s="27"/>
      <c r="K10" s="31"/>
      <c r="S10" s="59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59"/>
      <c r="H12" s="16" t="s">
        <v>28</v>
      </c>
      <c r="I12" s="17" t="s">
        <v>29</v>
      </c>
      <c r="J12" s="18"/>
      <c r="K12" s="59"/>
      <c r="L12" s="59"/>
      <c r="M12" s="59"/>
      <c r="N12" s="59"/>
      <c r="O12" s="59"/>
      <c r="P12" s="59"/>
      <c r="Q12" s="59"/>
      <c r="R12" s="59"/>
      <c r="S12" s="59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1.0</v>
      </c>
      <c r="D13" s="19" t="s">
        <v>31</v>
      </c>
      <c r="E13" s="23">
        <v>2.0</v>
      </c>
      <c r="F13" s="24" t="s">
        <v>56</v>
      </c>
      <c r="G13" s="59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1.0</v>
      </c>
      <c r="D14" s="19" t="s">
        <v>31</v>
      </c>
      <c r="E14" s="23">
        <v>3.0</v>
      </c>
      <c r="F14" s="24" t="s">
        <v>58</v>
      </c>
      <c r="G14" s="59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6</v>
      </c>
      <c r="M14" s="19" t="str">
        <f t="shared" ref="M14:M17" si="18">N14-O14</f>
        <v>1</v>
      </c>
      <c r="N14" s="19" t="str">
        <f t="shared" ref="N14:N17" si="19">SUM(INDIRECT($AC14),INDIRECT($AD14),INDIRECT($AE14))</f>
        <v>4</v>
      </c>
      <c r="O14" s="19" t="str">
        <f t="shared" ref="O14:O17" si="20">SUM(INDIRECT($AF14),INDIRECT($AG14),INDIRECT($AH14))</f>
        <v>3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2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0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1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2.0</v>
      </c>
      <c r="D15" s="19" t="s">
        <v>31</v>
      </c>
      <c r="E15" s="23">
        <v>1.0</v>
      </c>
      <c r="F15" s="24" t="s">
        <v>56</v>
      </c>
      <c r="G15" s="59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1</v>
      </c>
      <c r="M15" s="19" t="str">
        <f t="shared" si="18"/>
        <v>-2</v>
      </c>
      <c r="N15" s="19" t="str">
        <f t="shared" si="19"/>
        <v>4</v>
      </c>
      <c r="O15" s="19" t="str">
        <f t="shared" si="20"/>
        <v>6</v>
      </c>
      <c r="P15" s="19" t="str">
        <f t="shared" si="21"/>
        <v>0</v>
      </c>
      <c r="Q15" s="19" t="str">
        <f t="shared" si="22"/>
        <v>1</v>
      </c>
      <c r="R15" s="36" t="str">
        <f t="shared" si="23"/>
        <v>2</v>
      </c>
      <c r="S15" s="59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2.0</v>
      </c>
      <c r="D16" s="19" t="s">
        <v>31</v>
      </c>
      <c r="E16" s="23">
        <v>2.0</v>
      </c>
      <c r="F16" s="24" t="s">
        <v>57</v>
      </c>
      <c r="G16" s="59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1</v>
      </c>
      <c r="M16" s="19" t="str">
        <f t="shared" si="18"/>
        <v>-3</v>
      </c>
      <c r="N16" s="19" t="str">
        <f t="shared" si="19"/>
        <v>3</v>
      </c>
      <c r="O16" s="19" t="str">
        <f t="shared" si="20"/>
        <v>6</v>
      </c>
      <c r="P16" s="19" t="str">
        <f t="shared" si="21"/>
        <v>0</v>
      </c>
      <c r="Q16" s="19" t="str">
        <f t="shared" si="22"/>
        <v>1</v>
      </c>
      <c r="R16" s="36" t="str">
        <f t="shared" si="23"/>
        <v>2</v>
      </c>
      <c r="S16" s="59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2.0</v>
      </c>
      <c r="D17" s="19" t="s">
        <v>31</v>
      </c>
      <c r="E17" s="23">
        <v>1.0</v>
      </c>
      <c r="F17" s="24" t="s">
        <v>55</v>
      </c>
      <c r="G17" s="59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9</v>
      </c>
      <c r="M17" s="38" t="str">
        <f t="shared" si="18"/>
        <v>4</v>
      </c>
      <c r="N17" s="38" t="str">
        <f t="shared" si="19"/>
        <v>7</v>
      </c>
      <c r="O17" s="38" t="str">
        <f t="shared" si="20"/>
        <v>3</v>
      </c>
      <c r="P17" s="38" t="str">
        <f t="shared" si="21"/>
        <v>3</v>
      </c>
      <c r="Q17" s="38" t="str">
        <f t="shared" si="22"/>
        <v>0</v>
      </c>
      <c r="R17" s="39" t="str">
        <f t="shared" si="23"/>
        <v>0</v>
      </c>
      <c r="S17" s="59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1.0</v>
      </c>
      <c r="D18" s="38" t="s">
        <v>31</v>
      </c>
      <c r="E18" s="42">
        <v>0.0</v>
      </c>
      <c r="F18" s="48" t="s">
        <v>57</v>
      </c>
      <c r="G18" s="59"/>
      <c r="H18" s="44">
        <v>46197.0</v>
      </c>
      <c r="I18" s="45">
        <v>0.666666666666667</v>
      </c>
      <c r="J18" s="27"/>
      <c r="K18" s="31"/>
      <c r="S18" s="59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59"/>
      <c r="H20" s="16" t="s">
        <v>28</v>
      </c>
      <c r="I20" s="17" t="s">
        <v>29</v>
      </c>
      <c r="J20" s="18"/>
      <c r="K20" s="59"/>
      <c r="L20" s="59"/>
      <c r="M20" s="59"/>
      <c r="N20" s="59"/>
      <c r="O20" s="59"/>
      <c r="P20" s="59"/>
      <c r="Q20" s="59"/>
      <c r="R20" s="59"/>
      <c r="S20" s="59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1.0</v>
      </c>
      <c r="D21" s="19" t="s">
        <v>31</v>
      </c>
      <c r="E21" s="23">
        <v>2.0</v>
      </c>
      <c r="F21" s="24" t="s">
        <v>73</v>
      </c>
      <c r="G21" s="59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0.0</v>
      </c>
      <c r="D22" s="19" t="s">
        <v>31</v>
      </c>
      <c r="E22" s="23">
        <v>2.0</v>
      </c>
      <c r="F22" s="24" t="s">
        <v>75</v>
      </c>
      <c r="G22" s="59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6</v>
      </c>
      <c r="M22" s="19" t="str">
        <f t="shared" ref="M22:M25" si="31">N22-O22</f>
        <v>2</v>
      </c>
      <c r="N22" s="19" t="str">
        <f t="shared" ref="N22:N25" si="32">SUM(INDIRECT($AC22),INDIRECT($AD22),INDIRECT($AE22))</f>
        <v>6</v>
      </c>
      <c r="O22" s="19" t="str">
        <f t="shared" ref="O22:O25" si="33">SUM(INDIRECT($AF22),INDIRECT($AG22),INDIRECT($AH22))</f>
        <v>4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2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1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1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1.0</v>
      </c>
      <c r="F23" s="24" t="s">
        <v>73</v>
      </c>
      <c r="G23" s="59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4</v>
      </c>
      <c r="M23" s="19" t="str">
        <f t="shared" si="31"/>
        <v>1</v>
      </c>
      <c r="N23" s="19" t="str">
        <f t="shared" si="32"/>
        <v>4</v>
      </c>
      <c r="O23" s="19" t="str">
        <f t="shared" si="33"/>
        <v>3</v>
      </c>
      <c r="P23" s="19" t="str">
        <f t="shared" si="34"/>
        <v>1</v>
      </c>
      <c r="Q23" s="19" t="str">
        <f t="shared" si="35"/>
        <v>1</v>
      </c>
      <c r="R23" s="36" t="str">
        <f t="shared" si="36"/>
        <v>1</v>
      </c>
      <c r="S23" s="59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3.0</v>
      </c>
      <c r="D24" s="19" t="s">
        <v>31</v>
      </c>
      <c r="E24" s="23">
        <v>1.0</v>
      </c>
      <c r="F24" s="24" t="s">
        <v>74</v>
      </c>
      <c r="G24" s="59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-6</v>
      </c>
      <c r="N24" s="19" t="str">
        <f t="shared" si="32"/>
        <v>1</v>
      </c>
      <c r="O24" s="19" t="str">
        <f t="shared" si="33"/>
        <v>7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59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2.0</v>
      </c>
      <c r="D25" s="19" t="s">
        <v>31</v>
      </c>
      <c r="E25" s="23">
        <v>0.0</v>
      </c>
      <c r="F25" s="24" t="s">
        <v>74</v>
      </c>
      <c r="G25" s="59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7</v>
      </c>
      <c r="M25" s="38" t="str">
        <f t="shared" si="31"/>
        <v>3</v>
      </c>
      <c r="N25" s="38" t="str">
        <f t="shared" si="32"/>
        <v>5</v>
      </c>
      <c r="O25" s="38" t="str">
        <f t="shared" si="33"/>
        <v>2</v>
      </c>
      <c r="P25" s="38" t="str">
        <f t="shared" si="34"/>
        <v>2</v>
      </c>
      <c r="Q25" s="38" t="str">
        <f t="shared" si="35"/>
        <v>1</v>
      </c>
      <c r="R25" s="39" t="str">
        <f t="shared" si="36"/>
        <v>0</v>
      </c>
      <c r="S25" s="59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1.0</v>
      </c>
      <c r="D26" s="38" t="s">
        <v>31</v>
      </c>
      <c r="E26" s="42">
        <v>2.0</v>
      </c>
      <c r="F26" s="48" t="s">
        <v>72</v>
      </c>
      <c r="G26" s="59"/>
      <c r="H26" s="44">
        <v>46197.0</v>
      </c>
      <c r="I26" s="45">
        <v>0.791666666666667</v>
      </c>
      <c r="J26" s="27"/>
      <c r="K26" s="46"/>
      <c r="S26" s="59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59"/>
      <c r="H28" s="16" t="s">
        <v>28</v>
      </c>
      <c r="I28" s="17" t="s">
        <v>29</v>
      </c>
      <c r="J28" s="18"/>
      <c r="K28" s="59"/>
      <c r="L28" s="59"/>
      <c r="M28" s="59"/>
      <c r="N28" s="59"/>
      <c r="O28" s="59"/>
      <c r="P28" s="59"/>
      <c r="Q28" s="59"/>
      <c r="R28" s="59"/>
      <c r="S28" s="59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1.0</v>
      </c>
      <c r="D29" s="19" t="s">
        <v>31</v>
      </c>
      <c r="E29" s="23">
        <v>1.0</v>
      </c>
      <c r="F29" s="24" t="s">
        <v>90</v>
      </c>
      <c r="G29" s="59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0.0</v>
      </c>
      <c r="D30" s="19" t="s">
        <v>31</v>
      </c>
      <c r="E30" s="23">
        <v>2.0</v>
      </c>
      <c r="F30" s="24" t="s">
        <v>92</v>
      </c>
      <c r="G30" s="59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1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0</v>
      </c>
      <c r="M30" s="19" t="str">
        <f t="shared" ref="M30:M33" si="44">N30-O30</f>
        <v>-4</v>
      </c>
      <c r="N30" s="19" t="str">
        <f t="shared" ref="N30:N33" si="45">SUM(INDIRECT($AC30),INDIRECT($AD30),INDIRECT($AE30))</f>
        <v>1</v>
      </c>
      <c r="O30" s="19" t="str">
        <f t="shared" ref="O30:O33" si="46">SUM(INDIRECT($AF30),INDIRECT($AG30),INDIRECT($AH30))</f>
        <v>5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3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2.0</v>
      </c>
      <c r="D31" s="19" t="s">
        <v>31</v>
      </c>
      <c r="E31" s="23">
        <v>1.0</v>
      </c>
      <c r="F31" s="24" t="s">
        <v>91</v>
      </c>
      <c r="G31" s="59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5</v>
      </c>
      <c r="M31" s="19" t="str">
        <f t="shared" si="44"/>
        <v>1</v>
      </c>
      <c r="N31" s="19" t="str">
        <f t="shared" si="45"/>
        <v>5</v>
      </c>
      <c r="O31" s="19" t="str">
        <f t="shared" si="46"/>
        <v>4</v>
      </c>
      <c r="P31" s="19" t="str">
        <f t="shared" si="47"/>
        <v>1</v>
      </c>
      <c r="Q31" s="19" t="str">
        <f t="shared" si="48"/>
        <v>2</v>
      </c>
      <c r="R31" s="36" t="str">
        <f t="shared" si="49"/>
        <v>0</v>
      </c>
      <c r="S31" s="59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3.0</v>
      </c>
      <c r="D32" s="19" t="s">
        <v>31</v>
      </c>
      <c r="E32" s="23">
        <v>2.0</v>
      </c>
      <c r="F32" s="24" t="s">
        <v>90</v>
      </c>
      <c r="G32" s="59"/>
      <c r="H32" s="25">
        <v>46193.0</v>
      </c>
      <c r="I32" s="26">
        <v>0.0416666666666667</v>
      </c>
      <c r="J32" s="27"/>
      <c r="K32" s="35" t="s">
        <v>90</v>
      </c>
      <c r="L32" s="19">
        <v>4.0</v>
      </c>
      <c r="M32" s="19" t="str">
        <f t="shared" si="44"/>
        <v>-2</v>
      </c>
      <c r="N32" s="19" t="str">
        <f t="shared" si="45"/>
        <v>3</v>
      </c>
      <c r="O32" s="19" t="str">
        <f t="shared" si="46"/>
        <v>5</v>
      </c>
      <c r="P32" s="19" t="str">
        <f t="shared" si="47"/>
        <v>0</v>
      </c>
      <c r="Q32" s="19" t="str">
        <f t="shared" si="48"/>
        <v>1</v>
      </c>
      <c r="R32" s="36" t="str">
        <f t="shared" si="49"/>
        <v>2</v>
      </c>
      <c r="S32" s="59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2.0</v>
      </c>
      <c r="D33" s="19" t="s">
        <v>31</v>
      </c>
      <c r="E33" s="23">
        <v>2.0</v>
      </c>
      <c r="F33" s="24" t="s">
        <v>89</v>
      </c>
      <c r="G33" s="59"/>
      <c r="H33" s="25">
        <v>46198.0</v>
      </c>
      <c r="I33" s="26">
        <v>0.958333333333333</v>
      </c>
      <c r="J33" s="27"/>
      <c r="K33" s="37" t="s">
        <v>92</v>
      </c>
      <c r="L33" s="38" t="str">
        <f t="array" ref="L33">SUM(IF(AND(ISNUMBER(INDIRECT($AC33)),INDIRECT($AC33)&gt;INDIRECT($AF33)),3,IF(AND(ISNUMBER(INDIRECT($AC33)),INDIRECT($AC33)=INDIRECT($AF33)),1,0)),IF(AND(ISNUMBER(INDIRECT($AD33)),INDIRECT($AD33)&gt;INDIRECT($AG33)),3,IF(AND(ISNUMBER(INDIRECT($AD33)),INDIRECT($AD33)=INDIRECT($AG33)),1,0)),IF(AND(ISNUMBER(INDIRECT($AE33)),INDIRECT($AE33)&gt;INDIRECT($AH33)),3,IF(AND(ISNUMBER(INDIRECT($AE33)),INDIRECT($AE33)=INDIRECT($AH33)),1,0)))</f>
        <v>7</v>
      </c>
      <c r="M33" s="38" t="str">
        <f t="shared" si="44"/>
        <v>3</v>
      </c>
      <c r="N33" s="38" t="str">
        <f t="shared" si="45"/>
        <v>7</v>
      </c>
      <c r="O33" s="38" t="str">
        <f t="shared" si="46"/>
        <v>4</v>
      </c>
      <c r="P33" s="38" t="str">
        <f t="shared" si="47"/>
        <v>2</v>
      </c>
      <c r="Q33" s="38" t="str">
        <f t="shared" si="48"/>
        <v>1</v>
      </c>
      <c r="R33" s="39" t="str">
        <f t="shared" si="49"/>
        <v>0</v>
      </c>
      <c r="S33" s="59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1.0</v>
      </c>
      <c r="D34" s="38" t="s">
        <v>31</v>
      </c>
      <c r="E34" s="42">
        <v>0.0</v>
      </c>
      <c r="F34" s="48" t="s">
        <v>91</v>
      </c>
      <c r="G34" s="59"/>
      <c r="H34" s="44">
        <v>46198.0</v>
      </c>
      <c r="I34" s="45">
        <v>0.958333333333333</v>
      </c>
      <c r="J34" s="27"/>
      <c r="K34" s="46"/>
      <c r="S34" s="59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59"/>
      <c r="H36" s="16" t="s">
        <v>28</v>
      </c>
      <c r="I36" s="17" t="s">
        <v>29</v>
      </c>
      <c r="J36" s="18"/>
      <c r="K36" s="59"/>
      <c r="L36" s="59"/>
      <c r="M36" s="59"/>
      <c r="N36" s="59"/>
      <c r="O36" s="59"/>
      <c r="P36" s="59"/>
      <c r="Q36" s="59"/>
      <c r="R36" s="59"/>
      <c r="S36" s="59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5.0</v>
      </c>
      <c r="D37" s="19" t="s">
        <v>31</v>
      </c>
      <c r="E37" s="23">
        <v>2.0</v>
      </c>
      <c r="F37" s="34" t="s">
        <v>106</v>
      </c>
      <c r="G37" s="59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3.0</v>
      </c>
      <c r="D38" s="19" t="s">
        <v>31</v>
      </c>
      <c r="E38" s="23">
        <v>3.0</v>
      </c>
      <c r="F38" s="34" t="s">
        <v>108</v>
      </c>
      <c r="G38" s="59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7</v>
      </c>
      <c r="M38" s="19" t="str">
        <f t="shared" ref="M38:M41" si="57">N38-O38</f>
        <v>4</v>
      </c>
      <c r="N38" s="19" t="str">
        <f t="shared" ref="N38:N41" si="58">SUM(INDIRECT($AC38),INDIRECT($AD38),INDIRECT($AE38))</f>
        <v>8</v>
      </c>
      <c r="O38" s="19" t="str">
        <f t="shared" ref="O38:O41" si="59">SUM(INDIRECT($AF38),INDIRECT($AG38),INDIRECT($AH38))</f>
        <v>4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2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1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1.0</v>
      </c>
      <c r="F39" s="34" t="s">
        <v>107</v>
      </c>
      <c r="G39" s="59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4</v>
      </c>
      <c r="M39" s="19" t="str">
        <f t="shared" si="57"/>
        <v>1</v>
      </c>
      <c r="N39" s="19" t="str">
        <f t="shared" si="58"/>
        <v>7</v>
      </c>
      <c r="O39" s="19" t="str">
        <f t="shared" si="59"/>
        <v>6</v>
      </c>
      <c r="P39" s="19" t="str">
        <f t="shared" si="60"/>
        <v>1</v>
      </c>
      <c r="Q39" s="19" t="str">
        <f t="shared" si="61"/>
        <v>1</v>
      </c>
      <c r="R39" s="36" t="str">
        <f t="shared" si="62"/>
        <v>1</v>
      </c>
      <c r="S39" s="59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4.0</v>
      </c>
      <c r="D40" s="19" t="s">
        <v>31</v>
      </c>
      <c r="E40" s="23">
        <v>0.0</v>
      </c>
      <c r="F40" s="34" t="s">
        <v>106</v>
      </c>
      <c r="G40" s="59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-9</v>
      </c>
      <c r="N40" s="19" t="str">
        <f t="shared" si="58"/>
        <v>3</v>
      </c>
      <c r="O40" s="19" t="str">
        <f t="shared" si="59"/>
        <v>12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59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1.0</v>
      </c>
      <c r="D41" s="19" t="s">
        <v>31</v>
      </c>
      <c r="E41" s="23">
        <v>1.0</v>
      </c>
      <c r="F41" s="34" t="s">
        <v>105</v>
      </c>
      <c r="G41" s="59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5</v>
      </c>
      <c r="M41" s="38" t="str">
        <f t="shared" si="57"/>
        <v>4</v>
      </c>
      <c r="N41" s="38" t="str">
        <f t="shared" si="58"/>
        <v>8</v>
      </c>
      <c r="O41" s="38" t="str">
        <f t="shared" si="59"/>
        <v>4</v>
      </c>
      <c r="P41" s="38" t="str">
        <f t="shared" si="60"/>
        <v>1</v>
      </c>
      <c r="Q41" s="38" t="str">
        <f t="shared" si="61"/>
        <v>2</v>
      </c>
      <c r="R41" s="39" t="str">
        <f t="shared" si="62"/>
        <v>0</v>
      </c>
      <c r="S41" s="59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1.0</v>
      </c>
      <c r="D42" s="38" t="s">
        <v>31</v>
      </c>
      <c r="E42" s="42">
        <v>3.0</v>
      </c>
      <c r="F42" s="43" t="s">
        <v>107</v>
      </c>
      <c r="G42" s="59"/>
      <c r="H42" s="44">
        <v>46198.0</v>
      </c>
      <c r="I42" s="45">
        <v>0.708333333333333</v>
      </c>
      <c r="J42" s="27"/>
      <c r="K42" s="46"/>
      <c r="S42" s="59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59"/>
      <c r="H44" s="16" t="s">
        <v>28</v>
      </c>
      <c r="I44" s="17" t="s">
        <v>29</v>
      </c>
      <c r="J44" s="18"/>
      <c r="K44" s="59"/>
      <c r="L44" s="59"/>
      <c r="M44" s="59"/>
      <c r="N44" s="59"/>
      <c r="O44" s="59"/>
      <c r="P44" s="59"/>
      <c r="Q44" s="59"/>
      <c r="R44" s="59"/>
      <c r="S44" s="59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2.0</v>
      </c>
      <c r="D45" s="19" t="s">
        <v>31</v>
      </c>
      <c r="E45" s="23">
        <v>2.0</v>
      </c>
      <c r="F45" s="34" t="s">
        <v>123</v>
      </c>
      <c r="G45" s="59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4</v>
      </c>
      <c r="Y45" s="33" t="str">
        <f>IF(AND(ISNUMBER(RESULTADOS!C45),ISNUMBER(RESULTADOS!E45),ISNUMBER(C45),ISNUMBER(E45),C45=RESULTADOS!C45,E45=RESULTADOS!E45),2,0)</f>
        <v>2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2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2.0</v>
      </c>
      <c r="D46" s="19" t="s">
        <v>31</v>
      </c>
      <c r="E46" s="23">
        <v>0.0</v>
      </c>
      <c r="F46" s="34" t="s">
        <v>125</v>
      </c>
      <c r="G46" s="59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7</v>
      </c>
      <c r="M46" s="19" t="str">
        <f t="shared" ref="M46:M49" si="70">N46-O46</f>
        <v>3</v>
      </c>
      <c r="N46" s="19" t="str">
        <f t="shared" ref="N46:N49" si="71">SUM(INDIRECT($AC46),INDIRECT($AD46),INDIRECT($AE46))</f>
        <v>6</v>
      </c>
      <c r="O46" s="19" t="str">
        <f t="shared" ref="O46:O49" si="72">SUM(INDIRECT($AF46),INDIRECT($AG46),INDIRECT($AH46))</f>
        <v>3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2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1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1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1.0</v>
      </c>
      <c r="D47" s="19" t="s">
        <v>31</v>
      </c>
      <c r="E47" s="23">
        <v>0.0</v>
      </c>
      <c r="F47" s="34" t="s">
        <v>124</v>
      </c>
      <c r="G47" s="59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7</v>
      </c>
      <c r="M47" s="19" t="str">
        <f t="shared" si="70"/>
        <v>2</v>
      </c>
      <c r="N47" s="19" t="str">
        <f t="shared" si="71"/>
        <v>5</v>
      </c>
      <c r="O47" s="19" t="str">
        <f t="shared" si="72"/>
        <v>3</v>
      </c>
      <c r="P47" s="19" t="str">
        <f t="shared" si="73"/>
        <v>2</v>
      </c>
      <c r="Q47" s="19" t="str">
        <f t="shared" si="74"/>
        <v>1</v>
      </c>
      <c r="R47" s="36" t="str">
        <f t="shared" si="75"/>
        <v>0</v>
      </c>
      <c r="S47" s="59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1.0</v>
      </c>
      <c r="D48" s="19" t="s">
        <v>31</v>
      </c>
      <c r="E48" s="23">
        <v>2.0</v>
      </c>
      <c r="F48" s="34" t="s">
        <v>123</v>
      </c>
      <c r="G48" s="59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3</v>
      </c>
      <c r="M48" s="19" t="str">
        <f t="shared" si="70"/>
        <v>0</v>
      </c>
      <c r="N48" s="19" t="str">
        <f t="shared" si="71"/>
        <v>2</v>
      </c>
      <c r="O48" s="19" t="str">
        <f t="shared" si="72"/>
        <v>2</v>
      </c>
      <c r="P48" s="19" t="str">
        <f t="shared" si="73"/>
        <v>1</v>
      </c>
      <c r="Q48" s="19" t="str">
        <f t="shared" si="74"/>
        <v>0</v>
      </c>
      <c r="R48" s="36" t="str">
        <f t="shared" si="75"/>
        <v>2</v>
      </c>
      <c r="S48" s="59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1.0</v>
      </c>
      <c r="D49" s="19" t="s">
        <v>31</v>
      </c>
      <c r="E49" s="23">
        <v>3.0</v>
      </c>
      <c r="F49" s="34" t="s">
        <v>122</v>
      </c>
      <c r="G49" s="59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-5</v>
      </c>
      <c r="N49" s="38" t="str">
        <f t="shared" si="71"/>
        <v>2</v>
      </c>
      <c r="O49" s="38" t="str">
        <f t="shared" si="72"/>
        <v>7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59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1.0</v>
      </c>
      <c r="D50" s="38" t="s">
        <v>31</v>
      </c>
      <c r="E50" s="42">
        <v>0.0</v>
      </c>
      <c r="F50" s="43" t="s">
        <v>124</v>
      </c>
      <c r="G50" s="59"/>
      <c r="H50" s="44">
        <v>46198.0</v>
      </c>
      <c r="I50" s="45">
        <v>0.833333333333333</v>
      </c>
      <c r="J50" s="27"/>
      <c r="K50" s="46"/>
      <c r="S50" s="59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59"/>
      <c r="H52" s="16" t="s">
        <v>28</v>
      </c>
      <c r="I52" s="17" t="s">
        <v>29</v>
      </c>
      <c r="J52" s="18"/>
      <c r="K52" s="59"/>
      <c r="L52" s="59"/>
      <c r="M52" s="59"/>
      <c r="N52" s="59"/>
      <c r="O52" s="59"/>
      <c r="P52" s="59"/>
      <c r="Q52" s="59"/>
      <c r="R52" s="59"/>
      <c r="S52" s="59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3.0</v>
      </c>
      <c r="D53" s="19" t="s">
        <v>31</v>
      </c>
      <c r="E53" s="23">
        <v>1.0</v>
      </c>
      <c r="F53" s="34" t="s">
        <v>140</v>
      </c>
      <c r="G53" s="59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0.0</v>
      </c>
      <c r="D54" s="19" t="s">
        <v>31</v>
      </c>
      <c r="E54" s="23">
        <v>0.0</v>
      </c>
      <c r="F54" s="34" t="s">
        <v>142</v>
      </c>
      <c r="G54" s="59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9</v>
      </c>
      <c r="M54" s="19" t="str">
        <f t="shared" ref="M54:M57" si="83">N54-O54</f>
        <v>5</v>
      </c>
      <c r="N54" s="19" t="str">
        <f t="shared" ref="N54:N57" si="84">SUM(INDIRECT($AC54),INDIRECT($AD54),INDIRECT($AE54))</f>
        <v>7</v>
      </c>
      <c r="O54" s="19" t="str">
        <f t="shared" ref="O54:O57" si="85">SUM(INDIRECT($AF54),INDIRECT($AG54),INDIRECT($AH54))</f>
        <v>2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3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2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2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2.0</v>
      </c>
      <c r="D55" s="19" t="s">
        <v>31</v>
      </c>
      <c r="E55" s="23">
        <v>0.0</v>
      </c>
      <c r="F55" s="34" t="s">
        <v>141</v>
      </c>
      <c r="G55" s="59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6</v>
      </c>
      <c r="M55" s="19" t="str">
        <f t="shared" si="83"/>
        <v>0</v>
      </c>
      <c r="N55" s="19" t="str">
        <f t="shared" si="84"/>
        <v>4</v>
      </c>
      <c r="O55" s="19" t="str">
        <f t="shared" si="85"/>
        <v>4</v>
      </c>
      <c r="P55" s="19" t="str">
        <f t="shared" si="86"/>
        <v>2</v>
      </c>
      <c r="Q55" s="19" t="str">
        <f t="shared" si="87"/>
        <v>0</v>
      </c>
      <c r="R55" s="36" t="str">
        <f t="shared" si="88"/>
        <v>1</v>
      </c>
      <c r="S55" s="59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1.0</v>
      </c>
      <c r="D56" s="19" t="s">
        <v>31</v>
      </c>
      <c r="E56" s="23">
        <v>2.0</v>
      </c>
      <c r="F56" s="34" t="s">
        <v>140</v>
      </c>
      <c r="G56" s="59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1</v>
      </c>
      <c r="M56" s="19" t="str">
        <f t="shared" si="83"/>
        <v>-3</v>
      </c>
      <c r="N56" s="19" t="str">
        <f t="shared" si="84"/>
        <v>0</v>
      </c>
      <c r="O56" s="19" t="str">
        <f t="shared" si="85"/>
        <v>3</v>
      </c>
      <c r="P56" s="19" t="str">
        <f t="shared" si="86"/>
        <v>0</v>
      </c>
      <c r="Q56" s="19" t="str">
        <f t="shared" si="87"/>
        <v>1</v>
      </c>
      <c r="R56" s="36" t="str">
        <f t="shared" si="88"/>
        <v>2</v>
      </c>
      <c r="S56" s="59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1.0</v>
      </c>
      <c r="D57" s="19" t="s">
        <v>31</v>
      </c>
      <c r="E57" s="23">
        <v>0.0</v>
      </c>
      <c r="F57" s="34" t="s">
        <v>141</v>
      </c>
      <c r="G57" s="59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1</v>
      </c>
      <c r="M57" s="38" t="str">
        <f t="shared" si="83"/>
        <v>-2</v>
      </c>
      <c r="N57" s="38" t="str">
        <f t="shared" si="84"/>
        <v>2</v>
      </c>
      <c r="O57" s="38" t="str">
        <f t="shared" si="85"/>
        <v>4</v>
      </c>
      <c r="P57" s="38" t="str">
        <f t="shared" si="86"/>
        <v>0</v>
      </c>
      <c r="Q57" s="38" t="str">
        <f t="shared" si="87"/>
        <v>1</v>
      </c>
      <c r="R57" s="39" t="str">
        <f t="shared" si="88"/>
        <v>2</v>
      </c>
      <c r="S57" s="59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1.0</v>
      </c>
      <c r="D58" s="38" t="s">
        <v>31</v>
      </c>
      <c r="E58" s="42">
        <v>2.0</v>
      </c>
      <c r="F58" s="43" t="s">
        <v>139</v>
      </c>
      <c r="G58" s="59"/>
      <c r="H58" s="44">
        <v>46200.0</v>
      </c>
      <c r="I58" s="45">
        <v>0.0</v>
      </c>
      <c r="J58" s="27"/>
      <c r="K58" s="46"/>
      <c r="S58" s="59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59"/>
      <c r="H60" s="16" t="s">
        <v>28</v>
      </c>
      <c r="I60" s="17" t="s">
        <v>29</v>
      </c>
      <c r="J60" s="18"/>
      <c r="K60" s="59"/>
      <c r="L60" s="59"/>
      <c r="M60" s="59"/>
      <c r="N60" s="59"/>
      <c r="O60" s="59"/>
      <c r="P60" s="59"/>
      <c r="Q60" s="59"/>
      <c r="R60" s="59"/>
      <c r="S60" s="59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6.0</v>
      </c>
      <c r="D61" s="19" t="s">
        <v>31</v>
      </c>
      <c r="E61" s="23">
        <v>0.0</v>
      </c>
      <c r="F61" s="34" t="s">
        <v>157</v>
      </c>
      <c r="G61" s="59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1.0</v>
      </c>
      <c r="D62" s="19" t="s">
        <v>31</v>
      </c>
      <c r="E62" s="23">
        <v>2.0</v>
      </c>
      <c r="F62" s="34" t="s">
        <v>159</v>
      </c>
      <c r="G62" s="59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1</v>
      </c>
      <c r="M62" s="19" t="str">
        <f t="shared" ref="M62:M65" si="96">N62-O62</f>
        <v>-4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7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0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1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4.0</v>
      </c>
      <c r="D63" s="19" t="s">
        <v>31</v>
      </c>
      <c r="E63" s="23">
        <v>1.0</v>
      </c>
      <c r="F63" s="34" t="s">
        <v>158</v>
      </c>
      <c r="G63" s="59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1</v>
      </c>
      <c r="M63" s="19" t="str">
        <f t="shared" si="96"/>
        <v>-7</v>
      </c>
      <c r="N63" s="19" t="str">
        <f t="shared" si="97"/>
        <v>2</v>
      </c>
      <c r="O63" s="19" t="str">
        <f t="shared" si="98"/>
        <v>9</v>
      </c>
      <c r="P63" s="19" t="str">
        <f t="shared" si="99"/>
        <v>0</v>
      </c>
      <c r="Q63" s="19" t="str">
        <f t="shared" si="100"/>
        <v>1</v>
      </c>
      <c r="R63" s="36" t="str">
        <f t="shared" si="101"/>
        <v>2</v>
      </c>
      <c r="S63" s="59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2.0</v>
      </c>
      <c r="D64" s="19" t="s">
        <v>31</v>
      </c>
      <c r="E64" s="23">
        <v>1.0</v>
      </c>
      <c r="F64" s="34" t="s">
        <v>157</v>
      </c>
      <c r="G64" s="59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10</v>
      </c>
      <c r="N64" s="19" t="str">
        <f t="shared" si="97"/>
        <v>12</v>
      </c>
      <c r="O64" s="19" t="str">
        <f t="shared" si="98"/>
        <v>2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59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1.0</v>
      </c>
      <c r="D65" s="19" t="s">
        <v>31</v>
      </c>
      <c r="E65" s="23">
        <v>1.0</v>
      </c>
      <c r="F65" s="34" t="s">
        <v>158</v>
      </c>
      <c r="G65" s="59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1</v>
      </c>
      <c r="N65" s="38" t="str">
        <f t="shared" si="97"/>
        <v>5</v>
      </c>
      <c r="O65" s="38" t="str">
        <f t="shared" si="98"/>
        <v>4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59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1.0</v>
      </c>
      <c r="D66" s="38" t="s">
        <v>31</v>
      </c>
      <c r="E66" s="42">
        <v>2.0</v>
      </c>
      <c r="F66" s="43" t="s">
        <v>156</v>
      </c>
      <c r="G66" s="59"/>
      <c r="H66" s="44">
        <v>46199.0</v>
      </c>
      <c r="I66" s="45">
        <v>0.875</v>
      </c>
      <c r="J66" s="27"/>
      <c r="K66" s="46"/>
      <c r="S66" s="59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59"/>
      <c r="H68" s="16" t="s">
        <v>28</v>
      </c>
      <c r="I68" s="17" t="s">
        <v>29</v>
      </c>
      <c r="J68" s="18"/>
      <c r="K68" s="59"/>
      <c r="L68" s="59"/>
      <c r="M68" s="59"/>
      <c r="N68" s="59"/>
      <c r="O68" s="59"/>
      <c r="P68" s="59"/>
      <c r="Q68" s="59"/>
      <c r="R68" s="59"/>
      <c r="S68" s="59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3.0</v>
      </c>
      <c r="D69" s="19" t="s">
        <v>31</v>
      </c>
      <c r="E69" s="23">
        <v>1.0</v>
      </c>
      <c r="F69" s="34" t="s">
        <v>174</v>
      </c>
      <c r="G69" s="59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4</v>
      </c>
      <c r="Y69" s="33" t="str">
        <f>IF(AND(ISNUMBER(RESULTADOS!C69),ISNUMBER(RESULTADOS!E69),ISNUMBER(C69),ISNUMBER(E69),C69=RESULTADOS!C69,E69=RESULTADOS!E69),2,0)</f>
        <v>2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3.0</v>
      </c>
      <c r="F70" s="34" t="s">
        <v>176</v>
      </c>
      <c r="G70" s="59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9</v>
      </c>
      <c r="N70" s="19" t="str">
        <f t="shared" ref="N70:N73" si="110">SUM(INDIRECT($AC70),INDIRECT($AD70),INDIRECT($AE70))</f>
        <v>11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2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1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5.0</v>
      </c>
      <c r="D71" s="19" t="s">
        <v>31</v>
      </c>
      <c r="E71" s="23">
        <v>0.0</v>
      </c>
      <c r="F71" s="34" t="s">
        <v>175</v>
      </c>
      <c r="G71" s="59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-9</v>
      </c>
      <c r="N71" s="19" t="str">
        <f t="shared" si="110"/>
        <v>1</v>
      </c>
      <c r="O71" s="19" t="str">
        <f t="shared" si="111"/>
        <v>10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59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2.0</v>
      </c>
      <c r="D72" s="19" t="s">
        <v>31</v>
      </c>
      <c r="E72" s="23">
        <v>3.0</v>
      </c>
      <c r="F72" s="34" t="s">
        <v>174</v>
      </c>
      <c r="G72" s="59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3</v>
      </c>
      <c r="M72" s="19" t="str">
        <f t="shared" si="109"/>
        <v>0</v>
      </c>
      <c r="N72" s="19" t="str">
        <f t="shared" si="110"/>
        <v>6</v>
      </c>
      <c r="O72" s="19" t="str">
        <f t="shared" si="111"/>
        <v>6</v>
      </c>
      <c r="P72" s="19" t="str">
        <f t="shared" si="112"/>
        <v>1</v>
      </c>
      <c r="Q72" s="19" t="str">
        <f t="shared" si="113"/>
        <v>0</v>
      </c>
      <c r="R72" s="36" t="str">
        <f t="shared" si="114"/>
        <v>2</v>
      </c>
      <c r="S72" s="59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1.0</v>
      </c>
      <c r="F73" s="34" t="s">
        <v>175</v>
      </c>
      <c r="G73" s="59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6</v>
      </c>
      <c r="M73" s="38" t="str">
        <f t="shared" si="109"/>
        <v>0</v>
      </c>
      <c r="N73" s="38" t="str">
        <f t="shared" si="110"/>
        <v>6</v>
      </c>
      <c r="O73" s="38" t="str">
        <f t="shared" si="111"/>
        <v>6</v>
      </c>
      <c r="P73" s="38" t="str">
        <f t="shared" si="112"/>
        <v>2</v>
      </c>
      <c r="Q73" s="38" t="str">
        <f t="shared" si="113"/>
        <v>0</v>
      </c>
      <c r="R73" s="39" t="str">
        <f t="shared" si="114"/>
        <v>1</v>
      </c>
      <c r="S73" s="59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3.0</v>
      </c>
      <c r="F74" s="43" t="s">
        <v>173</v>
      </c>
      <c r="G74" s="59"/>
      <c r="H74" s="44">
        <v>46199.0</v>
      </c>
      <c r="I74" s="45">
        <v>0.666666666666667</v>
      </c>
      <c r="J74" s="27"/>
      <c r="K74" s="46"/>
      <c r="S74" s="59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59"/>
      <c r="H76" s="16" t="s">
        <v>28</v>
      </c>
      <c r="I76" s="17" t="s">
        <v>29</v>
      </c>
      <c r="J76" s="18"/>
      <c r="K76" s="59"/>
      <c r="L76" s="59"/>
      <c r="M76" s="59"/>
      <c r="N76" s="59"/>
      <c r="O76" s="59"/>
      <c r="P76" s="59"/>
      <c r="Q76" s="59"/>
      <c r="R76" s="59"/>
      <c r="S76" s="59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1.0</v>
      </c>
      <c r="D77" s="19" t="s">
        <v>31</v>
      </c>
      <c r="E77" s="23">
        <v>1.0</v>
      </c>
      <c r="F77" s="34" t="s">
        <v>191</v>
      </c>
      <c r="G77" s="59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0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0</v>
      </c>
      <c r="AA77" s="33" t="str">
        <f>IF(AND(ISNUMBER(RESULTADOS!C77),ISNUMBER(RESULTADOS!E77),ISNUMBER(C77),ISNUMBER(E77),AND(Z77=1,OR(C77=RESULTADOS!C77,E77=RESULTADOS!E77))),1,0)</f>
        <v>0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2.0</v>
      </c>
      <c r="D78" s="19" t="s">
        <v>31</v>
      </c>
      <c r="E78" s="23">
        <v>0.0</v>
      </c>
      <c r="F78" s="34" t="s">
        <v>193</v>
      </c>
      <c r="G78" s="59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7</v>
      </c>
      <c r="M78" s="19" t="str">
        <f t="shared" ref="M78:M81" si="122">N78-O78</f>
        <v>3</v>
      </c>
      <c r="N78" s="19" t="str">
        <f t="shared" ref="N78:N81" si="123">SUM(INDIRECT($AC78),INDIRECT($AD78),INDIRECT($AE78))</f>
        <v>4</v>
      </c>
      <c r="O78" s="19" t="str">
        <f t="shared" ref="O78:O81" si="124">SUM(INDIRECT($AF78),INDIRECT($AG78),INDIRECT($AH78))</f>
        <v>1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2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1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2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1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1.0</v>
      </c>
      <c r="D79" s="19" t="s">
        <v>31</v>
      </c>
      <c r="E79" s="23">
        <v>0.0</v>
      </c>
      <c r="F79" s="34" t="s">
        <v>192</v>
      </c>
      <c r="G79" s="59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4</v>
      </c>
      <c r="M79" s="19" t="str">
        <f t="shared" si="122"/>
        <v>0</v>
      </c>
      <c r="N79" s="19" t="str">
        <f t="shared" si="123"/>
        <v>4</v>
      </c>
      <c r="O79" s="19" t="str">
        <f t="shared" si="124"/>
        <v>4</v>
      </c>
      <c r="P79" s="19" t="str">
        <f t="shared" si="125"/>
        <v>1</v>
      </c>
      <c r="Q79" s="19" t="str">
        <f t="shared" si="126"/>
        <v>1</v>
      </c>
      <c r="R79" s="36" t="str">
        <f t="shared" si="127"/>
        <v>1</v>
      </c>
      <c r="S79" s="59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1.0</v>
      </c>
      <c r="D80" s="19" t="s">
        <v>31</v>
      </c>
      <c r="E80" s="23">
        <v>2.0</v>
      </c>
      <c r="F80" s="34" t="s">
        <v>191</v>
      </c>
      <c r="G80" s="59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-5</v>
      </c>
      <c r="N80" s="19" t="str">
        <f t="shared" si="123"/>
        <v>1</v>
      </c>
      <c r="O80" s="19" t="str">
        <f t="shared" si="124"/>
        <v>6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3</v>
      </c>
      <c r="S80" s="59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2.0</v>
      </c>
      <c r="F81" s="34" t="s">
        <v>190</v>
      </c>
      <c r="G81" s="59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6</v>
      </c>
      <c r="M81" s="38" t="str">
        <f t="shared" si="122"/>
        <v>2</v>
      </c>
      <c r="N81" s="38" t="str">
        <f t="shared" si="123"/>
        <v>4</v>
      </c>
      <c r="O81" s="38" t="str">
        <f t="shared" si="124"/>
        <v>2</v>
      </c>
      <c r="P81" s="38" t="str">
        <f t="shared" si="125"/>
        <v>2</v>
      </c>
      <c r="Q81" s="38" t="str">
        <f t="shared" si="126"/>
        <v>0</v>
      </c>
      <c r="R81" s="39" t="str">
        <f t="shared" si="127"/>
        <v>1</v>
      </c>
      <c r="S81" s="59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1.0</v>
      </c>
      <c r="D82" s="38" t="s">
        <v>31</v>
      </c>
      <c r="E82" s="42">
        <v>2.0</v>
      </c>
      <c r="F82" s="43" t="s">
        <v>192</v>
      </c>
      <c r="G82" s="59"/>
      <c r="H82" s="44">
        <v>46200.0</v>
      </c>
      <c r="I82" s="45">
        <v>0.958333333333333</v>
      </c>
      <c r="J82" s="27"/>
      <c r="K82" s="46"/>
      <c r="S82" s="59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59"/>
      <c r="H84" s="16" t="s">
        <v>28</v>
      </c>
      <c r="I84" s="17" t="s">
        <v>29</v>
      </c>
      <c r="J84" s="18"/>
      <c r="K84" s="59"/>
      <c r="L84" s="59"/>
      <c r="M84" s="59"/>
      <c r="N84" s="59"/>
      <c r="O84" s="59"/>
      <c r="P84" s="59"/>
      <c r="Q84" s="59"/>
      <c r="R84" s="59"/>
      <c r="S84" s="59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4.0</v>
      </c>
      <c r="D85" s="19" t="s">
        <v>31</v>
      </c>
      <c r="E85" s="23">
        <v>1.0</v>
      </c>
      <c r="F85" s="34" t="s">
        <v>208</v>
      </c>
      <c r="G85" s="59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0.0</v>
      </c>
      <c r="D86" s="19" t="s">
        <v>31</v>
      </c>
      <c r="E86" s="23">
        <v>3.0</v>
      </c>
      <c r="F86" s="34" t="s">
        <v>210</v>
      </c>
      <c r="G86" s="59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3</v>
      </c>
      <c r="N86" s="19" t="str">
        <f t="shared" ref="N86:N89" si="136">SUM(INDIRECT($AC86),INDIRECT($AD86),INDIRECT($AE86))</f>
        <v>6</v>
      </c>
      <c r="O86" s="19" t="str">
        <f t="shared" ref="O86:O89" si="137">SUM(INDIRECT($AF86),INDIRECT($AG86),INDIRECT($AH86))</f>
        <v>3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5.0</v>
      </c>
      <c r="D87" s="19" t="s">
        <v>31</v>
      </c>
      <c r="E87" s="23">
        <v>0.0</v>
      </c>
      <c r="F87" s="34" t="s">
        <v>209</v>
      </c>
      <c r="G87" s="59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9</v>
      </c>
      <c r="N87" s="19" t="str">
        <f t="shared" si="136"/>
        <v>11</v>
      </c>
      <c r="O87" s="19" t="str">
        <f t="shared" si="137"/>
        <v>2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59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2.0</v>
      </c>
      <c r="D88" s="19" t="s">
        <v>31</v>
      </c>
      <c r="E88" s="23">
        <v>1.0</v>
      </c>
      <c r="F88" s="34" t="s">
        <v>208</v>
      </c>
      <c r="G88" s="59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-2</v>
      </c>
      <c r="N88" s="19" t="str">
        <f t="shared" si="136"/>
        <v>4</v>
      </c>
      <c r="O88" s="19" t="str">
        <f t="shared" si="137"/>
        <v>6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59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2.0</v>
      </c>
      <c r="D89" s="19" t="s">
        <v>31</v>
      </c>
      <c r="E89" s="23">
        <v>0.0</v>
      </c>
      <c r="F89" s="34" t="s">
        <v>209</v>
      </c>
      <c r="G89" s="59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-10</v>
      </c>
      <c r="N89" s="38" t="str">
        <f t="shared" si="136"/>
        <v>0</v>
      </c>
      <c r="O89" s="38" t="str">
        <f t="shared" si="137"/>
        <v>10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59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1.0</v>
      </c>
      <c r="D90" s="38" t="s">
        <v>31</v>
      </c>
      <c r="E90" s="42">
        <v>2.0</v>
      </c>
      <c r="F90" s="43" t="s">
        <v>207</v>
      </c>
      <c r="G90" s="59"/>
      <c r="H90" s="44">
        <v>46200.0</v>
      </c>
      <c r="I90" s="45">
        <v>0.854166666666667</v>
      </c>
      <c r="J90" s="27"/>
      <c r="K90" s="46"/>
      <c r="S90" s="59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59"/>
      <c r="H92" s="16" t="s">
        <v>28</v>
      </c>
      <c r="I92" s="17" t="s">
        <v>29</v>
      </c>
      <c r="J92" s="18"/>
      <c r="K92" s="59"/>
      <c r="L92" s="59"/>
      <c r="M92" s="59"/>
      <c r="N92" s="59"/>
      <c r="O92" s="59"/>
      <c r="P92" s="59"/>
      <c r="Q92" s="59"/>
      <c r="R92" s="59"/>
      <c r="S92" s="59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3.0</v>
      </c>
      <c r="D93" s="19" t="s">
        <v>31</v>
      </c>
      <c r="E93" s="23">
        <v>2.0</v>
      </c>
      <c r="F93" s="34" t="s">
        <v>225</v>
      </c>
      <c r="G93" s="59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2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1</v>
      </c>
      <c r="AA93" s="33" t="str">
        <f>IF(AND(ISNUMBER(RESULTADOS!C93),ISNUMBER(RESULTADOS!E93),ISNUMBER(C93),ISNUMBER(E93),AND(Z93=1,OR(C93=RESULTADOS!C93,E93=RESULTADOS!E93))),1,0)</f>
        <v>1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3.0</v>
      </c>
      <c r="D94" s="19" t="s">
        <v>31</v>
      </c>
      <c r="E94" s="23">
        <v>0.0</v>
      </c>
      <c r="F94" s="34" t="s">
        <v>227</v>
      </c>
      <c r="G94" s="59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6</v>
      </c>
      <c r="M94" s="19" t="str">
        <f t="shared" ref="M94:M97" si="148">N94-O94</f>
        <v>3</v>
      </c>
      <c r="N94" s="19" t="str">
        <f t="shared" ref="N94:N97" si="149">SUM(INDIRECT($AC94),INDIRECT($AD94),INDIRECT($AE94))</f>
        <v>8</v>
      </c>
      <c r="O94" s="19" t="str">
        <f t="shared" ref="O94:O97" si="150">SUM(INDIRECT($AF94),INDIRECT($AG94),INDIRECT($AH94))</f>
        <v>5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0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1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2.0</v>
      </c>
      <c r="D95" s="19" t="s">
        <v>31</v>
      </c>
      <c r="E95" s="23">
        <v>1.0</v>
      </c>
      <c r="F95" s="34" t="s">
        <v>226</v>
      </c>
      <c r="G95" s="59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1</v>
      </c>
      <c r="N95" s="19" t="str">
        <f t="shared" si="149"/>
        <v>6</v>
      </c>
      <c r="O95" s="19" t="str">
        <f t="shared" si="150"/>
        <v>5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59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0.0</v>
      </c>
      <c r="D96" s="19" t="s">
        <v>31</v>
      </c>
      <c r="E96" s="23">
        <v>3.0</v>
      </c>
      <c r="F96" s="34" t="s">
        <v>225</v>
      </c>
      <c r="G96" s="59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9</v>
      </c>
      <c r="M96" s="19" t="str">
        <f t="shared" si="148"/>
        <v>4</v>
      </c>
      <c r="N96" s="19" t="str">
        <f t="shared" si="149"/>
        <v>7</v>
      </c>
      <c r="O96" s="19" t="str">
        <f t="shared" si="150"/>
        <v>3</v>
      </c>
      <c r="P96" s="19" t="str">
        <f t="shared" si="151"/>
        <v>3</v>
      </c>
      <c r="Q96" s="19" t="str">
        <f t="shared" si="152"/>
        <v>0</v>
      </c>
      <c r="R96" s="36" t="str">
        <f t="shared" si="153"/>
        <v>0</v>
      </c>
      <c r="S96" s="59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3.0</v>
      </c>
      <c r="D97" s="19" t="s">
        <v>31</v>
      </c>
      <c r="E97" s="23">
        <v>2.0</v>
      </c>
      <c r="F97" s="34" t="s">
        <v>226</v>
      </c>
      <c r="G97" s="59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-8</v>
      </c>
      <c r="N97" s="38" t="str">
        <f t="shared" si="149"/>
        <v>0</v>
      </c>
      <c r="O97" s="38" t="str">
        <f t="shared" si="150"/>
        <v>8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59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2.0</v>
      </c>
      <c r="F98" s="43" t="s">
        <v>224</v>
      </c>
      <c r="G98" s="59"/>
      <c r="H98" s="44">
        <v>46200.0</v>
      </c>
      <c r="I98" s="45">
        <v>0.75</v>
      </c>
      <c r="J98" s="27"/>
      <c r="K98" s="46"/>
      <c r="S98" s="59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59"/>
      <c r="D1" s="59"/>
      <c r="E1" s="59"/>
      <c r="F1" s="59"/>
      <c r="G1" s="59"/>
      <c r="H1" s="3"/>
      <c r="I1" s="59"/>
      <c r="J1" s="59"/>
      <c r="K1" s="3"/>
      <c r="L1" s="59"/>
      <c r="M1" s="59"/>
      <c r="N1" s="59"/>
      <c r="O1" s="59"/>
      <c r="P1" s="59"/>
      <c r="Q1" s="59"/>
      <c r="R1" s="59"/>
      <c r="S1" s="59"/>
      <c r="T1" s="3"/>
      <c r="U1" s="4"/>
      <c r="V1" s="59"/>
      <c r="W1" s="59"/>
      <c r="X1" s="59"/>
      <c r="Y1" s="6"/>
      <c r="Z1" s="7"/>
      <c r="AA1" s="7"/>
      <c r="AB1" s="7"/>
      <c r="AC1" s="7"/>
      <c r="AD1" s="7"/>
      <c r="AE1" s="7"/>
      <c r="AF1" s="7"/>
      <c r="AG1" s="7"/>
      <c r="AH1" s="7"/>
      <c r="AI1" s="59"/>
      <c r="AJ1" s="59"/>
      <c r="AK1" s="59"/>
      <c r="AL1" s="59"/>
      <c r="AM1" s="59"/>
      <c r="AN1" s="59"/>
      <c r="AO1" s="59"/>
      <c r="AP1" s="59"/>
      <c r="AQ1" s="59"/>
      <c r="AR1" s="59"/>
    </row>
    <row r="2" ht="18.75" customHeight="1">
      <c r="B2" s="8" t="s">
        <v>248</v>
      </c>
      <c r="C2" s="9"/>
      <c r="D2" s="9"/>
      <c r="E2" s="9"/>
      <c r="F2" s="10"/>
      <c r="G2" s="59"/>
      <c r="H2" s="11" t="s">
        <v>23</v>
      </c>
      <c r="I2" s="10"/>
      <c r="J2" s="59"/>
      <c r="K2" s="11" t="s">
        <v>24</v>
      </c>
      <c r="L2" s="9"/>
      <c r="M2" s="9"/>
      <c r="N2" s="9"/>
      <c r="O2" s="9"/>
      <c r="P2" s="9"/>
      <c r="Q2" s="9"/>
      <c r="R2" s="10"/>
      <c r="S2" s="59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59"/>
      <c r="AJ2" s="59"/>
      <c r="AK2" s="59"/>
      <c r="AL2" s="59"/>
      <c r="AM2" s="59"/>
      <c r="AN2" s="59"/>
      <c r="AO2" s="59"/>
      <c r="AP2" s="59"/>
      <c r="AQ2" s="59"/>
      <c r="AR2" s="59"/>
    </row>
    <row r="3" ht="15.0" customHeight="1">
      <c r="C3" s="59"/>
      <c r="D3" s="59"/>
      <c r="E3" s="59"/>
      <c r="F3" s="59"/>
      <c r="G3" s="59"/>
      <c r="H3" s="59"/>
      <c r="I3" s="59"/>
      <c r="J3" s="59"/>
      <c r="K3" s="3"/>
      <c r="L3" s="59"/>
      <c r="M3" s="59"/>
      <c r="N3" s="59"/>
      <c r="O3" s="59"/>
      <c r="P3" s="59"/>
      <c r="Q3" s="59"/>
      <c r="R3" s="59"/>
      <c r="S3" s="59"/>
      <c r="T3" s="13" t="s">
        <v>26</v>
      </c>
      <c r="U3" s="14" t="str">
        <f>SUM(U5:U10,U13:U18,U21:U26,U29:U34,U37:U42,U45:U50,U53:U58,U61:U66)</f>
        <v>5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59"/>
      <c r="H4" s="16" t="s">
        <v>28</v>
      </c>
      <c r="I4" s="17" t="s">
        <v>29</v>
      </c>
      <c r="J4" s="18"/>
      <c r="K4" s="59"/>
      <c r="L4" s="59"/>
      <c r="M4" s="59"/>
      <c r="N4" s="59"/>
      <c r="O4" s="59"/>
      <c r="P4" s="59"/>
      <c r="Q4" s="59"/>
      <c r="R4" s="59"/>
      <c r="S4" s="59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1.0</v>
      </c>
      <c r="D5" s="19" t="s">
        <v>31</v>
      </c>
      <c r="E5" s="23">
        <v>1.0</v>
      </c>
      <c r="F5" s="24" t="s">
        <v>32</v>
      </c>
      <c r="G5" s="59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0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0</v>
      </c>
      <c r="AA5" s="33" t="str">
        <f>IF(AND(ISNUMBER(RESULTADOS!C5),ISNUMBER(RESULTADOS!E5),ISNUMBER(C5),ISNUMBER(E5),AND(Z5=1,OR(C5=RESULTADOS!C5,E5=RESULTADOS!E5))),1,0)</f>
        <v>0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2.0</v>
      </c>
      <c r="D6" s="19" t="s">
        <v>31</v>
      </c>
      <c r="E6" s="23">
        <v>2.0</v>
      </c>
      <c r="F6" s="34" t="s">
        <v>41</v>
      </c>
      <c r="G6" s="59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2</v>
      </c>
      <c r="M6" s="19" t="str">
        <f t="shared" ref="M6:M9" si="5">N6-O6</f>
        <v>-2</v>
      </c>
      <c r="N6" s="19" t="str">
        <f t="shared" ref="N6:N9" si="6">SUM(INDIRECT($AC6),INDIRECT($AD6),INDIRECT($AE6))</f>
        <v>5</v>
      </c>
      <c r="O6" s="19" t="str">
        <f t="shared" ref="O6:O9" si="7">SUM(INDIRECT($AF6),INDIRECT($AG6),INDIRECT($AH6))</f>
        <v>7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0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2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3.0</v>
      </c>
      <c r="D7" s="19" t="s">
        <v>31</v>
      </c>
      <c r="E7" s="23">
        <v>1.0</v>
      </c>
      <c r="F7" s="34" t="s">
        <v>32</v>
      </c>
      <c r="G7" s="59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7</v>
      </c>
      <c r="M7" s="19" t="str">
        <f t="shared" si="5"/>
        <v>4</v>
      </c>
      <c r="N7" s="19" t="str">
        <f t="shared" si="6"/>
        <v>6</v>
      </c>
      <c r="O7" s="19" t="str">
        <f t="shared" si="7"/>
        <v>2</v>
      </c>
      <c r="P7" s="19" t="str">
        <f t="shared" si="8"/>
        <v>2</v>
      </c>
      <c r="Q7" s="19" t="str">
        <f t="shared" si="9"/>
        <v>1</v>
      </c>
      <c r="R7" s="36" t="str">
        <f t="shared" si="10"/>
        <v>0</v>
      </c>
      <c r="S7" s="59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3.0</v>
      </c>
      <c r="D8" s="19" t="s">
        <v>31</v>
      </c>
      <c r="E8" s="23">
        <v>1.0</v>
      </c>
      <c r="F8" s="34" t="s">
        <v>40</v>
      </c>
      <c r="G8" s="59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4</v>
      </c>
      <c r="M8" s="19" t="str">
        <f t="shared" si="5"/>
        <v>0</v>
      </c>
      <c r="N8" s="19" t="str">
        <f t="shared" si="6"/>
        <v>5</v>
      </c>
      <c r="O8" s="19" t="str">
        <f t="shared" si="7"/>
        <v>5</v>
      </c>
      <c r="P8" s="19" t="str">
        <f t="shared" si="8"/>
        <v>1</v>
      </c>
      <c r="Q8" s="19" t="str">
        <f t="shared" si="9"/>
        <v>1</v>
      </c>
      <c r="R8" s="36" t="str">
        <f t="shared" si="10"/>
        <v>1</v>
      </c>
      <c r="S8" s="59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2.0</v>
      </c>
      <c r="D9" s="19" t="s">
        <v>31</v>
      </c>
      <c r="E9" s="23">
        <v>2.0</v>
      </c>
      <c r="F9" s="34" t="s">
        <v>40</v>
      </c>
      <c r="G9" s="59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2</v>
      </c>
      <c r="M9" s="38" t="str">
        <f t="shared" si="5"/>
        <v>-2</v>
      </c>
      <c r="N9" s="38" t="str">
        <f t="shared" si="6"/>
        <v>4</v>
      </c>
      <c r="O9" s="38" t="str">
        <f t="shared" si="7"/>
        <v>6</v>
      </c>
      <c r="P9" s="38" t="str">
        <f t="shared" si="8"/>
        <v>0</v>
      </c>
      <c r="Q9" s="38" t="str">
        <f t="shared" si="9"/>
        <v>2</v>
      </c>
      <c r="R9" s="39" t="str">
        <f t="shared" si="10"/>
        <v>1</v>
      </c>
      <c r="S9" s="59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0.0</v>
      </c>
      <c r="D10" s="38" t="s">
        <v>31</v>
      </c>
      <c r="E10" s="42">
        <v>2.0</v>
      </c>
      <c r="F10" s="43" t="s">
        <v>30</v>
      </c>
      <c r="G10" s="59"/>
      <c r="H10" s="44">
        <v>46197.0</v>
      </c>
      <c r="I10" s="45">
        <v>0.916666666666667</v>
      </c>
      <c r="J10" s="27"/>
      <c r="K10" s="31"/>
      <c r="S10" s="59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59"/>
      <c r="H12" s="16" t="s">
        <v>28</v>
      </c>
      <c r="I12" s="17" t="s">
        <v>29</v>
      </c>
      <c r="J12" s="18"/>
      <c r="K12" s="59"/>
      <c r="L12" s="59"/>
      <c r="M12" s="59"/>
      <c r="N12" s="59"/>
      <c r="O12" s="59"/>
      <c r="P12" s="59"/>
      <c r="Q12" s="59"/>
      <c r="R12" s="59"/>
      <c r="S12" s="59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0.0</v>
      </c>
      <c r="D13" s="19" t="s">
        <v>31</v>
      </c>
      <c r="E13" s="23">
        <v>3.0</v>
      </c>
      <c r="F13" s="24" t="s">
        <v>56</v>
      </c>
      <c r="G13" s="59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2.0</v>
      </c>
      <c r="D14" s="19" t="s">
        <v>31</v>
      </c>
      <c r="E14" s="23">
        <v>1.0</v>
      </c>
      <c r="F14" s="24" t="s">
        <v>58</v>
      </c>
      <c r="G14" s="59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4</v>
      </c>
      <c r="M14" s="19" t="str">
        <f t="shared" ref="M14:M17" si="18">N14-O14</f>
        <v>1</v>
      </c>
      <c r="N14" s="19" t="str">
        <f t="shared" ref="N14:N17" si="19">SUM(INDIRECT($AC14),INDIRECT($AD14),INDIRECT($AE14))</f>
        <v>3</v>
      </c>
      <c r="O14" s="19" t="str">
        <f t="shared" ref="O14:O17" si="20">SUM(INDIRECT($AF14),INDIRECT($AG14),INDIRECT($AH14))</f>
        <v>2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1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0.0</v>
      </c>
      <c r="D15" s="19" t="s">
        <v>31</v>
      </c>
      <c r="E15" s="23">
        <v>0.0</v>
      </c>
      <c r="F15" s="24" t="s">
        <v>56</v>
      </c>
      <c r="G15" s="59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0</v>
      </c>
      <c r="M15" s="19" t="str">
        <f t="shared" si="18"/>
        <v>-6</v>
      </c>
      <c r="N15" s="19" t="str">
        <f t="shared" si="19"/>
        <v>1</v>
      </c>
      <c r="O15" s="19" t="str">
        <f t="shared" si="20"/>
        <v>7</v>
      </c>
      <c r="P15" s="19" t="str">
        <f t="shared" si="21"/>
        <v>0</v>
      </c>
      <c r="Q15" s="19" t="str">
        <f t="shared" si="22"/>
        <v>0</v>
      </c>
      <c r="R15" s="36" t="str">
        <f t="shared" si="23"/>
        <v>3</v>
      </c>
      <c r="S15" s="59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1.0</v>
      </c>
      <c r="D16" s="19" t="s">
        <v>31</v>
      </c>
      <c r="E16" s="23">
        <v>3.0</v>
      </c>
      <c r="F16" s="24" t="s">
        <v>57</v>
      </c>
      <c r="G16" s="59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9</v>
      </c>
      <c r="M16" s="19" t="str">
        <f t="shared" si="18"/>
        <v>5</v>
      </c>
      <c r="N16" s="19" t="str">
        <f t="shared" si="19"/>
        <v>7</v>
      </c>
      <c r="O16" s="19" t="str">
        <f t="shared" si="20"/>
        <v>2</v>
      </c>
      <c r="P16" s="19" t="str">
        <f t="shared" si="21"/>
        <v>3</v>
      </c>
      <c r="Q16" s="19" t="str">
        <f t="shared" si="22"/>
        <v>0</v>
      </c>
      <c r="R16" s="36" t="str">
        <f t="shared" si="23"/>
        <v>0</v>
      </c>
      <c r="S16" s="59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1.0</v>
      </c>
      <c r="D17" s="19" t="s">
        <v>31</v>
      </c>
      <c r="E17" s="23">
        <v>0.0</v>
      </c>
      <c r="F17" s="24" t="s">
        <v>55</v>
      </c>
      <c r="G17" s="59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4</v>
      </c>
      <c r="M17" s="38" t="str">
        <f t="shared" si="18"/>
        <v>0</v>
      </c>
      <c r="N17" s="38" t="str">
        <f t="shared" si="19"/>
        <v>2</v>
      </c>
      <c r="O17" s="38" t="str">
        <f t="shared" si="20"/>
        <v>2</v>
      </c>
      <c r="P17" s="38" t="str">
        <f t="shared" si="21"/>
        <v>1</v>
      </c>
      <c r="Q17" s="38" t="str">
        <f t="shared" si="22"/>
        <v>1</v>
      </c>
      <c r="R17" s="39" t="str">
        <f t="shared" si="23"/>
        <v>1</v>
      </c>
      <c r="S17" s="59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0.0</v>
      </c>
      <c r="D18" s="38" t="s">
        <v>31</v>
      </c>
      <c r="E18" s="42">
        <v>2.0</v>
      </c>
      <c r="F18" s="48" t="s">
        <v>57</v>
      </c>
      <c r="G18" s="59"/>
      <c r="H18" s="44">
        <v>46197.0</v>
      </c>
      <c r="I18" s="45">
        <v>0.666666666666667</v>
      </c>
      <c r="J18" s="27"/>
      <c r="K18" s="31"/>
      <c r="S18" s="59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59"/>
      <c r="H20" s="16" t="s">
        <v>28</v>
      </c>
      <c r="I20" s="17" t="s">
        <v>29</v>
      </c>
      <c r="J20" s="18"/>
      <c r="K20" s="59"/>
      <c r="L20" s="59"/>
      <c r="M20" s="59"/>
      <c r="N20" s="59"/>
      <c r="O20" s="59"/>
      <c r="P20" s="59"/>
      <c r="Q20" s="59"/>
      <c r="R20" s="59"/>
      <c r="S20" s="59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2.0</v>
      </c>
      <c r="D21" s="19" t="s">
        <v>31</v>
      </c>
      <c r="E21" s="23">
        <v>2.0</v>
      </c>
      <c r="F21" s="24" t="s">
        <v>73</v>
      </c>
      <c r="G21" s="59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2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2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1.0</v>
      </c>
      <c r="D22" s="19" t="s">
        <v>31</v>
      </c>
      <c r="E22" s="23">
        <v>3.0</v>
      </c>
      <c r="F22" s="24" t="s">
        <v>75</v>
      </c>
      <c r="G22" s="59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7</v>
      </c>
      <c r="M22" s="19" t="str">
        <f t="shared" ref="M22:M25" si="31">N22-O22</f>
        <v>4</v>
      </c>
      <c r="N22" s="19" t="str">
        <f t="shared" ref="N22:N25" si="32">SUM(INDIRECT($AC22),INDIRECT($AD22),INDIRECT($AE22))</f>
        <v>8</v>
      </c>
      <c r="O22" s="19" t="str">
        <f t="shared" ref="O22:O25" si="33">SUM(INDIRECT($AF22),INDIRECT($AG22),INDIRECT($AH22))</f>
        <v>4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2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1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1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3.0</v>
      </c>
      <c r="F23" s="24" t="s">
        <v>73</v>
      </c>
      <c r="G23" s="59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-1</v>
      </c>
      <c r="N23" s="19" t="str">
        <f t="shared" si="32"/>
        <v>5</v>
      </c>
      <c r="O23" s="19" t="str">
        <f t="shared" si="33"/>
        <v>6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59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4.0</v>
      </c>
      <c r="D24" s="19" t="s">
        <v>31</v>
      </c>
      <c r="E24" s="23">
        <v>1.0</v>
      </c>
      <c r="F24" s="24" t="s">
        <v>74</v>
      </c>
      <c r="G24" s="59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-8</v>
      </c>
      <c r="N24" s="19" t="str">
        <f t="shared" si="32"/>
        <v>2</v>
      </c>
      <c r="O24" s="19" t="str">
        <f t="shared" si="33"/>
        <v>10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59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3.0</v>
      </c>
      <c r="D25" s="19" t="s">
        <v>31</v>
      </c>
      <c r="E25" s="23">
        <v>0.0</v>
      </c>
      <c r="F25" s="24" t="s">
        <v>74</v>
      </c>
      <c r="G25" s="59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7</v>
      </c>
      <c r="M25" s="38" t="str">
        <f t="shared" si="31"/>
        <v>5</v>
      </c>
      <c r="N25" s="38" t="str">
        <f t="shared" si="32"/>
        <v>8</v>
      </c>
      <c r="O25" s="38" t="str">
        <f t="shared" si="33"/>
        <v>3</v>
      </c>
      <c r="P25" s="38" t="str">
        <f t="shared" si="34"/>
        <v>2</v>
      </c>
      <c r="Q25" s="38" t="str">
        <f t="shared" si="35"/>
        <v>1</v>
      </c>
      <c r="R25" s="39" t="str">
        <f t="shared" si="36"/>
        <v>0</v>
      </c>
      <c r="S25" s="59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1.0</v>
      </c>
      <c r="D26" s="38" t="s">
        <v>31</v>
      </c>
      <c r="E26" s="42">
        <v>2.0</v>
      </c>
      <c r="F26" s="48" t="s">
        <v>72</v>
      </c>
      <c r="G26" s="59"/>
      <c r="H26" s="44">
        <v>46197.0</v>
      </c>
      <c r="I26" s="45">
        <v>0.791666666666667</v>
      </c>
      <c r="J26" s="27"/>
      <c r="K26" s="46"/>
      <c r="S26" s="59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59"/>
      <c r="H28" s="16" t="s">
        <v>28</v>
      </c>
      <c r="I28" s="17" t="s">
        <v>29</v>
      </c>
      <c r="J28" s="18"/>
      <c r="K28" s="59"/>
      <c r="L28" s="59"/>
      <c r="M28" s="59"/>
      <c r="N28" s="59"/>
      <c r="O28" s="59"/>
      <c r="P28" s="59"/>
      <c r="Q28" s="59"/>
      <c r="R28" s="59"/>
      <c r="S28" s="59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2.0</v>
      </c>
      <c r="D29" s="19" t="s">
        <v>31</v>
      </c>
      <c r="E29" s="23">
        <v>2.0</v>
      </c>
      <c r="F29" s="24" t="s">
        <v>90</v>
      </c>
      <c r="G29" s="59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0.0</v>
      </c>
      <c r="D30" s="19" t="s">
        <v>31</v>
      </c>
      <c r="E30" s="23">
        <v>2.0</v>
      </c>
      <c r="F30" s="24" t="s">
        <v>92</v>
      </c>
      <c r="G30" s="59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0</v>
      </c>
      <c r="M30" s="19" t="str">
        <f t="shared" ref="M30:M33" si="44">N30-O30</f>
        <v>-5</v>
      </c>
      <c r="N30" s="19" t="str">
        <f t="shared" ref="N30:N33" si="45">SUM(INDIRECT($AC30),INDIRECT($AD30),INDIRECT($AE30))</f>
        <v>2</v>
      </c>
      <c r="O30" s="19" t="str">
        <f t="shared" ref="O30:O33" si="46">SUM(INDIRECT($AF30),INDIRECT($AG30),INDIRECT($AH30))</f>
        <v>7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3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3.0</v>
      </c>
      <c r="D31" s="19" t="s">
        <v>31</v>
      </c>
      <c r="E31" s="23">
        <v>1.0</v>
      </c>
      <c r="F31" s="24" t="s">
        <v>91</v>
      </c>
      <c r="G31" s="59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7</v>
      </c>
      <c r="M31" s="19" t="str">
        <f t="shared" si="44"/>
        <v>3</v>
      </c>
      <c r="N31" s="19" t="str">
        <f t="shared" si="45"/>
        <v>7</v>
      </c>
      <c r="O31" s="19" t="str">
        <f t="shared" si="46"/>
        <v>4</v>
      </c>
      <c r="P31" s="19" t="str">
        <f t="shared" si="47"/>
        <v>2</v>
      </c>
      <c r="Q31" s="19" t="str">
        <f t="shared" si="48"/>
        <v>1</v>
      </c>
      <c r="R31" s="36" t="str">
        <f t="shared" si="49"/>
        <v>0</v>
      </c>
      <c r="S31" s="59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1.0</v>
      </c>
      <c r="D32" s="19" t="s">
        <v>31</v>
      </c>
      <c r="E32" s="23">
        <v>2.0</v>
      </c>
      <c r="F32" s="24" t="s">
        <v>90</v>
      </c>
      <c r="G32" s="59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4</v>
      </c>
      <c r="M32" s="19" t="str">
        <f t="shared" si="44"/>
        <v>0</v>
      </c>
      <c r="N32" s="19" t="str">
        <f t="shared" si="45"/>
        <v>5</v>
      </c>
      <c r="O32" s="19" t="str">
        <f t="shared" si="46"/>
        <v>5</v>
      </c>
      <c r="P32" s="19" t="str">
        <f t="shared" si="47"/>
        <v>1</v>
      </c>
      <c r="Q32" s="19" t="str">
        <f t="shared" si="48"/>
        <v>1</v>
      </c>
      <c r="R32" s="36" t="str">
        <f t="shared" si="49"/>
        <v>1</v>
      </c>
      <c r="S32" s="59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1.0</v>
      </c>
      <c r="D33" s="19" t="s">
        <v>31</v>
      </c>
      <c r="E33" s="23">
        <v>2.0</v>
      </c>
      <c r="F33" s="24" t="s">
        <v>89</v>
      </c>
      <c r="G33" s="59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3</v>
      </c>
      <c r="M33" s="38" t="str">
        <f t="shared" si="44"/>
        <v>0</v>
      </c>
      <c r="N33" s="38" t="str">
        <f t="shared" si="45"/>
        <v>4</v>
      </c>
      <c r="O33" s="38" t="str">
        <f t="shared" si="46"/>
        <v>4</v>
      </c>
      <c r="P33" s="38" t="str">
        <f t="shared" si="47"/>
        <v>1</v>
      </c>
      <c r="Q33" s="38" t="str">
        <f t="shared" si="48"/>
        <v>0</v>
      </c>
      <c r="R33" s="39" t="str">
        <f t="shared" si="49"/>
        <v>2</v>
      </c>
      <c r="S33" s="59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2.0</v>
      </c>
      <c r="D34" s="38" t="s">
        <v>31</v>
      </c>
      <c r="E34" s="42">
        <v>1.0</v>
      </c>
      <c r="F34" s="48" t="s">
        <v>91</v>
      </c>
      <c r="G34" s="59"/>
      <c r="H34" s="44">
        <v>46198.0</v>
      </c>
      <c r="I34" s="45">
        <v>0.958333333333333</v>
      </c>
      <c r="J34" s="27"/>
      <c r="K34" s="46"/>
      <c r="S34" s="59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59"/>
      <c r="H36" s="16" t="s">
        <v>28</v>
      </c>
      <c r="I36" s="17" t="s">
        <v>29</v>
      </c>
      <c r="J36" s="18"/>
      <c r="K36" s="59"/>
      <c r="L36" s="59"/>
      <c r="M36" s="59"/>
      <c r="N36" s="59"/>
      <c r="O36" s="59"/>
      <c r="P36" s="59"/>
      <c r="Q36" s="59"/>
      <c r="R36" s="59"/>
      <c r="S36" s="59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6.0</v>
      </c>
      <c r="D37" s="19" t="s">
        <v>31</v>
      </c>
      <c r="E37" s="23">
        <v>0.0</v>
      </c>
      <c r="F37" s="34" t="s">
        <v>106</v>
      </c>
      <c r="G37" s="59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2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1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3.0</v>
      </c>
      <c r="D38" s="19" t="s">
        <v>31</v>
      </c>
      <c r="E38" s="23">
        <v>3.0</v>
      </c>
      <c r="F38" s="34" t="s">
        <v>108</v>
      </c>
      <c r="G38" s="59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5</v>
      </c>
      <c r="M38" s="19" t="str">
        <f t="shared" ref="M38:M41" si="57">N38-O38</f>
        <v>6</v>
      </c>
      <c r="N38" s="19" t="str">
        <f t="shared" ref="N38:N41" si="58">SUM(INDIRECT($AC38),INDIRECT($AD38),INDIRECT($AE38))</f>
        <v>9</v>
      </c>
      <c r="O38" s="19" t="str">
        <f t="shared" ref="O38:O41" si="59">SUM(INDIRECT($AF38),INDIRECT($AG38),INDIRECT($AH38))</f>
        <v>3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1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2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2.0</v>
      </c>
      <c r="F39" s="34" t="s">
        <v>107</v>
      </c>
      <c r="G39" s="59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5</v>
      </c>
      <c r="M39" s="19" t="str">
        <f t="shared" si="57"/>
        <v>3</v>
      </c>
      <c r="N39" s="19" t="str">
        <f t="shared" si="58"/>
        <v>9</v>
      </c>
      <c r="O39" s="19" t="str">
        <f t="shared" si="59"/>
        <v>6</v>
      </c>
      <c r="P39" s="19" t="str">
        <f t="shared" si="60"/>
        <v>1</v>
      </c>
      <c r="Q39" s="19" t="str">
        <f t="shared" si="61"/>
        <v>2</v>
      </c>
      <c r="R39" s="36" t="str">
        <f t="shared" si="62"/>
        <v>0</v>
      </c>
      <c r="S39" s="59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4.0</v>
      </c>
      <c r="D40" s="19" t="s">
        <v>31</v>
      </c>
      <c r="E40" s="23">
        <v>0.0</v>
      </c>
      <c r="F40" s="34" t="s">
        <v>106</v>
      </c>
      <c r="G40" s="59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-13</v>
      </c>
      <c r="N40" s="19" t="str">
        <f t="shared" si="58"/>
        <v>1</v>
      </c>
      <c r="O40" s="19" t="str">
        <f t="shared" si="59"/>
        <v>14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59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1.0</v>
      </c>
      <c r="D41" s="19" t="s">
        <v>31</v>
      </c>
      <c r="E41" s="23">
        <v>1.0</v>
      </c>
      <c r="F41" s="34" t="s">
        <v>105</v>
      </c>
      <c r="G41" s="59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5</v>
      </c>
      <c r="M41" s="38" t="str">
        <f t="shared" si="57"/>
        <v>4</v>
      </c>
      <c r="N41" s="38" t="str">
        <f t="shared" si="58"/>
        <v>8</v>
      </c>
      <c r="O41" s="38" t="str">
        <f t="shared" si="59"/>
        <v>4</v>
      </c>
      <c r="P41" s="38" t="str">
        <f t="shared" si="60"/>
        <v>1</v>
      </c>
      <c r="Q41" s="38" t="str">
        <f t="shared" si="61"/>
        <v>2</v>
      </c>
      <c r="R41" s="39" t="str">
        <f t="shared" si="62"/>
        <v>0</v>
      </c>
      <c r="S41" s="59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1.0</v>
      </c>
      <c r="D42" s="38" t="s">
        <v>31</v>
      </c>
      <c r="E42" s="42">
        <v>4.0</v>
      </c>
      <c r="F42" s="43" t="s">
        <v>107</v>
      </c>
      <c r="G42" s="59"/>
      <c r="H42" s="44">
        <v>46198.0</v>
      </c>
      <c r="I42" s="45">
        <v>0.708333333333333</v>
      </c>
      <c r="J42" s="27"/>
      <c r="K42" s="46"/>
      <c r="S42" s="59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59"/>
      <c r="H44" s="16" t="s">
        <v>28</v>
      </c>
      <c r="I44" s="17" t="s">
        <v>29</v>
      </c>
      <c r="J44" s="18"/>
      <c r="K44" s="59"/>
      <c r="L44" s="59"/>
      <c r="M44" s="59"/>
      <c r="N44" s="59"/>
      <c r="O44" s="59"/>
      <c r="P44" s="59"/>
      <c r="Q44" s="59"/>
      <c r="R44" s="59"/>
      <c r="S44" s="59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2.0</v>
      </c>
      <c r="D45" s="19" t="s">
        <v>31</v>
      </c>
      <c r="E45" s="23">
        <v>0.0</v>
      </c>
      <c r="F45" s="34" t="s">
        <v>123</v>
      </c>
      <c r="G45" s="59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1.0</v>
      </c>
      <c r="D46" s="19" t="s">
        <v>31</v>
      </c>
      <c r="E46" s="23">
        <v>1.0</v>
      </c>
      <c r="F46" s="34" t="s">
        <v>125</v>
      </c>
      <c r="G46" s="59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9</v>
      </c>
      <c r="M46" s="19" t="str">
        <f t="shared" ref="M46:M49" si="70">N46-O46</f>
        <v>7</v>
      </c>
      <c r="N46" s="19" t="str">
        <f t="shared" ref="N46:N49" si="71">SUM(INDIRECT($AC46),INDIRECT($AD46),INDIRECT($AE46))</f>
        <v>8</v>
      </c>
      <c r="O46" s="19" t="str">
        <f t="shared" ref="O46:O49" si="72">SUM(INDIRECT($AF46),INDIRECT($AG46),INDIRECT($AH46))</f>
        <v>1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3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0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0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3.0</v>
      </c>
      <c r="D47" s="19" t="s">
        <v>31</v>
      </c>
      <c r="E47" s="23">
        <v>1.0</v>
      </c>
      <c r="F47" s="34" t="s">
        <v>124</v>
      </c>
      <c r="G47" s="59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4</v>
      </c>
      <c r="M47" s="19" t="str">
        <f t="shared" si="70"/>
        <v>0</v>
      </c>
      <c r="N47" s="19" t="str">
        <f t="shared" si="71"/>
        <v>3</v>
      </c>
      <c r="O47" s="19" t="str">
        <f t="shared" si="72"/>
        <v>3</v>
      </c>
      <c r="P47" s="19" t="str">
        <f t="shared" si="73"/>
        <v>1</v>
      </c>
      <c r="Q47" s="19" t="str">
        <f t="shared" si="74"/>
        <v>1</v>
      </c>
      <c r="R47" s="36" t="str">
        <f t="shared" si="75"/>
        <v>1</v>
      </c>
      <c r="S47" s="59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0.0</v>
      </c>
      <c r="D48" s="19" t="s">
        <v>31</v>
      </c>
      <c r="E48" s="23">
        <v>2.0</v>
      </c>
      <c r="F48" s="34" t="s">
        <v>123</v>
      </c>
      <c r="G48" s="59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2</v>
      </c>
      <c r="M48" s="19" t="str">
        <f t="shared" si="70"/>
        <v>-2</v>
      </c>
      <c r="N48" s="19" t="str">
        <f t="shared" si="71"/>
        <v>3</v>
      </c>
      <c r="O48" s="19" t="str">
        <f t="shared" si="72"/>
        <v>5</v>
      </c>
      <c r="P48" s="19" t="str">
        <f t="shared" si="73"/>
        <v>0</v>
      </c>
      <c r="Q48" s="19" t="str">
        <f t="shared" si="74"/>
        <v>2</v>
      </c>
      <c r="R48" s="36" t="str">
        <f t="shared" si="75"/>
        <v>1</v>
      </c>
      <c r="S48" s="59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0.0</v>
      </c>
      <c r="D49" s="19" t="s">
        <v>31</v>
      </c>
      <c r="E49" s="23">
        <v>3.0</v>
      </c>
      <c r="F49" s="34" t="s">
        <v>122</v>
      </c>
      <c r="G49" s="59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1</v>
      </c>
      <c r="M49" s="38" t="str">
        <f t="shared" si="70"/>
        <v>-5</v>
      </c>
      <c r="N49" s="38" t="str">
        <f t="shared" si="71"/>
        <v>1</v>
      </c>
      <c r="O49" s="38" t="str">
        <f t="shared" si="72"/>
        <v>6</v>
      </c>
      <c r="P49" s="38" t="str">
        <f t="shared" si="73"/>
        <v>0</v>
      </c>
      <c r="Q49" s="38" t="str">
        <f t="shared" si="74"/>
        <v>1</v>
      </c>
      <c r="R49" s="39" t="str">
        <f t="shared" si="75"/>
        <v>2</v>
      </c>
      <c r="S49" s="59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1.0</v>
      </c>
      <c r="D50" s="38" t="s">
        <v>31</v>
      </c>
      <c r="E50" s="42">
        <v>1.0</v>
      </c>
      <c r="F50" s="43" t="s">
        <v>124</v>
      </c>
      <c r="G50" s="59"/>
      <c r="H50" s="44">
        <v>46198.0</v>
      </c>
      <c r="I50" s="45">
        <v>0.833333333333333</v>
      </c>
      <c r="J50" s="27"/>
      <c r="K50" s="46"/>
      <c r="S50" s="59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59"/>
      <c r="H52" s="16" t="s">
        <v>28</v>
      </c>
      <c r="I52" s="17" t="s">
        <v>29</v>
      </c>
      <c r="J52" s="18"/>
      <c r="K52" s="59"/>
      <c r="L52" s="59"/>
      <c r="M52" s="59"/>
      <c r="N52" s="59"/>
      <c r="O52" s="59"/>
      <c r="P52" s="59"/>
      <c r="Q52" s="59"/>
      <c r="R52" s="59"/>
      <c r="S52" s="59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2.0</v>
      </c>
      <c r="D53" s="19" t="s">
        <v>31</v>
      </c>
      <c r="E53" s="23">
        <v>0.0</v>
      </c>
      <c r="F53" s="34" t="s">
        <v>140</v>
      </c>
      <c r="G53" s="59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2.0</v>
      </c>
      <c r="D54" s="19" t="s">
        <v>31</v>
      </c>
      <c r="E54" s="23">
        <v>0.0</v>
      </c>
      <c r="F54" s="34" t="s">
        <v>142</v>
      </c>
      <c r="G54" s="59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9</v>
      </c>
      <c r="M54" s="19" t="str">
        <f t="shared" ref="M54:M57" si="83">N54-O54</f>
        <v>6</v>
      </c>
      <c r="N54" s="19" t="str">
        <f t="shared" ref="N54:N57" si="84">SUM(INDIRECT($AC54),INDIRECT($AD54),INDIRECT($AE54))</f>
        <v>7</v>
      </c>
      <c r="O54" s="19" t="str">
        <f t="shared" ref="O54:O57" si="85">SUM(INDIRECT($AF54),INDIRECT($AG54),INDIRECT($AH54))</f>
        <v>1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3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2.0</v>
      </c>
      <c r="D55" s="19" t="s">
        <v>31</v>
      </c>
      <c r="E55" s="23">
        <v>1.0</v>
      </c>
      <c r="F55" s="34" t="s">
        <v>141</v>
      </c>
      <c r="G55" s="59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2</v>
      </c>
      <c r="M55" s="19" t="str">
        <f t="shared" si="83"/>
        <v>-2</v>
      </c>
      <c r="N55" s="19" t="str">
        <f t="shared" si="84"/>
        <v>1</v>
      </c>
      <c r="O55" s="19" t="str">
        <f t="shared" si="85"/>
        <v>3</v>
      </c>
      <c r="P55" s="19" t="str">
        <f t="shared" si="86"/>
        <v>0</v>
      </c>
      <c r="Q55" s="19" t="str">
        <f t="shared" si="87"/>
        <v>2</v>
      </c>
      <c r="R55" s="36" t="str">
        <f t="shared" si="88"/>
        <v>1</v>
      </c>
      <c r="S55" s="59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0.0</v>
      </c>
      <c r="F56" s="34" t="s">
        <v>140</v>
      </c>
      <c r="G56" s="59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4</v>
      </c>
      <c r="M56" s="19" t="str">
        <f t="shared" si="83"/>
        <v>1</v>
      </c>
      <c r="N56" s="19" t="str">
        <f t="shared" si="84"/>
        <v>4</v>
      </c>
      <c r="O56" s="19" t="str">
        <f t="shared" si="85"/>
        <v>3</v>
      </c>
      <c r="P56" s="19" t="str">
        <f t="shared" si="86"/>
        <v>1</v>
      </c>
      <c r="Q56" s="19" t="str">
        <f t="shared" si="87"/>
        <v>1</v>
      </c>
      <c r="R56" s="36" t="str">
        <f t="shared" si="88"/>
        <v>1</v>
      </c>
      <c r="S56" s="59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1.0</v>
      </c>
      <c r="D57" s="19" t="s">
        <v>31</v>
      </c>
      <c r="E57" s="23">
        <v>1.0</v>
      </c>
      <c r="F57" s="34" t="s">
        <v>141</v>
      </c>
      <c r="G57" s="59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1</v>
      </c>
      <c r="M57" s="38" t="str">
        <f t="shared" si="83"/>
        <v>-5</v>
      </c>
      <c r="N57" s="38" t="str">
        <f t="shared" si="84"/>
        <v>0</v>
      </c>
      <c r="O57" s="38" t="str">
        <f t="shared" si="85"/>
        <v>5</v>
      </c>
      <c r="P57" s="38" t="str">
        <f t="shared" si="86"/>
        <v>0</v>
      </c>
      <c r="Q57" s="38" t="str">
        <f t="shared" si="87"/>
        <v>1</v>
      </c>
      <c r="R57" s="39" t="str">
        <f t="shared" si="88"/>
        <v>2</v>
      </c>
      <c r="S57" s="59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0.0</v>
      </c>
      <c r="D58" s="38" t="s">
        <v>31</v>
      </c>
      <c r="E58" s="42">
        <v>3.0</v>
      </c>
      <c r="F58" s="43" t="s">
        <v>139</v>
      </c>
      <c r="G58" s="59"/>
      <c r="H58" s="44">
        <v>46200.0</v>
      </c>
      <c r="I58" s="45">
        <v>0.0</v>
      </c>
      <c r="J58" s="27"/>
      <c r="K58" s="46"/>
      <c r="S58" s="59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59"/>
      <c r="H60" s="16" t="s">
        <v>28</v>
      </c>
      <c r="I60" s="17" t="s">
        <v>29</v>
      </c>
      <c r="J60" s="18"/>
      <c r="K60" s="59"/>
      <c r="L60" s="59"/>
      <c r="M60" s="59"/>
      <c r="N60" s="59"/>
      <c r="O60" s="59"/>
      <c r="P60" s="59"/>
      <c r="Q60" s="59"/>
      <c r="R60" s="59"/>
      <c r="S60" s="59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4.0</v>
      </c>
      <c r="D61" s="19" t="s">
        <v>31</v>
      </c>
      <c r="E61" s="23">
        <v>0.0</v>
      </c>
      <c r="F61" s="34" t="s">
        <v>157</v>
      </c>
      <c r="G61" s="59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1.0</v>
      </c>
      <c r="D62" s="19" t="s">
        <v>31</v>
      </c>
      <c r="E62" s="23">
        <v>3.0</v>
      </c>
      <c r="F62" s="34" t="s">
        <v>159</v>
      </c>
      <c r="G62" s="59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1</v>
      </c>
      <c r="M62" s="19" t="str">
        <f t="shared" ref="M62:M65" si="96">N62-O62</f>
        <v>-6</v>
      </c>
      <c r="N62" s="19" t="str">
        <f t="shared" ref="N62:N65" si="97">SUM(INDIRECT($AC62),INDIRECT($AD62),INDIRECT($AE62))</f>
        <v>2</v>
      </c>
      <c r="O62" s="19" t="str">
        <f t="shared" ref="O62:O65" si="98">SUM(INDIRECT($AF62),INDIRECT($AG62),INDIRECT($AH62))</f>
        <v>8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0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1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4.0</v>
      </c>
      <c r="D63" s="19" t="s">
        <v>31</v>
      </c>
      <c r="E63" s="23">
        <v>0.0</v>
      </c>
      <c r="F63" s="34" t="s">
        <v>158</v>
      </c>
      <c r="G63" s="59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1</v>
      </c>
      <c r="M63" s="19" t="str">
        <f t="shared" si="96"/>
        <v>-7</v>
      </c>
      <c r="N63" s="19" t="str">
        <f t="shared" si="97"/>
        <v>1</v>
      </c>
      <c r="O63" s="19" t="str">
        <f t="shared" si="98"/>
        <v>8</v>
      </c>
      <c r="P63" s="19" t="str">
        <f t="shared" si="99"/>
        <v>0</v>
      </c>
      <c r="Q63" s="19" t="str">
        <f t="shared" si="100"/>
        <v>1</v>
      </c>
      <c r="R63" s="36" t="str">
        <f t="shared" si="101"/>
        <v>2</v>
      </c>
      <c r="S63" s="59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3.0</v>
      </c>
      <c r="D64" s="19" t="s">
        <v>31</v>
      </c>
      <c r="E64" s="23">
        <v>0.0</v>
      </c>
      <c r="F64" s="34" t="s">
        <v>157</v>
      </c>
      <c r="G64" s="59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10</v>
      </c>
      <c r="N64" s="19" t="str">
        <f t="shared" si="97"/>
        <v>11</v>
      </c>
      <c r="O64" s="19" t="str">
        <f t="shared" si="98"/>
        <v>1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59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1.0</v>
      </c>
      <c r="D65" s="19" t="s">
        <v>31</v>
      </c>
      <c r="E65" s="23">
        <v>1.0</v>
      </c>
      <c r="F65" s="34" t="s">
        <v>158</v>
      </c>
      <c r="G65" s="59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3</v>
      </c>
      <c r="N65" s="38" t="str">
        <f t="shared" si="97"/>
        <v>7</v>
      </c>
      <c r="O65" s="38" t="str">
        <f t="shared" si="98"/>
        <v>4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59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1.0</v>
      </c>
      <c r="D66" s="38" t="s">
        <v>31</v>
      </c>
      <c r="E66" s="42">
        <v>3.0</v>
      </c>
      <c r="F66" s="43" t="s">
        <v>156</v>
      </c>
      <c r="G66" s="59"/>
      <c r="H66" s="44">
        <v>46199.0</v>
      </c>
      <c r="I66" s="45">
        <v>0.875</v>
      </c>
      <c r="J66" s="27"/>
      <c r="K66" s="46"/>
      <c r="S66" s="59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59"/>
      <c r="H68" s="16" t="s">
        <v>28</v>
      </c>
      <c r="I68" s="17" t="s">
        <v>29</v>
      </c>
      <c r="J68" s="18"/>
      <c r="K68" s="59"/>
      <c r="L68" s="59"/>
      <c r="M68" s="59"/>
      <c r="N68" s="59"/>
      <c r="O68" s="59"/>
      <c r="P68" s="59"/>
      <c r="Q68" s="59"/>
      <c r="R68" s="59"/>
      <c r="S68" s="59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3.0</v>
      </c>
      <c r="D69" s="19" t="s">
        <v>31</v>
      </c>
      <c r="E69" s="23">
        <v>1.0</v>
      </c>
      <c r="F69" s="34" t="s">
        <v>174</v>
      </c>
      <c r="G69" s="59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4</v>
      </c>
      <c r="Y69" s="33" t="str">
        <f>IF(AND(ISNUMBER(RESULTADOS!C69),ISNUMBER(RESULTADOS!E69),ISNUMBER(C69),ISNUMBER(E69),C69=RESULTADOS!C69,E69=RESULTADOS!E69),2,0)</f>
        <v>2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0.0</v>
      </c>
      <c r="F70" s="34" t="s">
        <v>176</v>
      </c>
      <c r="G70" s="59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7</v>
      </c>
      <c r="N70" s="19" t="str">
        <f t="shared" ref="N70:N73" si="110">SUM(INDIRECT($AC70),INDIRECT($AD70),INDIRECT($AE70))</f>
        <v>8</v>
      </c>
      <c r="O70" s="19" t="str">
        <f t="shared" ref="O70:O73" si="111">SUM(INDIRECT($AF70),INDIRECT($AG70),INDIRECT($AH70))</f>
        <v>1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0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0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3.0</v>
      </c>
      <c r="D71" s="19" t="s">
        <v>31</v>
      </c>
      <c r="E71" s="23">
        <v>0.0</v>
      </c>
      <c r="F71" s="34" t="s">
        <v>175</v>
      </c>
      <c r="G71" s="59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1</v>
      </c>
      <c r="M71" s="19" t="str">
        <f t="shared" si="109"/>
        <v>-5</v>
      </c>
      <c r="N71" s="19" t="str">
        <f t="shared" si="110"/>
        <v>0</v>
      </c>
      <c r="O71" s="19" t="str">
        <f t="shared" si="111"/>
        <v>5</v>
      </c>
      <c r="P71" s="19" t="str">
        <f t="shared" si="112"/>
        <v>0</v>
      </c>
      <c r="Q71" s="19" t="str">
        <f t="shared" si="113"/>
        <v>1</v>
      </c>
      <c r="R71" s="36" t="str">
        <f t="shared" si="114"/>
        <v>2</v>
      </c>
      <c r="S71" s="59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1.0</v>
      </c>
      <c r="D72" s="19" t="s">
        <v>31</v>
      </c>
      <c r="E72" s="23">
        <v>2.0</v>
      </c>
      <c r="F72" s="34" t="s">
        <v>174</v>
      </c>
      <c r="G72" s="59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1</v>
      </c>
      <c r="M72" s="19" t="str">
        <f t="shared" si="109"/>
        <v>-3</v>
      </c>
      <c r="N72" s="19" t="str">
        <f t="shared" si="110"/>
        <v>1</v>
      </c>
      <c r="O72" s="19" t="str">
        <f t="shared" si="111"/>
        <v>4</v>
      </c>
      <c r="P72" s="19" t="str">
        <f t="shared" si="112"/>
        <v>0</v>
      </c>
      <c r="Q72" s="19" t="str">
        <f t="shared" si="113"/>
        <v>1</v>
      </c>
      <c r="R72" s="36" t="str">
        <f t="shared" si="114"/>
        <v>2</v>
      </c>
      <c r="S72" s="59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59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6</v>
      </c>
      <c r="M73" s="38" t="str">
        <f t="shared" si="109"/>
        <v>1</v>
      </c>
      <c r="N73" s="38" t="str">
        <f t="shared" si="110"/>
        <v>5</v>
      </c>
      <c r="O73" s="38" t="str">
        <f t="shared" si="111"/>
        <v>4</v>
      </c>
      <c r="P73" s="38" t="str">
        <f t="shared" si="112"/>
        <v>2</v>
      </c>
      <c r="Q73" s="38" t="str">
        <f t="shared" si="113"/>
        <v>0</v>
      </c>
      <c r="R73" s="39" t="str">
        <f t="shared" si="114"/>
        <v>1</v>
      </c>
      <c r="S73" s="59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0.0</v>
      </c>
      <c r="D74" s="38" t="s">
        <v>31</v>
      </c>
      <c r="E74" s="42">
        <v>2.0</v>
      </c>
      <c r="F74" s="43" t="s">
        <v>173</v>
      </c>
      <c r="G74" s="59"/>
      <c r="H74" s="44">
        <v>46199.0</v>
      </c>
      <c r="I74" s="45">
        <v>0.666666666666667</v>
      </c>
      <c r="J74" s="27"/>
      <c r="K74" s="46"/>
      <c r="S74" s="59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59"/>
      <c r="H76" s="16" t="s">
        <v>28</v>
      </c>
      <c r="I76" s="17" t="s">
        <v>29</v>
      </c>
      <c r="J76" s="18"/>
      <c r="K76" s="59"/>
      <c r="L76" s="59"/>
      <c r="M76" s="59"/>
      <c r="N76" s="59"/>
      <c r="O76" s="59"/>
      <c r="P76" s="59"/>
      <c r="Q76" s="59"/>
      <c r="R76" s="59"/>
      <c r="S76" s="59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2.0</v>
      </c>
      <c r="D77" s="19" t="s">
        <v>31</v>
      </c>
      <c r="E77" s="23">
        <v>1.0</v>
      </c>
      <c r="F77" s="34" t="s">
        <v>191</v>
      </c>
      <c r="G77" s="59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1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0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1.0</v>
      </c>
      <c r="D78" s="19" t="s">
        <v>31</v>
      </c>
      <c r="E78" s="23">
        <v>1.0</v>
      </c>
      <c r="F78" s="34" t="s">
        <v>193</v>
      </c>
      <c r="G78" s="59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5</v>
      </c>
      <c r="N78" s="19" t="str">
        <f t="shared" ref="N78:N81" si="123">SUM(INDIRECT($AC78),INDIRECT($AD78),INDIRECT($AE78))</f>
        <v>6</v>
      </c>
      <c r="O78" s="19" t="str">
        <f t="shared" ref="O78:O81" si="124">SUM(INDIRECT($AF78),INDIRECT($AG78),INDIRECT($AH78))</f>
        <v>1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0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0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1.0</v>
      </c>
      <c r="D79" s="19" t="s">
        <v>31</v>
      </c>
      <c r="E79" s="23">
        <v>0.0</v>
      </c>
      <c r="F79" s="34" t="s">
        <v>192</v>
      </c>
      <c r="G79" s="59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1</v>
      </c>
      <c r="M79" s="19" t="str">
        <f t="shared" si="122"/>
        <v>-3</v>
      </c>
      <c r="N79" s="19" t="str">
        <f t="shared" si="123"/>
        <v>2</v>
      </c>
      <c r="O79" s="19" t="str">
        <f t="shared" si="124"/>
        <v>5</v>
      </c>
      <c r="P79" s="19" t="str">
        <f t="shared" si="125"/>
        <v>0</v>
      </c>
      <c r="Q79" s="19" t="str">
        <f t="shared" si="126"/>
        <v>1</v>
      </c>
      <c r="R79" s="36" t="str">
        <f t="shared" si="127"/>
        <v>2</v>
      </c>
      <c r="S79" s="59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1.0</v>
      </c>
      <c r="D80" s="19" t="s">
        <v>31</v>
      </c>
      <c r="E80" s="23">
        <v>1.0</v>
      </c>
      <c r="F80" s="34" t="s">
        <v>191</v>
      </c>
      <c r="G80" s="59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2</v>
      </c>
      <c r="M80" s="19" t="str">
        <f t="shared" si="122"/>
        <v>-3</v>
      </c>
      <c r="N80" s="19" t="str">
        <f t="shared" si="123"/>
        <v>2</v>
      </c>
      <c r="O80" s="19" t="str">
        <f t="shared" si="124"/>
        <v>5</v>
      </c>
      <c r="P80" s="19" t="str">
        <f t="shared" si="125"/>
        <v>0</v>
      </c>
      <c r="Q80" s="19" t="str">
        <f t="shared" si="126"/>
        <v>2</v>
      </c>
      <c r="R80" s="36" t="str">
        <f t="shared" si="127"/>
        <v>1</v>
      </c>
      <c r="S80" s="59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3.0</v>
      </c>
      <c r="F81" s="34" t="s">
        <v>190</v>
      </c>
      <c r="G81" s="59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4</v>
      </c>
      <c r="M81" s="38" t="str">
        <f t="shared" si="122"/>
        <v>1</v>
      </c>
      <c r="N81" s="38" t="str">
        <f t="shared" si="123"/>
        <v>3</v>
      </c>
      <c r="O81" s="38" t="str">
        <f t="shared" si="124"/>
        <v>2</v>
      </c>
      <c r="P81" s="38" t="str">
        <f t="shared" si="125"/>
        <v>1</v>
      </c>
      <c r="Q81" s="38" t="str">
        <f t="shared" si="126"/>
        <v>1</v>
      </c>
      <c r="R81" s="39" t="str">
        <f t="shared" si="127"/>
        <v>1</v>
      </c>
      <c r="S81" s="59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0.0</v>
      </c>
      <c r="D82" s="38" t="s">
        <v>31</v>
      </c>
      <c r="E82" s="42">
        <v>2.0</v>
      </c>
      <c r="F82" s="43" t="s">
        <v>192</v>
      </c>
      <c r="G82" s="59"/>
      <c r="H82" s="44">
        <v>46200.0</v>
      </c>
      <c r="I82" s="45">
        <v>0.958333333333333</v>
      </c>
      <c r="J82" s="27"/>
      <c r="K82" s="46"/>
      <c r="S82" s="59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59"/>
      <c r="H84" s="16" t="s">
        <v>28</v>
      </c>
      <c r="I84" s="17" t="s">
        <v>29</v>
      </c>
      <c r="J84" s="18"/>
      <c r="K84" s="59"/>
      <c r="L84" s="59"/>
      <c r="M84" s="59"/>
      <c r="N84" s="59"/>
      <c r="O84" s="59"/>
      <c r="P84" s="59"/>
      <c r="Q84" s="59"/>
      <c r="R84" s="59"/>
      <c r="S84" s="59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4.0</v>
      </c>
      <c r="D85" s="19" t="s">
        <v>31</v>
      </c>
      <c r="E85" s="23">
        <v>1.0</v>
      </c>
      <c r="F85" s="34" t="s">
        <v>208</v>
      </c>
      <c r="G85" s="59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1.0</v>
      </c>
      <c r="D86" s="19" t="s">
        <v>31</v>
      </c>
      <c r="E86" s="23">
        <v>4.0</v>
      </c>
      <c r="F86" s="34" t="s">
        <v>210</v>
      </c>
      <c r="G86" s="59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4</v>
      </c>
      <c r="N86" s="19" t="str">
        <f t="shared" ref="N86:N89" si="136">SUM(INDIRECT($AC86),INDIRECT($AD86),INDIRECT($AE86))</f>
        <v>8</v>
      </c>
      <c r="O86" s="19" t="str">
        <f t="shared" ref="O86:O89" si="137">SUM(INDIRECT($AF86),INDIRECT($AG86),INDIRECT($AH86))</f>
        <v>4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4.0</v>
      </c>
      <c r="D87" s="19" t="s">
        <v>31</v>
      </c>
      <c r="E87" s="23">
        <v>0.0</v>
      </c>
      <c r="F87" s="34" t="s">
        <v>209</v>
      </c>
      <c r="G87" s="59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8</v>
      </c>
      <c r="N87" s="19" t="str">
        <f t="shared" si="136"/>
        <v>10</v>
      </c>
      <c r="O87" s="19" t="str">
        <f t="shared" si="137"/>
        <v>2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59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3.0</v>
      </c>
      <c r="D88" s="19" t="s">
        <v>31</v>
      </c>
      <c r="E88" s="23">
        <v>1.0</v>
      </c>
      <c r="F88" s="34" t="s">
        <v>208</v>
      </c>
      <c r="G88" s="59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-2</v>
      </c>
      <c r="N88" s="19" t="str">
        <f t="shared" si="136"/>
        <v>5</v>
      </c>
      <c r="O88" s="19" t="str">
        <f t="shared" si="137"/>
        <v>7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59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3.0</v>
      </c>
      <c r="D89" s="19" t="s">
        <v>31</v>
      </c>
      <c r="E89" s="23">
        <v>0.0</v>
      </c>
      <c r="F89" s="34" t="s">
        <v>209</v>
      </c>
      <c r="G89" s="59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-10</v>
      </c>
      <c r="N89" s="38" t="str">
        <f t="shared" si="136"/>
        <v>1</v>
      </c>
      <c r="O89" s="38" t="str">
        <f t="shared" si="137"/>
        <v>11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59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1.0</v>
      </c>
      <c r="D90" s="38" t="s">
        <v>31</v>
      </c>
      <c r="E90" s="42">
        <v>2.0</v>
      </c>
      <c r="F90" s="43" t="s">
        <v>207</v>
      </c>
      <c r="G90" s="59"/>
      <c r="H90" s="44">
        <v>46200.0</v>
      </c>
      <c r="I90" s="45">
        <v>0.854166666666667</v>
      </c>
      <c r="J90" s="27"/>
      <c r="K90" s="46"/>
      <c r="S90" s="59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59"/>
      <c r="H92" s="16" t="s">
        <v>28</v>
      </c>
      <c r="I92" s="17" t="s">
        <v>29</v>
      </c>
      <c r="J92" s="18"/>
      <c r="K92" s="59"/>
      <c r="L92" s="59"/>
      <c r="M92" s="59"/>
      <c r="N92" s="59"/>
      <c r="O92" s="59"/>
      <c r="P92" s="59"/>
      <c r="Q92" s="59"/>
      <c r="R92" s="59"/>
      <c r="S92" s="59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1.0</v>
      </c>
      <c r="D93" s="19" t="s">
        <v>31</v>
      </c>
      <c r="E93" s="23">
        <v>1.0</v>
      </c>
      <c r="F93" s="34" t="s">
        <v>225</v>
      </c>
      <c r="G93" s="59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2.0</v>
      </c>
      <c r="D94" s="19" t="s">
        <v>31</v>
      </c>
      <c r="E94" s="23">
        <v>0.0</v>
      </c>
      <c r="F94" s="34" t="s">
        <v>227</v>
      </c>
      <c r="G94" s="59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5</v>
      </c>
      <c r="M94" s="19" t="str">
        <f t="shared" ref="M94:M97" si="148">N94-O94</f>
        <v>2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3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1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2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3.0</v>
      </c>
      <c r="D95" s="19" t="s">
        <v>31</v>
      </c>
      <c r="E95" s="23">
        <v>0.0</v>
      </c>
      <c r="F95" s="34" t="s">
        <v>226</v>
      </c>
      <c r="G95" s="59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4</v>
      </c>
      <c r="M95" s="19" t="str">
        <f t="shared" si="148"/>
        <v>-1</v>
      </c>
      <c r="N95" s="19" t="str">
        <f t="shared" si="149"/>
        <v>4</v>
      </c>
      <c r="O95" s="19" t="str">
        <f t="shared" si="150"/>
        <v>5</v>
      </c>
      <c r="P95" s="19" t="str">
        <f t="shared" si="151"/>
        <v>1</v>
      </c>
      <c r="Q95" s="19" t="str">
        <f t="shared" si="152"/>
        <v>1</v>
      </c>
      <c r="R95" s="36" t="str">
        <f t="shared" si="153"/>
        <v>1</v>
      </c>
      <c r="S95" s="59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0.0</v>
      </c>
      <c r="D96" s="19" t="s">
        <v>31</v>
      </c>
      <c r="E96" s="23">
        <v>2.0</v>
      </c>
      <c r="F96" s="34" t="s">
        <v>225</v>
      </c>
      <c r="G96" s="59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7</v>
      </c>
      <c r="M96" s="19" t="str">
        <f t="shared" si="148"/>
        <v>7</v>
      </c>
      <c r="N96" s="19" t="str">
        <f t="shared" si="149"/>
        <v>8</v>
      </c>
      <c r="O96" s="19" t="str">
        <f t="shared" si="150"/>
        <v>1</v>
      </c>
      <c r="P96" s="19" t="str">
        <f t="shared" si="151"/>
        <v>2</v>
      </c>
      <c r="Q96" s="19" t="str">
        <f t="shared" si="152"/>
        <v>1</v>
      </c>
      <c r="R96" s="36" t="str">
        <f t="shared" si="153"/>
        <v>0</v>
      </c>
      <c r="S96" s="59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2.0</v>
      </c>
      <c r="D97" s="19" t="s">
        <v>31</v>
      </c>
      <c r="E97" s="23">
        <v>2.0</v>
      </c>
      <c r="F97" s="34" t="s">
        <v>226</v>
      </c>
      <c r="G97" s="59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-8</v>
      </c>
      <c r="N97" s="38" t="str">
        <f t="shared" si="149"/>
        <v>0</v>
      </c>
      <c r="O97" s="38" t="str">
        <f t="shared" si="150"/>
        <v>8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59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4.0</v>
      </c>
      <c r="F98" s="43" t="s">
        <v>224</v>
      </c>
      <c r="G98" s="59"/>
      <c r="H98" s="44">
        <v>46200.0</v>
      </c>
      <c r="I98" s="45">
        <v>0.75</v>
      </c>
      <c r="J98" s="27"/>
      <c r="K98" s="46"/>
      <c r="S98" s="59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59"/>
      <c r="D1" s="59"/>
      <c r="E1" s="59"/>
      <c r="F1" s="59"/>
      <c r="G1" s="59"/>
      <c r="H1" s="3"/>
      <c r="I1" s="59"/>
      <c r="J1" s="59"/>
      <c r="K1" s="3"/>
      <c r="L1" s="59"/>
      <c r="M1" s="59"/>
      <c r="N1" s="59"/>
      <c r="O1" s="59"/>
      <c r="P1" s="59"/>
      <c r="Q1" s="59"/>
      <c r="R1" s="59"/>
      <c r="S1" s="59"/>
      <c r="T1" s="3"/>
      <c r="U1" s="4"/>
      <c r="V1" s="59"/>
      <c r="W1" s="59"/>
      <c r="X1" s="59"/>
      <c r="Y1" s="6"/>
      <c r="Z1" s="7"/>
      <c r="AA1" s="7"/>
      <c r="AB1" s="7"/>
      <c r="AC1" s="7"/>
      <c r="AD1" s="7"/>
      <c r="AE1" s="7"/>
      <c r="AF1" s="7"/>
      <c r="AG1" s="7"/>
      <c r="AH1" s="7"/>
      <c r="AI1" s="59"/>
      <c r="AJ1" s="59"/>
      <c r="AK1" s="59"/>
      <c r="AL1" s="59"/>
      <c r="AM1" s="59"/>
      <c r="AN1" s="59"/>
      <c r="AO1" s="59"/>
      <c r="AP1" s="59"/>
      <c r="AQ1" s="59"/>
      <c r="AR1" s="59"/>
    </row>
    <row r="2" ht="18.75" customHeight="1">
      <c r="B2" s="8" t="s">
        <v>249</v>
      </c>
      <c r="C2" s="9"/>
      <c r="D2" s="9"/>
      <c r="E2" s="9"/>
      <c r="F2" s="10"/>
      <c r="G2" s="59"/>
      <c r="H2" s="11" t="s">
        <v>23</v>
      </c>
      <c r="I2" s="10"/>
      <c r="J2" s="59"/>
      <c r="K2" s="11" t="s">
        <v>24</v>
      </c>
      <c r="L2" s="9"/>
      <c r="M2" s="9"/>
      <c r="N2" s="9"/>
      <c r="O2" s="9"/>
      <c r="P2" s="9"/>
      <c r="Q2" s="9"/>
      <c r="R2" s="10"/>
      <c r="S2" s="59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59"/>
      <c r="AJ2" s="59"/>
      <c r="AK2" s="59"/>
      <c r="AL2" s="59"/>
      <c r="AM2" s="59"/>
      <c r="AN2" s="59"/>
      <c r="AO2" s="59"/>
      <c r="AP2" s="59"/>
      <c r="AQ2" s="59"/>
      <c r="AR2" s="59"/>
    </row>
    <row r="3" ht="15.0" customHeight="1">
      <c r="C3" s="59"/>
      <c r="D3" s="59"/>
      <c r="E3" s="59"/>
      <c r="F3" s="59"/>
      <c r="G3" s="59"/>
      <c r="H3" s="59"/>
      <c r="I3" s="59"/>
      <c r="J3" s="59"/>
      <c r="K3" s="3"/>
      <c r="L3" s="59"/>
      <c r="M3" s="59"/>
      <c r="N3" s="59"/>
      <c r="O3" s="59"/>
      <c r="P3" s="59"/>
      <c r="Q3" s="59"/>
      <c r="R3" s="59"/>
      <c r="S3" s="59"/>
      <c r="T3" s="13" t="s">
        <v>26</v>
      </c>
      <c r="U3" s="14" t="str">
        <f>SUM(U5:U10,U13:U18,U21:U26,U29:U34,U37:U42,U45:U50,U53:U58,U61:U66)</f>
        <v>15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59"/>
      <c r="H4" s="16" t="s">
        <v>28</v>
      </c>
      <c r="I4" s="17" t="s">
        <v>29</v>
      </c>
      <c r="J4" s="18"/>
      <c r="K4" s="59"/>
      <c r="L4" s="59"/>
      <c r="M4" s="59"/>
      <c r="N4" s="59"/>
      <c r="O4" s="59"/>
      <c r="P4" s="59"/>
      <c r="Q4" s="59"/>
      <c r="R4" s="59"/>
      <c r="S4" s="59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2.0</v>
      </c>
      <c r="D5" s="19" t="s">
        <v>31</v>
      </c>
      <c r="E5" s="23">
        <v>0.0</v>
      </c>
      <c r="F5" s="24" t="s">
        <v>32</v>
      </c>
      <c r="G5" s="59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4</v>
      </c>
      <c r="Y5" s="33" t="str">
        <f>IF(AND(ISNUMBER(RESULTADOS!C5),ISNUMBER(RESULTADOS!E5),ISNUMBER(C5),ISNUMBER(E5),C5=RESULTADOS!C5,E5=RESULTADOS!E5),2,0)</f>
        <v>2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1.0</v>
      </c>
      <c r="D6" s="19" t="s">
        <v>31</v>
      </c>
      <c r="E6" s="23">
        <v>1.0</v>
      </c>
      <c r="F6" s="34" t="s">
        <v>41</v>
      </c>
      <c r="G6" s="59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2</v>
      </c>
      <c r="M6" s="19" t="str">
        <f t="shared" ref="M6:M9" si="5">N6-O6</f>
        <v>-1</v>
      </c>
      <c r="N6" s="19" t="str">
        <f t="shared" ref="N6:N9" si="6">SUM(INDIRECT($AC6),INDIRECT($AD6),INDIRECT($AE6))</f>
        <v>3</v>
      </c>
      <c r="O6" s="19" t="str">
        <f t="shared" ref="O6:O9" si="7">SUM(INDIRECT($AF6),INDIRECT($AG6),INDIRECT($AH6))</f>
        <v>4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0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2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1.0</v>
      </c>
      <c r="D7" s="19" t="s">
        <v>31</v>
      </c>
      <c r="E7" s="23">
        <v>2.0</v>
      </c>
      <c r="F7" s="34" t="s">
        <v>32</v>
      </c>
      <c r="G7" s="59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9</v>
      </c>
      <c r="M7" s="19" t="str">
        <f t="shared" si="5"/>
        <v>5</v>
      </c>
      <c r="N7" s="19" t="str">
        <f t="shared" si="6"/>
        <v>6</v>
      </c>
      <c r="O7" s="19" t="str">
        <f t="shared" si="7"/>
        <v>1</v>
      </c>
      <c r="P7" s="19" t="str">
        <f t="shared" si="8"/>
        <v>3</v>
      </c>
      <c r="Q7" s="19" t="str">
        <f t="shared" si="9"/>
        <v>0</v>
      </c>
      <c r="R7" s="36" t="str">
        <f t="shared" si="10"/>
        <v>0</v>
      </c>
      <c r="S7" s="59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1.0</v>
      </c>
      <c r="D8" s="19" t="s">
        <v>31</v>
      </c>
      <c r="E8" s="23">
        <v>0.0</v>
      </c>
      <c r="F8" s="34" t="s">
        <v>40</v>
      </c>
      <c r="G8" s="59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1</v>
      </c>
      <c r="M8" s="19" t="str">
        <f t="shared" si="5"/>
        <v>-3</v>
      </c>
      <c r="N8" s="19" t="str">
        <f t="shared" si="6"/>
        <v>3</v>
      </c>
      <c r="O8" s="19" t="str">
        <f t="shared" si="7"/>
        <v>6</v>
      </c>
      <c r="P8" s="19" t="str">
        <f t="shared" si="8"/>
        <v>0</v>
      </c>
      <c r="Q8" s="19" t="str">
        <f t="shared" si="9"/>
        <v>1</v>
      </c>
      <c r="R8" s="36" t="str">
        <f t="shared" si="10"/>
        <v>2</v>
      </c>
      <c r="S8" s="59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2.0</v>
      </c>
      <c r="D9" s="19" t="s">
        <v>31</v>
      </c>
      <c r="E9" s="23">
        <v>2.0</v>
      </c>
      <c r="F9" s="34" t="s">
        <v>40</v>
      </c>
      <c r="G9" s="59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4</v>
      </c>
      <c r="M9" s="38" t="str">
        <f t="shared" si="5"/>
        <v>-1</v>
      </c>
      <c r="N9" s="38" t="str">
        <f t="shared" si="6"/>
        <v>4</v>
      </c>
      <c r="O9" s="38" t="str">
        <f t="shared" si="7"/>
        <v>5</v>
      </c>
      <c r="P9" s="38" t="str">
        <f t="shared" si="8"/>
        <v>1</v>
      </c>
      <c r="Q9" s="38" t="str">
        <f t="shared" si="9"/>
        <v>1</v>
      </c>
      <c r="R9" s="39" t="str">
        <f t="shared" si="10"/>
        <v>1</v>
      </c>
      <c r="S9" s="59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1.0</v>
      </c>
      <c r="D10" s="38" t="s">
        <v>31</v>
      </c>
      <c r="E10" s="42">
        <v>3.0</v>
      </c>
      <c r="F10" s="43" t="s">
        <v>30</v>
      </c>
      <c r="G10" s="59"/>
      <c r="H10" s="44">
        <v>46197.0</v>
      </c>
      <c r="I10" s="45">
        <v>0.916666666666667</v>
      </c>
      <c r="J10" s="27"/>
      <c r="K10" s="31"/>
      <c r="S10" s="59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59"/>
      <c r="H12" s="16" t="s">
        <v>28</v>
      </c>
      <c r="I12" s="17" t="s">
        <v>29</v>
      </c>
      <c r="J12" s="18"/>
      <c r="K12" s="59"/>
      <c r="L12" s="59"/>
      <c r="M12" s="59"/>
      <c r="N12" s="59"/>
      <c r="O12" s="59"/>
      <c r="P12" s="59"/>
      <c r="Q12" s="59"/>
      <c r="R12" s="59"/>
      <c r="S12" s="59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1.0</v>
      </c>
      <c r="D13" s="19" t="s">
        <v>31</v>
      </c>
      <c r="E13" s="23">
        <v>0.0</v>
      </c>
      <c r="F13" s="24" t="s">
        <v>56</v>
      </c>
      <c r="G13" s="59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0.0</v>
      </c>
      <c r="D14" s="19" t="s">
        <v>31</v>
      </c>
      <c r="E14" s="23">
        <v>2.0</v>
      </c>
      <c r="F14" s="24" t="s">
        <v>58</v>
      </c>
      <c r="G14" s="59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1</v>
      </c>
      <c r="M14" s="19" t="str">
        <f t="shared" ref="M14:M17" si="18">N14-O14</f>
        <v>-3</v>
      </c>
      <c r="N14" s="19" t="str">
        <f t="shared" ref="N14:N17" si="19">SUM(INDIRECT($AC14),INDIRECT($AD14),INDIRECT($AE14))</f>
        <v>4</v>
      </c>
      <c r="O14" s="19" t="str">
        <f t="shared" ref="O14:O17" si="20">SUM(INDIRECT($AF14),INDIRECT($AG14),INDIRECT($AH14))</f>
        <v>7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0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2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3.0</v>
      </c>
      <c r="D15" s="19" t="s">
        <v>31</v>
      </c>
      <c r="E15" s="23">
        <v>1.0</v>
      </c>
      <c r="F15" s="24" t="s">
        <v>56</v>
      </c>
      <c r="G15" s="59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7</v>
      </c>
      <c r="M15" s="19" t="str">
        <f t="shared" si="18"/>
        <v>2</v>
      </c>
      <c r="N15" s="19" t="str">
        <f t="shared" si="19"/>
        <v>4</v>
      </c>
      <c r="O15" s="19" t="str">
        <f t="shared" si="20"/>
        <v>2</v>
      </c>
      <c r="P15" s="19" t="str">
        <f t="shared" si="21"/>
        <v>2</v>
      </c>
      <c r="Q15" s="19" t="str">
        <f t="shared" si="22"/>
        <v>1</v>
      </c>
      <c r="R15" s="36" t="str">
        <f t="shared" si="23"/>
        <v>0</v>
      </c>
      <c r="S15" s="59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2.0</v>
      </c>
      <c r="D16" s="19" t="s">
        <v>31</v>
      </c>
      <c r="E16" s="23">
        <v>1.0</v>
      </c>
      <c r="F16" s="24" t="s">
        <v>57</v>
      </c>
      <c r="G16" s="59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1</v>
      </c>
      <c r="M16" s="19" t="str">
        <f t="shared" si="18"/>
        <v>-3</v>
      </c>
      <c r="N16" s="19" t="str">
        <f t="shared" si="19"/>
        <v>4</v>
      </c>
      <c r="O16" s="19" t="str">
        <f t="shared" si="20"/>
        <v>7</v>
      </c>
      <c r="P16" s="19" t="str">
        <f t="shared" si="21"/>
        <v>0</v>
      </c>
      <c r="Q16" s="19" t="str">
        <f t="shared" si="22"/>
        <v>1</v>
      </c>
      <c r="R16" s="36" t="str">
        <f t="shared" si="23"/>
        <v>2</v>
      </c>
      <c r="S16" s="59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1.0</v>
      </c>
      <c r="D17" s="19" t="s">
        <v>31</v>
      </c>
      <c r="E17" s="23">
        <v>1.0</v>
      </c>
      <c r="F17" s="24" t="s">
        <v>55</v>
      </c>
      <c r="G17" s="59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7</v>
      </c>
      <c r="M17" s="38" t="str">
        <f t="shared" si="18"/>
        <v>4</v>
      </c>
      <c r="N17" s="38" t="str">
        <f t="shared" si="19"/>
        <v>6</v>
      </c>
      <c r="O17" s="38" t="str">
        <f t="shared" si="20"/>
        <v>2</v>
      </c>
      <c r="P17" s="38" t="str">
        <f t="shared" si="21"/>
        <v>2</v>
      </c>
      <c r="Q17" s="38" t="str">
        <f t="shared" si="22"/>
        <v>1</v>
      </c>
      <c r="R17" s="39" t="str">
        <f t="shared" si="23"/>
        <v>0</v>
      </c>
      <c r="S17" s="59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3.0</v>
      </c>
      <c r="D18" s="38" t="s">
        <v>31</v>
      </c>
      <c r="E18" s="42">
        <v>3.0</v>
      </c>
      <c r="F18" s="48" t="s">
        <v>57</v>
      </c>
      <c r="G18" s="59"/>
      <c r="H18" s="44">
        <v>46197.0</v>
      </c>
      <c r="I18" s="45">
        <v>0.666666666666667</v>
      </c>
      <c r="J18" s="27"/>
      <c r="K18" s="31"/>
      <c r="S18" s="59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59"/>
      <c r="H20" s="16" t="s">
        <v>28</v>
      </c>
      <c r="I20" s="17" t="s">
        <v>29</v>
      </c>
      <c r="J20" s="18"/>
      <c r="K20" s="59"/>
      <c r="L20" s="59"/>
      <c r="M20" s="59"/>
      <c r="N20" s="59"/>
      <c r="O20" s="59"/>
      <c r="P20" s="59"/>
      <c r="Q20" s="59"/>
      <c r="R20" s="59"/>
      <c r="S20" s="59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1.0</v>
      </c>
      <c r="D21" s="19" t="s">
        <v>31</v>
      </c>
      <c r="E21" s="23">
        <v>1.0</v>
      </c>
      <c r="F21" s="24" t="s">
        <v>73</v>
      </c>
      <c r="G21" s="59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4</v>
      </c>
      <c r="Y21" s="33" t="str">
        <f>IF(AND(ISNUMBER(RESULTADOS!C21),ISNUMBER(RESULTADOS!E21),ISNUMBER(C21),ISNUMBER(E21),C21=RESULTADOS!C21,E21=RESULTADOS!E21),2,0)</f>
        <v>2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2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2.0</v>
      </c>
      <c r="D22" s="19" t="s">
        <v>31</v>
      </c>
      <c r="E22" s="23">
        <v>1.0</v>
      </c>
      <c r="F22" s="24" t="s">
        <v>75</v>
      </c>
      <c r="G22" s="59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7</v>
      </c>
      <c r="M22" s="19" t="str">
        <f t="shared" ref="M22:M25" si="31">N22-O22</f>
        <v>6</v>
      </c>
      <c r="N22" s="19" t="str">
        <f t="shared" ref="N22:N25" si="32">SUM(INDIRECT($AC22),INDIRECT($AD22),INDIRECT($AE22))</f>
        <v>7</v>
      </c>
      <c r="O22" s="19" t="str">
        <f t="shared" ref="O22:O25" si="33">SUM(INDIRECT($AF22),INDIRECT($AG22),INDIRECT($AH22))</f>
        <v>1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2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1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0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0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0.0</v>
      </c>
      <c r="D23" s="19" t="s">
        <v>31</v>
      </c>
      <c r="E23" s="23">
        <v>2.0</v>
      </c>
      <c r="F23" s="24" t="s">
        <v>73</v>
      </c>
      <c r="G23" s="59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0</v>
      </c>
      <c r="M23" s="19" t="str">
        <f t="shared" si="31"/>
        <v>-5</v>
      </c>
      <c r="N23" s="19" t="str">
        <f t="shared" si="32"/>
        <v>1</v>
      </c>
      <c r="O23" s="19" t="str">
        <f t="shared" si="33"/>
        <v>6</v>
      </c>
      <c r="P23" s="19" t="str">
        <f t="shared" si="34"/>
        <v>0</v>
      </c>
      <c r="Q23" s="19" t="str">
        <f t="shared" si="35"/>
        <v>0</v>
      </c>
      <c r="R23" s="36" t="str">
        <f t="shared" si="36"/>
        <v>3</v>
      </c>
      <c r="S23" s="59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4.0</v>
      </c>
      <c r="D24" s="19" t="s">
        <v>31</v>
      </c>
      <c r="E24" s="23">
        <v>0.0</v>
      </c>
      <c r="F24" s="24" t="s">
        <v>74</v>
      </c>
      <c r="G24" s="59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3</v>
      </c>
      <c r="M24" s="19" t="str">
        <f t="shared" si="31"/>
        <v>-6</v>
      </c>
      <c r="N24" s="19" t="str">
        <f t="shared" si="32"/>
        <v>2</v>
      </c>
      <c r="O24" s="19" t="str">
        <f t="shared" si="33"/>
        <v>8</v>
      </c>
      <c r="P24" s="19" t="str">
        <f t="shared" si="34"/>
        <v>1</v>
      </c>
      <c r="Q24" s="19" t="str">
        <f t="shared" si="35"/>
        <v>0</v>
      </c>
      <c r="R24" s="36" t="str">
        <f t="shared" si="36"/>
        <v>2</v>
      </c>
      <c r="S24" s="59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3.0</v>
      </c>
      <c r="D25" s="19" t="s">
        <v>31</v>
      </c>
      <c r="E25" s="23">
        <v>0.0</v>
      </c>
      <c r="F25" s="24" t="s">
        <v>74</v>
      </c>
      <c r="G25" s="59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7</v>
      </c>
      <c r="M25" s="38" t="str">
        <f t="shared" si="31"/>
        <v>5</v>
      </c>
      <c r="N25" s="38" t="str">
        <f t="shared" si="32"/>
        <v>6</v>
      </c>
      <c r="O25" s="38" t="str">
        <f t="shared" si="33"/>
        <v>1</v>
      </c>
      <c r="P25" s="38" t="str">
        <f t="shared" si="34"/>
        <v>2</v>
      </c>
      <c r="Q25" s="38" t="str">
        <f t="shared" si="35"/>
        <v>1</v>
      </c>
      <c r="R25" s="39" t="str">
        <f t="shared" si="36"/>
        <v>0</v>
      </c>
      <c r="S25" s="59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0.0</v>
      </c>
      <c r="D26" s="38" t="s">
        <v>31</v>
      </c>
      <c r="E26" s="42">
        <v>2.0</v>
      </c>
      <c r="F26" s="48" t="s">
        <v>72</v>
      </c>
      <c r="G26" s="59"/>
      <c r="H26" s="44">
        <v>46197.0</v>
      </c>
      <c r="I26" s="45">
        <v>0.791666666666667</v>
      </c>
      <c r="J26" s="27"/>
      <c r="K26" s="46"/>
      <c r="S26" s="59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59"/>
      <c r="H28" s="16" t="s">
        <v>28</v>
      </c>
      <c r="I28" s="17" t="s">
        <v>29</v>
      </c>
      <c r="J28" s="18"/>
      <c r="K28" s="59"/>
      <c r="L28" s="59"/>
      <c r="M28" s="59"/>
      <c r="N28" s="59"/>
      <c r="O28" s="59"/>
      <c r="P28" s="59"/>
      <c r="Q28" s="59"/>
      <c r="R28" s="59"/>
      <c r="S28" s="59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2.0</v>
      </c>
      <c r="D29" s="19" t="s">
        <v>31</v>
      </c>
      <c r="E29" s="23">
        <v>0.0</v>
      </c>
      <c r="F29" s="24" t="s">
        <v>90</v>
      </c>
      <c r="G29" s="59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1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1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1.0</v>
      </c>
      <c r="D30" s="19" t="s">
        <v>31</v>
      </c>
      <c r="E30" s="23">
        <v>3.0</v>
      </c>
      <c r="F30" s="24" t="s">
        <v>92</v>
      </c>
      <c r="G30" s="59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0</v>
      </c>
      <c r="M30" s="19" t="str">
        <f t="shared" ref="M30:M33" si="44">N30-O30</f>
        <v>-4</v>
      </c>
      <c r="N30" s="19" t="str">
        <f t="shared" ref="N30:N33" si="45">SUM(INDIRECT($AC30),INDIRECT($AD30),INDIRECT($AE30))</f>
        <v>3</v>
      </c>
      <c r="O30" s="19" t="str">
        <f t="shared" ref="O30:O33" si="46">SUM(INDIRECT($AF30),INDIRECT($AG30),INDIRECT($AH30))</f>
        <v>7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3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2.0</v>
      </c>
      <c r="D31" s="19" t="s">
        <v>31</v>
      </c>
      <c r="E31" s="23">
        <v>1.0</v>
      </c>
      <c r="F31" s="24" t="s">
        <v>91</v>
      </c>
      <c r="G31" s="59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7</v>
      </c>
      <c r="M31" s="19" t="str">
        <f t="shared" si="44"/>
        <v>3</v>
      </c>
      <c r="N31" s="19" t="str">
        <f t="shared" si="45"/>
        <v>6</v>
      </c>
      <c r="O31" s="19" t="str">
        <f t="shared" si="46"/>
        <v>3</v>
      </c>
      <c r="P31" s="19" t="str">
        <f t="shared" si="47"/>
        <v>2</v>
      </c>
      <c r="Q31" s="19" t="str">
        <f t="shared" si="48"/>
        <v>1</v>
      </c>
      <c r="R31" s="36" t="str">
        <f t="shared" si="49"/>
        <v>0</v>
      </c>
      <c r="S31" s="59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2.0</v>
      </c>
      <c r="D32" s="19" t="s">
        <v>31</v>
      </c>
      <c r="E32" s="23">
        <v>0.0</v>
      </c>
      <c r="F32" s="24" t="s">
        <v>90</v>
      </c>
      <c r="G32" s="59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0</v>
      </c>
      <c r="M32" s="19" t="str">
        <f t="shared" si="44"/>
        <v>-5</v>
      </c>
      <c r="N32" s="19" t="str">
        <f t="shared" si="45"/>
        <v>1</v>
      </c>
      <c r="O32" s="19" t="str">
        <f t="shared" si="46"/>
        <v>6</v>
      </c>
      <c r="P32" s="19" t="str">
        <f t="shared" si="47"/>
        <v>0</v>
      </c>
      <c r="Q32" s="19" t="str">
        <f t="shared" si="48"/>
        <v>0</v>
      </c>
      <c r="R32" s="36" t="str">
        <f t="shared" si="49"/>
        <v>3</v>
      </c>
      <c r="S32" s="59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2.0</v>
      </c>
      <c r="D33" s="19" t="s">
        <v>31</v>
      </c>
      <c r="E33" s="23">
        <v>2.0</v>
      </c>
      <c r="F33" s="24" t="s">
        <v>89</v>
      </c>
      <c r="G33" s="59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7</v>
      </c>
      <c r="M33" s="38" t="str">
        <f t="shared" si="44"/>
        <v>4</v>
      </c>
      <c r="N33" s="38" t="str">
        <f t="shared" si="45"/>
        <v>7</v>
      </c>
      <c r="O33" s="38" t="str">
        <f t="shared" si="46"/>
        <v>3</v>
      </c>
      <c r="P33" s="38" t="str">
        <f t="shared" si="47"/>
        <v>2</v>
      </c>
      <c r="Q33" s="38" t="str">
        <f t="shared" si="48"/>
        <v>1</v>
      </c>
      <c r="R33" s="39" t="str">
        <f t="shared" si="49"/>
        <v>0</v>
      </c>
      <c r="S33" s="59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2.0</v>
      </c>
      <c r="D34" s="38" t="s">
        <v>31</v>
      </c>
      <c r="E34" s="42">
        <v>1.0</v>
      </c>
      <c r="F34" s="48" t="s">
        <v>91</v>
      </c>
      <c r="G34" s="59"/>
      <c r="H34" s="44">
        <v>46198.0</v>
      </c>
      <c r="I34" s="45">
        <v>0.958333333333333</v>
      </c>
      <c r="J34" s="27"/>
      <c r="K34" s="46"/>
      <c r="S34" s="59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59"/>
      <c r="H36" s="16" t="s">
        <v>28</v>
      </c>
      <c r="I36" s="17" t="s">
        <v>29</v>
      </c>
      <c r="J36" s="18"/>
      <c r="K36" s="59"/>
      <c r="L36" s="59"/>
      <c r="M36" s="59"/>
      <c r="N36" s="59"/>
      <c r="O36" s="59"/>
      <c r="P36" s="59"/>
      <c r="Q36" s="59"/>
      <c r="R36" s="59"/>
      <c r="S36" s="59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5.0</v>
      </c>
      <c r="D37" s="19" t="s">
        <v>31</v>
      </c>
      <c r="E37" s="23">
        <v>0.0</v>
      </c>
      <c r="F37" s="34" t="s">
        <v>106</v>
      </c>
      <c r="G37" s="59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2.0</v>
      </c>
      <c r="D38" s="19" t="s">
        <v>31</v>
      </c>
      <c r="E38" s="23">
        <v>3.0</v>
      </c>
      <c r="F38" s="34" t="s">
        <v>108</v>
      </c>
      <c r="G38" s="59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7</v>
      </c>
      <c r="M38" s="19" t="str">
        <f t="shared" ref="M38:M41" si="57">N38-O38</f>
        <v>6</v>
      </c>
      <c r="N38" s="19" t="str">
        <f t="shared" ref="N38:N41" si="58">SUM(INDIRECT($AC38),INDIRECT($AD38),INDIRECT($AE38))</f>
        <v>8</v>
      </c>
      <c r="O38" s="19" t="str">
        <f t="shared" ref="O38:O41" si="59">SUM(INDIRECT($AF38),INDIRECT($AG38),INDIRECT($AH38))</f>
        <v>2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2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1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2.0</v>
      </c>
      <c r="F39" s="34" t="s">
        <v>107</v>
      </c>
      <c r="G39" s="59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4</v>
      </c>
      <c r="M39" s="19" t="str">
        <f t="shared" si="57"/>
        <v>1</v>
      </c>
      <c r="N39" s="19" t="str">
        <f t="shared" si="58"/>
        <v>7</v>
      </c>
      <c r="O39" s="19" t="str">
        <f t="shared" si="59"/>
        <v>6</v>
      </c>
      <c r="P39" s="19" t="str">
        <f t="shared" si="60"/>
        <v>1</v>
      </c>
      <c r="Q39" s="19" t="str">
        <f t="shared" si="61"/>
        <v>1</v>
      </c>
      <c r="R39" s="36" t="str">
        <f t="shared" si="62"/>
        <v>1</v>
      </c>
      <c r="S39" s="59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3.0</v>
      </c>
      <c r="D40" s="19" t="s">
        <v>31</v>
      </c>
      <c r="E40" s="23">
        <v>0.0</v>
      </c>
      <c r="F40" s="34" t="s">
        <v>106</v>
      </c>
      <c r="G40" s="59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-10</v>
      </c>
      <c r="N40" s="19" t="str">
        <f t="shared" si="58"/>
        <v>1</v>
      </c>
      <c r="O40" s="19" t="str">
        <f t="shared" si="59"/>
        <v>11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59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0.0</v>
      </c>
      <c r="D41" s="19" t="s">
        <v>31</v>
      </c>
      <c r="E41" s="23">
        <v>1.0</v>
      </c>
      <c r="F41" s="34" t="s">
        <v>105</v>
      </c>
      <c r="G41" s="59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6</v>
      </c>
      <c r="M41" s="38" t="str">
        <f t="shared" si="57"/>
        <v>3</v>
      </c>
      <c r="N41" s="38" t="str">
        <f t="shared" si="58"/>
        <v>6</v>
      </c>
      <c r="O41" s="38" t="str">
        <f t="shared" si="59"/>
        <v>3</v>
      </c>
      <c r="P41" s="38" t="str">
        <f t="shared" si="60"/>
        <v>2</v>
      </c>
      <c r="Q41" s="38" t="str">
        <f t="shared" si="61"/>
        <v>0</v>
      </c>
      <c r="R41" s="39" t="str">
        <f t="shared" si="62"/>
        <v>1</v>
      </c>
      <c r="S41" s="59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1.0</v>
      </c>
      <c r="D42" s="38" t="s">
        <v>31</v>
      </c>
      <c r="E42" s="42">
        <v>3.0</v>
      </c>
      <c r="F42" s="43" t="s">
        <v>107</v>
      </c>
      <c r="G42" s="59"/>
      <c r="H42" s="44">
        <v>46198.0</v>
      </c>
      <c r="I42" s="45">
        <v>0.708333333333333</v>
      </c>
      <c r="J42" s="27"/>
      <c r="K42" s="46"/>
      <c r="S42" s="59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59"/>
      <c r="H44" s="16" t="s">
        <v>28</v>
      </c>
      <c r="I44" s="17" t="s">
        <v>29</v>
      </c>
      <c r="J44" s="18"/>
      <c r="K44" s="59"/>
      <c r="L44" s="59"/>
      <c r="M44" s="59"/>
      <c r="N44" s="59"/>
      <c r="O44" s="59"/>
      <c r="P44" s="59"/>
      <c r="Q44" s="59"/>
      <c r="R44" s="59"/>
      <c r="S44" s="59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1.0</v>
      </c>
      <c r="D45" s="19" t="s">
        <v>31</v>
      </c>
      <c r="E45" s="23">
        <v>1.0</v>
      </c>
      <c r="F45" s="34" t="s">
        <v>123</v>
      </c>
      <c r="G45" s="59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2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2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2.0</v>
      </c>
      <c r="D46" s="19" t="s">
        <v>31</v>
      </c>
      <c r="E46" s="23">
        <v>0.0</v>
      </c>
      <c r="F46" s="34" t="s">
        <v>125</v>
      </c>
      <c r="G46" s="59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7</v>
      </c>
      <c r="M46" s="19" t="str">
        <f t="shared" ref="M46:M49" si="70">N46-O46</f>
        <v>4</v>
      </c>
      <c r="N46" s="19" t="str">
        <f t="shared" ref="N46:N49" si="71">SUM(INDIRECT($AC46),INDIRECT($AD46),INDIRECT($AE46))</f>
        <v>6</v>
      </c>
      <c r="O46" s="19" t="str">
        <f t="shared" ref="O46:O49" si="72">SUM(INDIRECT($AF46),INDIRECT($AG46),INDIRECT($AH46))</f>
        <v>2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2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1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1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2.0</v>
      </c>
      <c r="D47" s="19" t="s">
        <v>31</v>
      </c>
      <c r="E47" s="23">
        <v>1.0</v>
      </c>
      <c r="F47" s="34" t="s">
        <v>124</v>
      </c>
      <c r="G47" s="59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7</v>
      </c>
      <c r="M47" s="19" t="str">
        <f t="shared" si="70"/>
        <v>2</v>
      </c>
      <c r="N47" s="19" t="str">
        <f t="shared" si="71"/>
        <v>4</v>
      </c>
      <c r="O47" s="19" t="str">
        <f t="shared" si="72"/>
        <v>2</v>
      </c>
      <c r="P47" s="19" t="str">
        <f t="shared" si="73"/>
        <v>2</v>
      </c>
      <c r="Q47" s="19" t="str">
        <f t="shared" si="74"/>
        <v>1</v>
      </c>
      <c r="R47" s="36" t="str">
        <f t="shared" si="75"/>
        <v>0</v>
      </c>
      <c r="S47" s="59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0.0</v>
      </c>
      <c r="D48" s="19" t="s">
        <v>31</v>
      </c>
      <c r="E48" s="23">
        <v>1.0</v>
      </c>
      <c r="F48" s="34" t="s">
        <v>123</v>
      </c>
      <c r="G48" s="59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3</v>
      </c>
      <c r="M48" s="19" t="str">
        <f t="shared" si="70"/>
        <v>0</v>
      </c>
      <c r="N48" s="19" t="str">
        <f t="shared" si="71"/>
        <v>4</v>
      </c>
      <c r="O48" s="19" t="str">
        <f t="shared" si="72"/>
        <v>4</v>
      </c>
      <c r="P48" s="19" t="str">
        <f t="shared" si="73"/>
        <v>1</v>
      </c>
      <c r="Q48" s="19" t="str">
        <f t="shared" si="74"/>
        <v>0</v>
      </c>
      <c r="R48" s="36" t="str">
        <f t="shared" si="75"/>
        <v>2</v>
      </c>
      <c r="S48" s="59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0.0</v>
      </c>
      <c r="D49" s="19" t="s">
        <v>31</v>
      </c>
      <c r="E49" s="23">
        <v>3.0</v>
      </c>
      <c r="F49" s="34" t="s">
        <v>122</v>
      </c>
      <c r="G49" s="59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-6</v>
      </c>
      <c r="N49" s="38" t="str">
        <f t="shared" si="71"/>
        <v>0</v>
      </c>
      <c r="O49" s="38" t="str">
        <f t="shared" si="72"/>
        <v>6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59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2.0</v>
      </c>
      <c r="D50" s="38" t="s">
        <v>31</v>
      </c>
      <c r="E50" s="42">
        <v>1.0</v>
      </c>
      <c r="F50" s="43" t="s">
        <v>124</v>
      </c>
      <c r="G50" s="59"/>
      <c r="H50" s="44">
        <v>46198.0</v>
      </c>
      <c r="I50" s="45">
        <v>0.833333333333333</v>
      </c>
      <c r="J50" s="27"/>
      <c r="K50" s="46"/>
      <c r="S50" s="59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59"/>
      <c r="H52" s="16" t="s">
        <v>28</v>
      </c>
      <c r="I52" s="17" t="s">
        <v>29</v>
      </c>
      <c r="J52" s="18"/>
      <c r="K52" s="59"/>
      <c r="L52" s="59"/>
      <c r="M52" s="59"/>
      <c r="N52" s="59"/>
      <c r="O52" s="59"/>
      <c r="P52" s="59"/>
      <c r="Q52" s="59"/>
      <c r="R52" s="59"/>
      <c r="S52" s="59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1.0</v>
      </c>
      <c r="D53" s="19" t="s">
        <v>31</v>
      </c>
      <c r="E53" s="23">
        <v>2.0</v>
      </c>
      <c r="F53" s="34" t="s">
        <v>140</v>
      </c>
      <c r="G53" s="59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0.0</v>
      </c>
      <c r="D54" s="19" t="s">
        <v>31</v>
      </c>
      <c r="E54" s="23">
        <v>0.0</v>
      </c>
      <c r="F54" s="34" t="s">
        <v>142</v>
      </c>
      <c r="G54" s="59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6</v>
      </c>
      <c r="M54" s="19" t="str">
        <f t="shared" ref="M54:M57" si="83">N54-O54</f>
        <v>4</v>
      </c>
      <c r="N54" s="19" t="str">
        <f t="shared" ref="N54:N57" si="84">SUM(INDIRECT($AC54),INDIRECT($AD54),INDIRECT($AE54))</f>
        <v>6</v>
      </c>
      <c r="O54" s="19" t="str">
        <f t="shared" ref="O54:O57" si="85">SUM(INDIRECT($AF54),INDIRECT($AG54),INDIRECT($AH54))</f>
        <v>2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2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1</v>
      </c>
      <c r="S54" s="31"/>
      <c r="T54" s="32" t="str">
        <f t="shared" si="79"/>
        <v/>
      </c>
      <c r="U54" s="19" t="str">
        <f t="shared" si="80"/>
        <v>2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2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3.0</v>
      </c>
      <c r="D55" s="19" t="s">
        <v>31</v>
      </c>
      <c r="E55" s="23">
        <v>0.0</v>
      </c>
      <c r="F55" s="34" t="s">
        <v>141</v>
      </c>
      <c r="G55" s="59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9</v>
      </c>
      <c r="M55" s="19" t="str">
        <f t="shared" si="83"/>
        <v>4</v>
      </c>
      <c r="N55" s="19" t="str">
        <f t="shared" si="84"/>
        <v>5</v>
      </c>
      <c r="O55" s="19" t="str">
        <f t="shared" si="85"/>
        <v>1</v>
      </c>
      <c r="P55" s="19" t="str">
        <f t="shared" si="86"/>
        <v>3</v>
      </c>
      <c r="Q55" s="19" t="str">
        <f t="shared" si="87"/>
        <v>0</v>
      </c>
      <c r="R55" s="36" t="str">
        <f t="shared" si="88"/>
        <v>0</v>
      </c>
      <c r="S55" s="59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2.0</v>
      </c>
      <c r="F56" s="34" t="s">
        <v>140</v>
      </c>
      <c r="G56" s="59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1</v>
      </c>
      <c r="M56" s="19" t="str">
        <f t="shared" si="83"/>
        <v>-4</v>
      </c>
      <c r="N56" s="19" t="str">
        <f t="shared" si="84"/>
        <v>0</v>
      </c>
      <c r="O56" s="19" t="str">
        <f t="shared" si="85"/>
        <v>4</v>
      </c>
      <c r="P56" s="19" t="str">
        <f t="shared" si="86"/>
        <v>0</v>
      </c>
      <c r="Q56" s="19" t="str">
        <f t="shared" si="87"/>
        <v>1</v>
      </c>
      <c r="R56" s="36" t="str">
        <f t="shared" si="88"/>
        <v>2</v>
      </c>
      <c r="S56" s="59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1.0</v>
      </c>
      <c r="D57" s="19" t="s">
        <v>31</v>
      </c>
      <c r="E57" s="23">
        <v>0.0</v>
      </c>
      <c r="F57" s="34" t="s">
        <v>141</v>
      </c>
      <c r="G57" s="59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1</v>
      </c>
      <c r="M57" s="38" t="str">
        <f t="shared" si="83"/>
        <v>-4</v>
      </c>
      <c r="N57" s="38" t="str">
        <f t="shared" si="84"/>
        <v>0</v>
      </c>
      <c r="O57" s="38" t="str">
        <f t="shared" si="85"/>
        <v>4</v>
      </c>
      <c r="P57" s="38" t="str">
        <f t="shared" si="86"/>
        <v>0</v>
      </c>
      <c r="Q57" s="38" t="str">
        <f t="shared" si="87"/>
        <v>1</v>
      </c>
      <c r="R57" s="39" t="str">
        <f t="shared" si="88"/>
        <v>2</v>
      </c>
      <c r="S57" s="59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0.0</v>
      </c>
      <c r="D58" s="38" t="s">
        <v>31</v>
      </c>
      <c r="E58" s="42">
        <v>2.0</v>
      </c>
      <c r="F58" s="43" t="s">
        <v>139</v>
      </c>
      <c r="G58" s="59"/>
      <c r="H58" s="44">
        <v>46200.0</v>
      </c>
      <c r="I58" s="45">
        <v>0.0</v>
      </c>
      <c r="J58" s="27"/>
      <c r="K58" s="46"/>
      <c r="S58" s="59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59"/>
      <c r="H60" s="16" t="s">
        <v>28</v>
      </c>
      <c r="I60" s="17" t="s">
        <v>29</v>
      </c>
      <c r="J60" s="18"/>
      <c r="K60" s="59"/>
      <c r="L60" s="59"/>
      <c r="M60" s="59"/>
      <c r="N60" s="59"/>
      <c r="O60" s="59"/>
      <c r="P60" s="59"/>
      <c r="Q60" s="59"/>
      <c r="R60" s="59"/>
      <c r="S60" s="59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4.0</v>
      </c>
      <c r="D61" s="19" t="s">
        <v>31</v>
      </c>
      <c r="E61" s="23">
        <v>0.0</v>
      </c>
      <c r="F61" s="34" t="s">
        <v>157</v>
      </c>
      <c r="G61" s="59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1.0</v>
      </c>
      <c r="D62" s="19" t="s">
        <v>31</v>
      </c>
      <c r="E62" s="23">
        <v>3.0</v>
      </c>
      <c r="F62" s="34" t="s">
        <v>159</v>
      </c>
      <c r="G62" s="59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3</v>
      </c>
      <c r="M62" s="19" t="str">
        <f t="shared" ref="M62:M65" si="96">N62-O62</f>
        <v>-3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6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2.0</v>
      </c>
      <c r="D63" s="19" t="s">
        <v>31</v>
      </c>
      <c r="E63" s="23">
        <v>0.0</v>
      </c>
      <c r="F63" s="34" t="s">
        <v>158</v>
      </c>
      <c r="G63" s="59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-8</v>
      </c>
      <c r="N63" s="19" t="str">
        <f t="shared" si="97"/>
        <v>1</v>
      </c>
      <c r="O63" s="19" t="str">
        <f t="shared" si="98"/>
        <v>9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3</v>
      </c>
      <c r="S63" s="59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3.0</v>
      </c>
      <c r="D64" s="19" t="s">
        <v>31</v>
      </c>
      <c r="E64" s="23">
        <v>0.0</v>
      </c>
      <c r="F64" s="34" t="s">
        <v>157</v>
      </c>
      <c r="G64" s="59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7</v>
      </c>
      <c r="N64" s="19" t="str">
        <f t="shared" si="97"/>
        <v>7</v>
      </c>
      <c r="O64" s="19" t="str">
        <f t="shared" si="98"/>
        <v>0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59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1.0</v>
      </c>
      <c r="D65" s="19" t="s">
        <v>31</v>
      </c>
      <c r="E65" s="23">
        <v>2.0</v>
      </c>
      <c r="F65" s="34" t="s">
        <v>158</v>
      </c>
      <c r="G65" s="59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4</v>
      </c>
      <c r="N65" s="38" t="str">
        <f t="shared" si="97"/>
        <v>6</v>
      </c>
      <c r="O65" s="38" t="str">
        <f t="shared" si="98"/>
        <v>2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59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0.0</v>
      </c>
      <c r="D66" s="38" t="s">
        <v>31</v>
      </c>
      <c r="E66" s="42">
        <v>1.0</v>
      </c>
      <c r="F66" s="43" t="s">
        <v>156</v>
      </c>
      <c r="G66" s="59"/>
      <c r="H66" s="44">
        <v>46199.0</v>
      </c>
      <c r="I66" s="45">
        <v>0.875</v>
      </c>
      <c r="J66" s="27"/>
      <c r="K66" s="46"/>
      <c r="S66" s="59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59"/>
      <c r="H68" s="16" t="s">
        <v>28</v>
      </c>
      <c r="I68" s="17" t="s">
        <v>29</v>
      </c>
      <c r="J68" s="18"/>
      <c r="K68" s="59"/>
      <c r="L68" s="59"/>
      <c r="M68" s="59"/>
      <c r="N68" s="59"/>
      <c r="O68" s="59"/>
      <c r="P68" s="59"/>
      <c r="Q68" s="59"/>
      <c r="R68" s="59"/>
      <c r="S68" s="59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2.0</v>
      </c>
      <c r="D69" s="19" t="s">
        <v>31</v>
      </c>
      <c r="E69" s="23">
        <v>1.0</v>
      </c>
      <c r="F69" s="34" t="s">
        <v>174</v>
      </c>
      <c r="G69" s="59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2.0</v>
      </c>
      <c r="F70" s="34" t="s">
        <v>176</v>
      </c>
      <c r="G70" s="59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7</v>
      </c>
      <c r="M70" s="19" t="str">
        <f t="shared" ref="M70:M73" si="109">N70-O70</f>
        <v>5</v>
      </c>
      <c r="N70" s="19" t="str">
        <f t="shared" ref="N70:N73" si="110">SUM(INDIRECT($AC70),INDIRECT($AD70),INDIRECT($AE70))</f>
        <v>7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2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1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4.0</v>
      </c>
      <c r="D71" s="19" t="s">
        <v>31</v>
      </c>
      <c r="E71" s="23">
        <v>0.0</v>
      </c>
      <c r="F71" s="34" t="s">
        <v>175</v>
      </c>
      <c r="G71" s="59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-8</v>
      </c>
      <c r="N71" s="19" t="str">
        <f t="shared" si="110"/>
        <v>0</v>
      </c>
      <c r="O71" s="19" t="str">
        <f t="shared" si="111"/>
        <v>8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59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2.0</v>
      </c>
      <c r="D72" s="19" t="s">
        <v>31</v>
      </c>
      <c r="E72" s="23">
        <v>3.0</v>
      </c>
      <c r="F72" s="34" t="s">
        <v>174</v>
      </c>
      <c r="G72" s="59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4</v>
      </c>
      <c r="M72" s="19" t="str">
        <f t="shared" si="109"/>
        <v>1</v>
      </c>
      <c r="N72" s="19" t="str">
        <f t="shared" si="110"/>
        <v>5</v>
      </c>
      <c r="O72" s="19" t="str">
        <f t="shared" si="111"/>
        <v>4</v>
      </c>
      <c r="P72" s="19" t="str">
        <f t="shared" si="112"/>
        <v>1</v>
      </c>
      <c r="Q72" s="19" t="str">
        <f t="shared" si="113"/>
        <v>1</v>
      </c>
      <c r="R72" s="36" t="str">
        <f t="shared" si="114"/>
        <v>1</v>
      </c>
      <c r="S72" s="59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59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6</v>
      </c>
      <c r="M73" s="38" t="str">
        <f t="shared" si="109"/>
        <v>2</v>
      </c>
      <c r="N73" s="38" t="str">
        <f t="shared" si="110"/>
        <v>6</v>
      </c>
      <c r="O73" s="38" t="str">
        <f t="shared" si="111"/>
        <v>4</v>
      </c>
      <c r="P73" s="38" t="str">
        <f t="shared" si="112"/>
        <v>2</v>
      </c>
      <c r="Q73" s="38" t="str">
        <f t="shared" si="113"/>
        <v>0</v>
      </c>
      <c r="R73" s="39" t="str">
        <f t="shared" si="114"/>
        <v>1</v>
      </c>
      <c r="S73" s="59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1.0</v>
      </c>
      <c r="F74" s="43" t="s">
        <v>173</v>
      </c>
      <c r="G74" s="59"/>
      <c r="H74" s="44">
        <v>46199.0</v>
      </c>
      <c r="I74" s="45">
        <v>0.666666666666667</v>
      </c>
      <c r="J74" s="27"/>
      <c r="K74" s="46"/>
      <c r="S74" s="59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59"/>
      <c r="H76" s="16" t="s">
        <v>28</v>
      </c>
      <c r="I76" s="17" t="s">
        <v>29</v>
      </c>
      <c r="J76" s="18"/>
      <c r="K76" s="59"/>
      <c r="L76" s="59"/>
      <c r="M76" s="59"/>
      <c r="N76" s="59"/>
      <c r="O76" s="59"/>
      <c r="P76" s="59"/>
      <c r="Q76" s="59"/>
      <c r="R76" s="59"/>
      <c r="S76" s="59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3.0</v>
      </c>
      <c r="D77" s="19" t="s">
        <v>31</v>
      </c>
      <c r="E77" s="23">
        <v>1.0</v>
      </c>
      <c r="F77" s="34" t="s">
        <v>191</v>
      </c>
      <c r="G77" s="59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0.0</v>
      </c>
      <c r="D78" s="19" t="s">
        <v>31</v>
      </c>
      <c r="E78" s="23">
        <v>0.0</v>
      </c>
      <c r="F78" s="34" t="s">
        <v>193</v>
      </c>
      <c r="G78" s="59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7</v>
      </c>
      <c r="M78" s="19" t="str">
        <f t="shared" ref="M78:M81" si="122">N78-O78</f>
        <v>5</v>
      </c>
      <c r="N78" s="19" t="str">
        <f t="shared" ref="N78:N81" si="123">SUM(INDIRECT($AC78),INDIRECT($AD78),INDIRECT($AE78))</f>
        <v>7</v>
      </c>
      <c r="O78" s="19" t="str">
        <f t="shared" ref="O78:O81" si="124">SUM(INDIRECT($AF78),INDIRECT($AG78),INDIRECT($AH78))</f>
        <v>2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2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1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0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0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1.0</v>
      </c>
      <c r="D79" s="19" t="s">
        <v>31</v>
      </c>
      <c r="E79" s="23">
        <v>1.0</v>
      </c>
      <c r="F79" s="34" t="s">
        <v>192</v>
      </c>
      <c r="G79" s="59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3</v>
      </c>
      <c r="M79" s="19" t="str">
        <f t="shared" si="122"/>
        <v>-2</v>
      </c>
      <c r="N79" s="19" t="str">
        <f t="shared" si="123"/>
        <v>5</v>
      </c>
      <c r="O79" s="19" t="str">
        <f t="shared" si="124"/>
        <v>7</v>
      </c>
      <c r="P79" s="19" t="str">
        <f t="shared" si="125"/>
        <v>1</v>
      </c>
      <c r="Q79" s="19" t="str">
        <f t="shared" si="126"/>
        <v>0</v>
      </c>
      <c r="R79" s="36" t="str">
        <f t="shared" si="127"/>
        <v>2</v>
      </c>
      <c r="S79" s="59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2.0</v>
      </c>
      <c r="D80" s="19" t="s">
        <v>31</v>
      </c>
      <c r="E80" s="23">
        <v>3.0</v>
      </c>
      <c r="F80" s="34" t="s">
        <v>191</v>
      </c>
      <c r="G80" s="59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1</v>
      </c>
      <c r="M80" s="19" t="str">
        <f t="shared" si="122"/>
        <v>-4</v>
      </c>
      <c r="N80" s="19" t="str">
        <f t="shared" si="123"/>
        <v>2</v>
      </c>
      <c r="O80" s="19" t="str">
        <f t="shared" si="124"/>
        <v>6</v>
      </c>
      <c r="P80" s="19" t="str">
        <f t="shared" si="125"/>
        <v>0</v>
      </c>
      <c r="Q80" s="19" t="str">
        <f t="shared" si="126"/>
        <v>1</v>
      </c>
      <c r="R80" s="36" t="str">
        <f t="shared" si="127"/>
        <v>2</v>
      </c>
      <c r="S80" s="59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3.0</v>
      </c>
      <c r="F81" s="34" t="s">
        <v>190</v>
      </c>
      <c r="G81" s="59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5</v>
      </c>
      <c r="M81" s="38" t="str">
        <f t="shared" si="122"/>
        <v>1</v>
      </c>
      <c r="N81" s="38" t="str">
        <f t="shared" si="123"/>
        <v>3</v>
      </c>
      <c r="O81" s="38" t="str">
        <f t="shared" si="124"/>
        <v>2</v>
      </c>
      <c r="P81" s="38" t="str">
        <f t="shared" si="125"/>
        <v>1</v>
      </c>
      <c r="Q81" s="38" t="str">
        <f t="shared" si="126"/>
        <v>2</v>
      </c>
      <c r="R81" s="39" t="str">
        <f t="shared" si="127"/>
        <v>0</v>
      </c>
      <c r="S81" s="59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1.0</v>
      </c>
      <c r="D82" s="38" t="s">
        <v>31</v>
      </c>
      <c r="E82" s="42">
        <v>2.0</v>
      </c>
      <c r="F82" s="43" t="s">
        <v>192</v>
      </c>
      <c r="G82" s="59"/>
      <c r="H82" s="44">
        <v>46200.0</v>
      </c>
      <c r="I82" s="45">
        <v>0.958333333333333</v>
      </c>
      <c r="J82" s="27"/>
      <c r="K82" s="46"/>
      <c r="S82" s="59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59"/>
      <c r="H84" s="16" t="s">
        <v>28</v>
      </c>
      <c r="I84" s="17" t="s">
        <v>29</v>
      </c>
      <c r="J84" s="18"/>
      <c r="K84" s="59"/>
      <c r="L84" s="59"/>
      <c r="M84" s="59"/>
      <c r="N84" s="59"/>
      <c r="O84" s="59"/>
      <c r="P84" s="59"/>
      <c r="Q84" s="59"/>
      <c r="R84" s="59"/>
      <c r="S84" s="59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3.0</v>
      </c>
      <c r="D85" s="19" t="s">
        <v>31</v>
      </c>
      <c r="E85" s="23">
        <v>0.0</v>
      </c>
      <c r="F85" s="34" t="s">
        <v>208</v>
      </c>
      <c r="G85" s="59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0.0</v>
      </c>
      <c r="D86" s="19" t="s">
        <v>31</v>
      </c>
      <c r="E86" s="23">
        <v>2.0</v>
      </c>
      <c r="F86" s="34" t="s">
        <v>210</v>
      </c>
      <c r="G86" s="59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7</v>
      </c>
      <c r="M86" s="19" t="str">
        <f t="shared" ref="M86:M89" si="135">N86-O86</f>
        <v>4</v>
      </c>
      <c r="N86" s="19" t="str">
        <f t="shared" ref="N86:N89" si="136">SUM(INDIRECT($AC86),INDIRECT($AD86),INDIRECT($AE86))</f>
        <v>7</v>
      </c>
      <c r="O86" s="19" t="str">
        <f t="shared" ref="O86:O89" si="137">SUM(INDIRECT($AF86),INDIRECT($AG86),INDIRECT($AH86))</f>
        <v>3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1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0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1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3.0</v>
      </c>
      <c r="D87" s="19" t="s">
        <v>31</v>
      </c>
      <c r="E87" s="23">
        <v>1.0</v>
      </c>
      <c r="F87" s="34" t="s">
        <v>209</v>
      </c>
      <c r="G87" s="59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7</v>
      </c>
      <c r="M87" s="19" t="str">
        <f t="shared" si="135"/>
        <v>5</v>
      </c>
      <c r="N87" s="19" t="str">
        <f t="shared" si="136"/>
        <v>8</v>
      </c>
      <c r="O87" s="19" t="str">
        <f t="shared" si="137"/>
        <v>3</v>
      </c>
      <c r="P87" s="19" t="str">
        <f t="shared" si="138"/>
        <v>2</v>
      </c>
      <c r="Q87" s="19" t="str">
        <f t="shared" si="139"/>
        <v>1</v>
      </c>
      <c r="R87" s="36" t="str">
        <f t="shared" si="140"/>
        <v>0</v>
      </c>
      <c r="S87" s="59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3.0</v>
      </c>
      <c r="D88" s="19" t="s">
        <v>31</v>
      </c>
      <c r="E88" s="23">
        <v>1.0</v>
      </c>
      <c r="F88" s="34" t="s">
        <v>208</v>
      </c>
      <c r="G88" s="59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1</v>
      </c>
      <c r="M88" s="19" t="str">
        <f t="shared" si="135"/>
        <v>-5</v>
      </c>
      <c r="N88" s="19" t="str">
        <f t="shared" si="136"/>
        <v>1</v>
      </c>
      <c r="O88" s="19" t="str">
        <f t="shared" si="137"/>
        <v>6</v>
      </c>
      <c r="P88" s="19" t="str">
        <f t="shared" si="138"/>
        <v>0</v>
      </c>
      <c r="Q88" s="19" t="str">
        <f t="shared" si="139"/>
        <v>1</v>
      </c>
      <c r="R88" s="36" t="str">
        <f t="shared" si="140"/>
        <v>2</v>
      </c>
      <c r="S88" s="59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0.0</v>
      </c>
      <c r="D89" s="19" t="s">
        <v>31</v>
      </c>
      <c r="E89" s="23">
        <v>0.0</v>
      </c>
      <c r="F89" s="34" t="s">
        <v>209</v>
      </c>
      <c r="G89" s="59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1</v>
      </c>
      <c r="M89" s="38" t="str">
        <f t="shared" si="135"/>
        <v>-4</v>
      </c>
      <c r="N89" s="38" t="str">
        <f t="shared" si="136"/>
        <v>1</v>
      </c>
      <c r="O89" s="38" t="str">
        <f t="shared" si="137"/>
        <v>5</v>
      </c>
      <c r="P89" s="38" t="str">
        <f t="shared" si="138"/>
        <v>0</v>
      </c>
      <c r="Q89" s="38" t="str">
        <f t="shared" si="139"/>
        <v>1</v>
      </c>
      <c r="R89" s="39" t="str">
        <f t="shared" si="140"/>
        <v>2</v>
      </c>
      <c r="S89" s="59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2.0</v>
      </c>
      <c r="D90" s="38" t="s">
        <v>31</v>
      </c>
      <c r="E90" s="42">
        <v>2.0</v>
      </c>
      <c r="F90" s="43" t="s">
        <v>207</v>
      </c>
      <c r="G90" s="59"/>
      <c r="H90" s="44">
        <v>46200.0</v>
      </c>
      <c r="I90" s="45">
        <v>0.854166666666667</v>
      </c>
      <c r="J90" s="27"/>
      <c r="K90" s="46"/>
      <c r="S90" s="59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59"/>
      <c r="H92" s="16" t="s">
        <v>28</v>
      </c>
      <c r="I92" s="17" t="s">
        <v>29</v>
      </c>
      <c r="J92" s="18"/>
      <c r="K92" s="59"/>
      <c r="L92" s="59"/>
      <c r="M92" s="59"/>
      <c r="N92" s="59"/>
      <c r="O92" s="59"/>
      <c r="P92" s="59"/>
      <c r="Q92" s="59"/>
      <c r="R92" s="59"/>
      <c r="S92" s="59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1.0</v>
      </c>
      <c r="D93" s="19" t="s">
        <v>31</v>
      </c>
      <c r="E93" s="23">
        <v>1.0</v>
      </c>
      <c r="F93" s="34" t="s">
        <v>225</v>
      </c>
      <c r="G93" s="59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2.0</v>
      </c>
      <c r="D94" s="19" t="s">
        <v>31</v>
      </c>
      <c r="E94" s="23">
        <v>0.0</v>
      </c>
      <c r="F94" s="34" t="s">
        <v>227</v>
      </c>
      <c r="G94" s="59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5</v>
      </c>
      <c r="M94" s="19" t="str">
        <f t="shared" ref="M94:M97" si="148">N94-O94</f>
        <v>1</v>
      </c>
      <c r="N94" s="19" t="str">
        <f t="shared" ref="N94:N97" si="149">SUM(INDIRECT($AC94),INDIRECT($AD94),INDIRECT($AE94))</f>
        <v>4</v>
      </c>
      <c r="O94" s="19" t="str">
        <f t="shared" ref="O94:O97" si="150">SUM(INDIRECT($AF94),INDIRECT($AG94),INDIRECT($AH94))</f>
        <v>3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1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2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2.0</v>
      </c>
      <c r="D95" s="19" t="s">
        <v>31</v>
      </c>
      <c r="E95" s="23">
        <v>1.0</v>
      </c>
      <c r="F95" s="34" t="s">
        <v>226</v>
      </c>
      <c r="G95" s="59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4</v>
      </c>
      <c r="M95" s="19" t="str">
        <f t="shared" si="148"/>
        <v>1</v>
      </c>
      <c r="N95" s="19" t="str">
        <f t="shared" si="149"/>
        <v>4</v>
      </c>
      <c r="O95" s="19" t="str">
        <f t="shared" si="150"/>
        <v>3</v>
      </c>
      <c r="P95" s="19" t="str">
        <f t="shared" si="151"/>
        <v>1</v>
      </c>
      <c r="Q95" s="19" t="str">
        <f t="shared" si="152"/>
        <v>1</v>
      </c>
      <c r="R95" s="36" t="str">
        <f t="shared" si="153"/>
        <v>1</v>
      </c>
      <c r="S95" s="59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1.0</v>
      </c>
      <c r="D96" s="19" t="s">
        <v>31</v>
      </c>
      <c r="E96" s="23">
        <v>2.0</v>
      </c>
      <c r="F96" s="34" t="s">
        <v>225</v>
      </c>
      <c r="G96" s="59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7</v>
      </c>
      <c r="M96" s="19" t="str">
        <f t="shared" si="148"/>
        <v>5</v>
      </c>
      <c r="N96" s="19" t="str">
        <f t="shared" si="149"/>
        <v>7</v>
      </c>
      <c r="O96" s="19" t="str">
        <f t="shared" si="150"/>
        <v>2</v>
      </c>
      <c r="P96" s="19" t="str">
        <f t="shared" si="151"/>
        <v>2</v>
      </c>
      <c r="Q96" s="19" t="str">
        <f t="shared" si="152"/>
        <v>1</v>
      </c>
      <c r="R96" s="36" t="str">
        <f t="shared" si="153"/>
        <v>0</v>
      </c>
      <c r="S96" s="59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1.0</v>
      </c>
      <c r="D97" s="19" t="s">
        <v>31</v>
      </c>
      <c r="E97" s="23">
        <v>1.0</v>
      </c>
      <c r="F97" s="34" t="s">
        <v>226</v>
      </c>
      <c r="G97" s="59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-7</v>
      </c>
      <c r="N97" s="38" t="str">
        <f t="shared" si="149"/>
        <v>1</v>
      </c>
      <c r="O97" s="38" t="str">
        <f t="shared" si="150"/>
        <v>8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59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4.0</v>
      </c>
      <c r="F98" s="43" t="s">
        <v>224</v>
      </c>
      <c r="G98" s="59"/>
      <c r="H98" s="44">
        <v>46200.0</v>
      </c>
      <c r="I98" s="45">
        <v>0.75</v>
      </c>
      <c r="J98" s="27"/>
      <c r="K98" s="46"/>
      <c r="S98" s="59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83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250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8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5</v>
      </c>
      <c r="V3" s="9"/>
      <c r="W3" s="9"/>
      <c r="X3" s="10"/>
      <c r="Y3" s="83"/>
      <c r="Z3" s="83"/>
      <c r="AA3" s="83"/>
      <c r="AB3" s="83"/>
      <c r="AC3" s="83"/>
      <c r="AD3" s="83"/>
      <c r="AE3" s="83"/>
      <c r="AF3" s="83"/>
      <c r="AG3" s="83"/>
      <c r="AH3" s="83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19"/>
      <c r="Y4" s="83"/>
      <c r="Z4" s="83"/>
      <c r="AA4" s="83"/>
      <c r="AB4" s="83"/>
      <c r="AC4" s="83"/>
      <c r="AD4" s="83"/>
      <c r="AE4" s="83"/>
      <c r="AF4" s="83"/>
      <c r="AG4" s="83"/>
      <c r="AH4" s="83"/>
    </row>
    <row r="5" ht="13.5" customHeight="1">
      <c r="B5" s="21" t="s">
        <v>30</v>
      </c>
      <c r="C5" s="22">
        <v>1.0</v>
      </c>
      <c r="D5" s="19" t="s">
        <v>31</v>
      </c>
      <c r="E5" s="23">
        <v>0.0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2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83"/>
      <c r="AD5" s="83"/>
      <c r="AE5" s="83"/>
      <c r="AF5" s="83"/>
      <c r="AG5" s="83"/>
      <c r="AH5" s="83"/>
    </row>
    <row r="6" ht="13.5" customHeight="1">
      <c r="B6" s="21" t="s">
        <v>40</v>
      </c>
      <c r="C6" s="22">
        <v>1.0</v>
      </c>
      <c r="D6" s="19" t="s">
        <v>31</v>
      </c>
      <c r="E6" s="23">
        <v>2.0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4</v>
      </c>
      <c r="M6" s="19" t="str">
        <f t="shared" ref="M6:M9" si="5">N6-O6</f>
        <v>0</v>
      </c>
      <c r="N6" s="19" t="str">
        <f t="shared" ref="N6:N9" si="6">SUM(INDIRECT($AC6),INDIRECT($AD6),INDIRECT($AE6))</f>
        <v>4</v>
      </c>
      <c r="O6" s="19" t="str">
        <f t="shared" ref="O6:O9" si="7">SUM(INDIRECT($AF6),INDIRECT($AG6),INDIRECT($AH6))</f>
        <v>4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1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83" t="s">
        <v>42</v>
      </c>
      <c r="AD6" s="83" t="s">
        <v>43</v>
      </c>
      <c r="AE6" s="83" t="s">
        <v>44</v>
      </c>
      <c r="AF6" s="83" t="str">
        <f t="shared" ref="AF6:AH6" si="3">IF(ISNUMBER(FIND("C", AC6, 1)), SUBSTITUTE(AC6, "C", "E"), SUBSTITUTE(AC6, "E", "C"))</f>
        <v>E6</v>
      </c>
      <c r="AG6" s="83" t="str">
        <f t="shared" si="3"/>
        <v>C8</v>
      </c>
      <c r="AH6" s="83" t="str">
        <f t="shared" si="3"/>
        <v>C9</v>
      </c>
    </row>
    <row r="7" ht="12.75" customHeight="1">
      <c r="B7" s="21" t="s">
        <v>41</v>
      </c>
      <c r="C7" s="22">
        <v>2.0</v>
      </c>
      <c r="D7" s="19" t="s">
        <v>31</v>
      </c>
      <c r="E7" s="23">
        <v>0.0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5</v>
      </c>
      <c r="M7" s="19" t="str">
        <f t="shared" si="5"/>
        <v>1</v>
      </c>
      <c r="N7" s="19" t="str">
        <f t="shared" si="6"/>
        <v>2</v>
      </c>
      <c r="O7" s="19" t="str">
        <f t="shared" si="7"/>
        <v>1</v>
      </c>
      <c r="P7" s="19" t="str">
        <f t="shared" si="8"/>
        <v>1</v>
      </c>
      <c r="Q7" s="19" t="str">
        <f t="shared" si="9"/>
        <v>2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83" t="s">
        <v>45</v>
      </c>
      <c r="AD7" s="83" t="s">
        <v>46</v>
      </c>
      <c r="AE7" s="83" t="s">
        <v>47</v>
      </c>
      <c r="AF7" s="83" t="str">
        <f t="shared" ref="AF7:AH7" si="11">IF(ISNUMBER(FIND("C", AC7, 1)), SUBSTITUTE(AC7, "C", "E"), SUBSTITUTE(AC7, "E", "C"))</f>
        <v>E5</v>
      </c>
      <c r="AG7" s="83" t="str">
        <f t="shared" si="11"/>
        <v>E8</v>
      </c>
      <c r="AH7" s="83" t="str">
        <f t="shared" si="11"/>
        <v>C10</v>
      </c>
    </row>
    <row r="8" ht="12.75" customHeight="1">
      <c r="B8" s="21" t="s">
        <v>30</v>
      </c>
      <c r="C8" s="22">
        <v>1.0</v>
      </c>
      <c r="D8" s="19" t="s">
        <v>31</v>
      </c>
      <c r="E8" s="23">
        <v>1.0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7</v>
      </c>
      <c r="M8" s="19" t="str">
        <f t="shared" si="5"/>
        <v>3</v>
      </c>
      <c r="N8" s="19" t="str">
        <f t="shared" si="6"/>
        <v>4</v>
      </c>
      <c r="O8" s="19" t="str">
        <f t="shared" si="7"/>
        <v>1</v>
      </c>
      <c r="P8" s="19" t="str">
        <f t="shared" si="8"/>
        <v>2</v>
      </c>
      <c r="Q8" s="19" t="str">
        <f t="shared" si="9"/>
        <v>1</v>
      </c>
      <c r="R8" s="36" t="str">
        <f t="shared" si="10"/>
        <v>0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83" t="s">
        <v>48</v>
      </c>
      <c r="AD8" s="83" t="s">
        <v>49</v>
      </c>
      <c r="AE8" s="83" t="s">
        <v>50</v>
      </c>
      <c r="AF8" s="83" t="str">
        <f t="shared" ref="AF8:AH8" si="12">IF(ISNUMBER(FIND("C", AC8, 1)), SUBSTITUTE(AC8, "C", "E"), SUBSTITUTE(AC8, "E", "C"))</f>
        <v>C6</v>
      </c>
      <c r="AG8" s="83" t="str">
        <f t="shared" si="12"/>
        <v>E7</v>
      </c>
      <c r="AH8" s="83" t="str">
        <f t="shared" si="12"/>
        <v>E10</v>
      </c>
    </row>
    <row r="9" ht="12.75" customHeight="1">
      <c r="B9" s="21" t="s">
        <v>32</v>
      </c>
      <c r="C9" s="22">
        <v>1.0</v>
      </c>
      <c r="D9" s="19" t="s">
        <v>31</v>
      </c>
      <c r="E9" s="23">
        <v>2.0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0</v>
      </c>
      <c r="M9" s="38" t="str">
        <f t="shared" si="5"/>
        <v>-4</v>
      </c>
      <c r="N9" s="38" t="str">
        <f t="shared" si="6"/>
        <v>1</v>
      </c>
      <c r="O9" s="38" t="str">
        <f t="shared" si="7"/>
        <v>5</v>
      </c>
      <c r="P9" s="38" t="str">
        <f t="shared" si="8"/>
        <v>0</v>
      </c>
      <c r="Q9" s="38" t="str">
        <f t="shared" si="9"/>
        <v>0</v>
      </c>
      <c r="R9" s="39" t="str">
        <f t="shared" si="10"/>
        <v>3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83" t="s">
        <v>51</v>
      </c>
      <c r="AD9" s="83" t="s">
        <v>52</v>
      </c>
      <c r="AE9" s="83" t="s">
        <v>53</v>
      </c>
      <c r="AF9" s="83" t="str">
        <f t="shared" ref="AF9:AH9" si="13">IF(ISNUMBER(FIND("C", AC9, 1)), SUBSTITUTE(AC9, "C", "E"), SUBSTITUTE(AC9, "E", "C"))</f>
        <v>C5</v>
      </c>
      <c r="AG9" s="83" t="str">
        <f t="shared" si="13"/>
        <v>C7</v>
      </c>
      <c r="AH9" s="83" t="str">
        <f t="shared" si="13"/>
        <v>E9</v>
      </c>
    </row>
    <row r="10" ht="13.5" customHeight="1">
      <c r="B10" s="40" t="s">
        <v>41</v>
      </c>
      <c r="C10" s="41">
        <v>0.0</v>
      </c>
      <c r="D10" s="38" t="s">
        <v>31</v>
      </c>
      <c r="E10" s="42">
        <v>0.0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83"/>
      <c r="AD10" s="83"/>
      <c r="AE10" s="83"/>
      <c r="AF10" s="83"/>
      <c r="AG10" s="83"/>
      <c r="AH10" s="83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83"/>
      <c r="AD11" s="83"/>
      <c r="AE11" s="83"/>
      <c r="AF11" s="83"/>
      <c r="AG11" s="83"/>
      <c r="AH11" s="83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83"/>
      <c r="AD12" s="83"/>
      <c r="AE12" s="83"/>
      <c r="AF12" s="83"/>
      <c r="AG12" s="83"/>
      <c r="AH12" s="83"/>
    </row>
    <row r="13" ht="13.5" customHeight="1">
      <c r="B13" s="21" t="s">
        <v>55</v>
      </c>
      <c r="C13" s="22">
        <v>1.0</v>
      </c>
      <c r="D13" s="19" t="s">
        <v>31</v>
      </c>
      <c r="E13" s="23">
        <v>2.0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83"/>
      <c r="AD13" s="83"/>
      <c r="AE13" s="83"/>
      <c r="AF13" s="83"/>
      <c r="AG13" s="83"/>
      <c r="AH13" s="83"/>
    </row>
    <row r="14" ht="13.5" customHeight="1">
      <c r="B14" s="21" t="s">
        <v>57</v>
      </c>
      <c r="C14" s="22">
        <v>0.0</v>
      </c>
      <c r="D14" s="19" t="s">
        <v>31</v>
      </c>
      <c r="E14" s="23">
        <v>3.0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6</v>
      </c>
      <c r="M14" s="19" t="str">
        <f t="shared" ref="M14:M17" si="18">N14-O14</f>
        <v>1</v>
      </c>
      <c r="N14" s="19" t="str">
        <f t="shared" ref="N14:N17" si="19">SUM(INDIRECT($AC14),INDIRECT($AD14),INDIRECT($AE14))</f>
        <v>5</v>
      </c>
      <c r="O14" s="19" t="str">
        <f t="shared" ref="O14:O17" si="20">SUM(INDIRECT($AF14),INDIRECT($AG14),INDIRECT($AH14))</f>
        <v>4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2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0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1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83" t="s">
        <v>59</v>
      </c>
      <c r="AD14" s="83" t="s">
        <v>60</v>
      </c>
      <c r="AE14" s="83" t="s">
        <v>61</v>
      </c>
      <c r="AF14" s="83" t="str">
        <f t="shared" ref="AF14:AH14" si="16">IF(ISNUMBER(FIND("C", AC14, 1)), SUBSTITUTE(AC14, "C", "E"), SUBSTITUTE(AC14, "E", "C"))</f>
        <v>C13</v>
      </c>
      <c r="AG14" s="83" t="str">
        <f t="shared" si="16"/>
        <v>C15</v>
      </c>
      <c r="AH14" s="83" t="str">
        <f t="shared" si="16"/>
        <v>E18</v>
      </c>
    </row>
    <row r="15" ht="12.75" customHeight="1">
      <c r="B15" s="21" t="s">
        <v>58</v>
      </c>
      <c r="C15" s="22">
        <v>3.0</v>
      </c>
      <c r="D15" s="19" t="s">
        <v>31</v>
      </c>
      <c r="E15" s="23">
        <v>1.0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3</v>
      </c>
      <c r="M15" s="19" t="str">
        <f t="shared" si="18"/>
        <v>-1</v>
      </c>
      <c r="N15" s="19" t="str">
        <f t="shared" si="19"/>
        <v>4</v>
      </c>
      <c r="O15" s="19" t="str">
        <f t="shared" si="20"/>
        <v>5</v>
      </c>
      <c r="P15" s="19" t="str">
        <f t="shared" si="21"/>
        <v>1</v>
      </c>
      <c r="Q15" s="19" t="str">
        <f t="shared" si="22"/>
        <v>0</v>
      </c>
      <c r="R15" s="36" t="str">
        <f t="shared" si="23"/>
        <v>2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83" t="s">
        <v>62</v>
      </c>
      <c r="AD15" s="83" t="s">
        <v>63</v>
      </c>
      <c r="AE15" s="83" t="s">
        <v>64</v>
      </c>
      <c r="AF15" s="83" t="str">
        <f t="shared" ref="AF15:AH15" si="24">IF(ISNUMBER(FIND("C", AC15, 1)), SUBSTITUTE(AC15, "C", "E"), SUBSTITUTE(AC15, "E", "C"))</f>
        <v>E13</v>
      </c>
      <c r="AG15" s="83" t="str">
        <f t="shared" si="24"/>
        <v>E16</v>
      </c>
      <c r="AH15" s="83" t="str">
        <f t="shared" si="24"/>
        <v>C17</v>
      </c>
    </row>
    <row r="16" ht="12.75" customHeight="1">
      <c r="B16" s="21" t="s">
        <v>55</v>
      </c>
      <c r="C16" s="22">
        <v>3.0</v>
      </c>
      <c r="D16" s="19" t="s">
        <v>31</v>
      </c>
      <c r="E16" s="23">
        <v>1.0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-7</v>
      </c>
      <c r="N16" s="19" t="str">
        <f t="shared" si="19"/>
        <v>1</v>
      </c>
      <c r="O16" s="19" t="str">
        <f t="shared" si="20"/>
        <v>8</v>
      </c>
      <c r="P16" s="19" t="str">
        <f t="shared" si="21"/>
        <v>0</v>
      </c>
      <c r="Q16" s="19" t="str">
        <f t="shared" si="22"/>
        <v>0</v>
      </c>
      <c r="R16" s="36" t="str">
        <f t="shared" si="23"/>
        <v>3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83" t="s">
        <v>65</v>
      </c>
      <c r="AD16" s="83" t="s">
        <v>66</v>
      </c>
      <c r="AE16" s="83" t="s">
        <v>67</v>
      </c>
      <c r="AF16" s="83" t="str">
        <f t="shared" ref="AF16:AH16" si="25">IF(ISNUMBER(FIND("C", AC16, 1)), SUBSTITUTE(AC16, "C", "E"), SUBSTITUTE(AC16, "E", "C"))</f>
        <v>E14</v>
      </c>
      <c r="AG16" s="83" t="str">
        <f t="shared" si="25"/>
        <v>C16</v>
      </c>
      <c r="AH16" s="83" t="str">
        <f t="shared" si="25"/>
        <v>C18</v>
      </c>
    </row>
    <row r="17" ht="12.75" customHeight="1">
      <c r="B17" s="21" t="s">
        <v>58</v>
      </c>
      <c r="C17" s="22">
        <v>2.0</v>
      </c>
      <c r="D17" s="19" t="s">
        <v>31</v>
      </c>
      <c r="E17" s="23">
        <v>0.0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9</v>
      </c>
      <c r="M17" s="38" t="str">
        <f t="shared" si="18"/>
        <v>7</v>
      </c>
      <c r="N17" s="38" t="str">
        <f t="shared" si="19"/>
        <v>8</v>
      </c>
      <c r="O17" s="38" t="str">
        <f t="shared" si="20"/>
        <v>1</v>
      </c>
      <c r="P17" s="38" t="str">
        <f t="shared" si="21"/>
        <v>3</v>
      </c>
      <c r="Q17" s="38" t="str">
        <f t="shared" si="22"/>
        <v>0</v>
      </c>
      <c r="R17" s="39" t="str">
        <f t="shared" si="23"/>
        <v>0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83" t="s">
        <v>68</v>
      </c>
      <c r="AD17" s="83" t="s">
        <v>69</v>
      </c>
      <c r="AE17" s="83" t="s">
        <v>70</v>
      </c>
      <c r="AF17" s="83" t="str">
        <f t="shared" ref="AF17:AH17" si="26">IF(ISNUMBER(FIND("C", AC17, 1)), SUBSTITUTE(AC17, "C", "E"), SUBSTITUTE(AC17, "E", "C"))</f>
        <v>C14</v>
      </c>
      <c r="AG17" s="83" t="str">
        <f t="shared" si="26"/>
        <v>E15</v>
      </c>
      <c r="AH17" s="83" t="str">
        <f t="shared" si="26"/>
        <v>E17</v>
      </c>
    </row>
    <row r="18" ht="13.5" customHeight="1">
      <c r="B18" s="40" t="s">
        <v>56</v>
      </c>
      <c r="C18" s="41">
        <v>2.0</v>
      </c>
      <c r="D18" s="38" t="s">
        <v>31</v>
      </c>
      <c r="E18" s="42">
        <v>0.0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83"/>
      <c r="AD18" s="83"/>
      <c r="AE18" s="83"/>
      <c r="AF18" s="83"/>
      <c r="AG18" s="83"/>
      <c r="AH18" s="83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83"/>
      <c r="AD19" s="83"/>
      <c r="AE19" s="83"/>
      <c r="AF19" s="83"/>
      <c r="AG19" s="83"/>
      <c r="AH19" s="83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83"/>
      <c r="AD20" s="83"/>
      <c r="AE20" s="83"/>
      <c r="AF20" s="83"/>
      <c r="AG20" s="83"/>
      <c r="AH20" s="83"/>
    </row>
    <row r="21" ht="13.5" customHeight="1">
      <c r="B21" s="21" t="s">
        <v>72</v>
      </c>
      <c r="C21" s="22">
        <v>1.0</v>
      </c>
      <c r="D21" s="19" t="s">
        <v>31</v>
      </c>
      <c r="E21" s="23">
        <v>2.0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83"/>
      <c r="AD21" s="83"/>
      <c r="AE21" s="83"/>
      <c r="AF21" s="83"/>
      <c r="AG21" s="83"/>
      <c r="AH21" s="83"/>
    </row>
    <row r="22" ht="13.5" customHeight="1">
      <c r="B22" s="21" t="s">
        <v>74</v>
      </c>
      <c r="C22" s="22">
        <v>0.0</v>
      </c>
      <c r="D22" s="19" t="s">
        <v>31</v>
      </c>
      <c r="E22" s="23">
        <v>2.0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6</v>
      </c>
      <c r="M22" s="19" t="str">
        <f t="shared" ref="M22:M25" si="31">N22-O22</f>
        <v>5</v>
      </c>
      <c r="N22" s="19" t="str">
        <f t="shared" ref="N22:N25" si="32">SUM(INDIRECT($AC22),INDIRECT($AD22),INDIRECT($AE22))</f>
        <v>7</v>
      </c>
      <c r="O22" s="19" t="str">
        <f t="shared" ref="O22:O25" si="33">SUM(INDIRECT($AF22),INDIRECT($AG22),INDIRECT($AH22))</f>
        <v>2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2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1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1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83" t="s">
        <v>76</v>
      </c>
      <c r="AD22" s="83" t="s">
        <v>77</v>
      </c>
      <c r="AE22" s="83" t="s">
        <v>78</v>
      </c>
      <c r="AF22" s="83" t="str">
        <f t="shared" ref="AF22:AH22" si="29">IF(ISNUMBER(FIND("C", AC22, 1)), SUBSTITUTE(AC22, "C", "E"), SUBSTITUTE(AC22, "E", "C"))</f>
        <v>E21</v>
      </c>
      <c r="AG22" s="83" t="str">
        <f t="shared" si="29"/>
        <v>E24</v>
      </c>
      <c r="AH22" s="83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1.0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4</v>
      </c>
      <c r="M23" s="19" t="str">
        <f t="shared" si="31"/>
        <v>0</v>
      </c>
      <c r="N23" s="19" t="str">
        <f t="shared" si="32"/>
        <v>3</v>
      </c>
      <c r="O23" s="19" t="str">
        <f t="shared" si="33"/>
        <v>3</v>
      </c>
      <c r="P23" s="19" t="str">
        <f t="shared" si="34"/>
        <v>1</v>
      </c>
      <c r="Q23" s="19" t="str">
        <f t="shared" si="35"/>
        <v>1</v>
      </c>
      <c r="R23" s="36" t="str">
        <f t="shared" si="36"/>
        <v>1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83" t="s">
        <v>79</v>
      </c>
      <c r="AD23" s="83" t="s">
        <v>80</v>
      </c>
      <c r="AE23" s="83" t="s">
        <v>81</v>
      </c>
      <c r="AF23" s="83" t="str">
        <f t="shared" ref="AF23:AH23" si="37">IF(ISNUMBER(FIND("C", AC23, 1)), SUBSTITUTE(AC23, "C", "E"), SUBSTITUTE(AC23, "E", "C"))</f>
        <v>C22</v>
      </c>
      <c r="AG23" s="83" t="str">
        <f t="shared" si="37"/>
        <v>E23</v>
      </c>
      <c r="AH23" s="83" t="str">
        <f t="shared" si="37"/>
        <v>E26</v>
      </c>
    </row>
    <row r="24" ht="12.75" customHeight="1">
      <c r="B24" s="21" t="s">
        <v>72</v>
      </c>
      <c r="C24" s="22">
        <v>4.0</v>
      </c>
      <c r="D24" s="19" t="s">
        <v>31</v>
      </c>
      <c r="E24" s="23">
        <v>0.0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-8</v>
      </c>
      <c r="N24" s="19" t="str">
        <f t="shared" si="32"/>
        <v>1</v>
      </c>
      <c r="O24" s="19" t="str">
        <f t="shared" si="33"/>
        <v>9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83" t="s">
        <v>82</v>
      </c>
      <c r="AD24" s="83" t="s">
        <v>83</v>
      </c>
      <c r="AE24" s="83" t="s">
        <v>84</v>
      </c>
      <c r="AF24" s="83" t="str">
        <f t="shared" ref="AF24:AH24" si="38">IF(ISNUMBER(FIND("C", AC24, 1)), SUBSTITUTE(AC24, "C", "E"), SUBSTITUTE(AC24, "E", "C"))</f>
        <v>E22</v>
      </c>
      <c r="AG24" s="83" t="str">
        <f t="shared" si="38"/>
        <v>C24</v>
      </c>
      <c r="AH24" s="83" t="str">
        <f t="shared" si="38"/>
        <v>C25</v>
      </c>
    </row>
    <row r="25" ht="12.75" customHeight="1">
      <c r="B25" s="21" t="s">
        <v>73</v>
      </c>
      <c r="C25" s="22">
        <v>3.0</v>
      </c>
      <c r="D25" s="19" t="s">
        <v>31</v>
      </c>
      <c r="E25" s="23">
        <v>1.0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7</v>
      </c>
      <c r="M25" s="38" t="str">
        <f t="shared" si="31"/>
        <v>3</v>
      </c>
      <c r="N25" s="38" t="str">
        <f t="shared" si="32"/>
        <v>6</v>
      </c>
      <c r="O25" s="38" t="str">
        <f t="shared" si="33"/>
        <v>3</v>
      </c>
      <c r="P25" s="38" t="str">
        <f t="shared" si="34"/>
        <v>2</v>
      </c>
      <c r="Q25" s="38" t="str">
        <f t="shared" si="35"/>
        <v>1</v>
      </c>
      <c r="R25" s="39" t="str">
        <f t="shared" si="36"/>
        <v>0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83" t="s">
        <v>85</v>
      </c>
      <c r="AD25" s="83" t="s">
        <v>86</v>
      </c>
      <c r="AE25" s="83" t="s">
        <v>87</v>
      </c>
      <c r="AF25" s="83" t="str">
        <f t="shared" ref="AF25:AH25" si="39">IF(ISNUMBER(FIND("C", AC25, 1)), SUBSTITUTE(AC25, "C", "E"), SUBSTITUTE(AC25, "E", "C"))</f>
        <v>C21</v>
      </c>
      <c r="AG25" s="83" t="str">
        <f t="shared" si="39"/>
        <v>C23</v>
      </c>
      <c r="AH25" s="83" t="str">
        <f t="shared" si="39"/>
        <v>E25</v>
      </c>
    </row>
    <row r="26" ht="13.5" customHeight="1">
      <c r="B26" s="40" t="s">
        <v>75</v>
      </c>
      <c r="C26" s="41">
        <v>0.0</v>
      </c>
      <c r="D26" s="38" t="s">
        <v>31</v>
      </c>
      <c r="E26" s="42">
        <v>2.0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83"/>
      <c r="AD26" s="83"/>
      <c r="AE26" s="83"/>
      <c r="AF26" s="83"/>
      <c r="AG26" s="83"/>
      <c r="AH26" s="83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83"/>
      <c r="AD27" s="83"/>
      <c r="AE27" s="83"/>
      <c r="AF27" s="83"/>
      <c r="AG27" s="83"/>
      <c r="AH27" s="83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83"/>
      <c r="AD28" s="83"/>
      <c r="AE28" s="83"/>
      <c r="AF28" s="83"/>
      <c r="AG28" s="83"/>
      <c r="AH28" s="83"/>
    </row>
    <row r="29" ht="13.5" customHeight="1">
      <c r="B29" s="21" t="s">
        <v>89</v>
      </c>
      <c r="C29" s="22">
        <v>1.0</v>
      </c>
      <c r="D29" s="19" t="s">
        <v>31</v>
      </c>
      <c r="E29" s="23">
        <v>1.0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83"/>
      <c r="AD29" s="83"/>
      <c r="AE29" s="83"/>
      <c r="AF29" s="83"/>
      <c r="AG29" s="83"/>
      <c r="AH29" s="83"/>
    </row>
    <row r="30" ht="13.5" customHeight="1">
      <c r="B30" s="21" t="s">
        <v>91</v>
      </c>
      <c r="C30" s="22">
        <v>1.0</v>
      </c>
      <c r="D30" s="19" t="s">
        <v>31</v>
      </c>
      <c r="E30" s="23">
        <v>2.0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0</v>
      </c>
      <c r="M30" s="19" t="str">
        <f t="shared" ref="M30:M33" si="44">N30-O30</f>
        <v>-4</v>
      </c>
      <c r="N30" s="19" t="str">
        <f t="shared" ref="N30:N33" si="45">SUM(INDIRECT($AC30),INDIRECT($AD30),INDIRECT($AE30))</f>
        <v>1</v>
      </c>
      <c r="O30" s="19" t="str">
        <f t="shared" ref="O30:O33" si="46">SUM(INDIRECT($AF30),INDIRECT($AG30),INDIRECT($AH30))</f>
        <v>5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3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83" t="s">
        <v>93</v>
      </c>
      <c r="AD30" s="83" t="s">
        <v>94</v>
      </c>
      <c r="AE30" s="83" t="s">
        <v>95</v>
      </c>
      <c r="AF30" s="83" t="str">
        <f t="shared" ref="AF30:AH30" si="42">IF(ISNUMBER(FIND("C", AC30, 1)), SUBSTITUTE(AC30, "C", "E"), SUBSTITUTE(AC30, "E", "C"))</f>
        <v>E30</v>
      </c>
      <c r="AG30" s="83" t="str">
        <f t="shared" si="42"/>
        <v>C31</v>
      </c>
      <c r="AH30" s="83" t="str">
        <f t="shared" si="42"/>
        <v>C34</v>
      </c>
    </row>
    <row r="31" ht="12.75" customHeight="1">
      <c r="B31" s="21" t="s">
        <v>89</v>
      </c>
      <c r="C31" s="22">
        <v>2.0</v>
      </c>
      <c r="D31" s="19" t="s">
        <v>31</v>
      </c>
      <c r="E31" s="23">
        <v>0.0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4</v>
      </c>
      <c r="M31" s="19" t="str">
        <f t="shared" si="44"/>
        <v>0</v>
      </c>
      <c r="N31" s="19" t="str">
        <f t="shared" si="45"/>
        <v>3</v>
      </c>
      <c r="O31" s="19" t="str">
        <f t="shared" si="46"/>
        <v>3</v>
      </c>
      <c r="P31" s="19" t="str">
        <f t="shared" si="47"/>
        <v>1</v>
      </c>
      <c r="Q31" s="19" t="str">
        <f t="shared" si="48"/>
        <v>1</v>
      </c>
      <c r="R31" s="36" t="str">
        <f t="shared" si="49"/>
        <v>1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83" t="s">
        <v>96</v>
      </c>
      <c r="AD31" s="83" t="s">
        <v>97</v>
      </c>
      <c r="AE31" s="83" t="s">
        <v>98</v>
      </c>
      <c r="AF31" s="83" t="str">
        <f t="shared" ref="AF31:AH31" si="50">IF(ISNUMBER(FIND("C", AC31, 1)), SUBSTITUTE(AC31, "C", "E"), SUBSTITUTE(AC31, "E", "C"))</f>
        <v>E29</v>
      </c>
      <c r="AG31" s="83" t="str">
        <f t="shared" si="50"/>
        <v>E31</v>
      </c>
      <c r="AH31" s="83" t="str">
        <f t="shared" si="50"/>
        <v>C33</v>
      </c>
    </row>
    <row r="32" ht="12.75" customHeight="1">
      <c r="B32" s="21" t="s">
        <v>92</v>
      </c>
      <c r="C32" s="22">
        <v>1.0</v>
      </c>
      <c r="D32" s="19" t="s">
        <v>31</v>
      </c>
      <c r="E32" s="23">
        <v>2.0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4</v>
      </c>
      <c r="M32" s="19" t="str">
        <f t="shared" si="44"/>
        <v>0</v>
      </c>
      <c r="N32" s="19" t="str">
        <f t="shared" si="45"/>
        <v>3</v>
      </c>
      <c r="O32" s="19" t="str">
        <f t="shared" si="46"/>
        <v>3</v>
      </c>
      <c r="P32" s="19" t="str">
        <f t="shared" si="47"/>
        <v>1</v>
      </c>
      <c r="Q32" s="19" t="str">
        <f t="shared" si="48"/>
        <v>1</v>
      </c>
      <c r="R32" s="36" t="str">
        <f t="shared" si="49"/>
        <v>1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83" t="s">
        <v>99</v>
      </c>
      <c r="AD32" s="83" t="s">
        <v>100</v>
      </c>
      <c r="AE32" s="83" t="s">
        <v>95</v>
      </c>
      <c r="AF32" s="83" t="str">
        <f t="shared" ref="AF32:AH32" si="51">IF(ISNUMBER(FIND("C", AC32, 1)), SUBSTITUTE(AC32, "C", "E"), SUBSTITUTE(AC32, "E", "C"))</f>
        <v>C29</v>
      </c>
      <c r="AG32" s="83" t="str">
        <f t="shared" si="51"/>
        <v>C32</v>
      </c>
      <c r="AH32" s="83" t="str">
        <f t="shared" si="51"/>
        <v>C34</v>
      </c>
    </row>
    <row r="33" ht="12.75" customHeight="1">
      <c r="B33" s="21" t="s">
        <v>92</v>
      </c>
      <c r="C33" s="22">
        <v>2.0</v>
      </c>
      <c r="D33" s="19" t="s">
        <v>31</v>
      </c>
      <c r="E33" s="23">
        <v>0.0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6</v>
      </c>
      <c r="M33" s="38" t="str">
        <f t="shared" si="44"/>
        <v>2</v>
      </c>
      <c r="N33" s="38" t="str">
        <f t="shared" si="45"/>
        <v>5</v>
      </c>
      <c r="O33" s="38" t="str">
        <f t="shared" si="46"/>
        <v>3</v>
      </c>
      <c r="P33" s="38" t="str">
        <f t="shared" si="47"/>
        <v>2</v>
      </c>
      <c r="Q33" s="38" t="str">
        <f t="shared" si="48"/>
        <v>0</v>
      </c>
      <c r="R33" s="39" t="str">
        <f t="shared" si="49"/>
        <v>1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83" t="s">
        <v>101</v>
      </c>
      <c r="AD33" s="83" t="s">
        <v>102</v>
      </c>
      <c r="AE33" s="83" t="s">
        <v>103</v>
      </c>
      <c r="AF33" s="83" t="str">
        <f t="shared" ref="AF33:AH33" si="52">IF(ISNUMBER(FIND("C", AC33, 1)), SUBSTITUTE(AC33, "C", "E"), SUBSTITUTE(AC33, "E", "C"))</f>
        <v>C30</v>
      </c>
      <c r="AG33" s="83" t="str">
        <f t="shared" si="52"/>
        <v>E32</v>
      </c>
      <c r="AH33" s="83" t="str">
        <f t="shared" si="52"/>
        <v>E33</v>
      </c>
    </row>
    <row r="34" ht="13.5" customHeight="1">
      <c r="B34" s="40" t="s">
        <v>90</v>
      </c>
      <c r="C34" s="41">
        <v>1.0</v>
      </c>
      <c r="D34" s="38" t="s">
        <v>31</v>
      </c>
      <c r="E34" s="42">
        <v>0.0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83"/>
      <c r="AD34" s="83"/>
      <c r="AE34" s="83"/>
      <c r="AF34" s="83"/>
      <c r="AG34" s="83"/>
      <c r="AH34" s="83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83"/>
      <c r="AD35" s="83"/>
      <c r="AE35" s="83"/>
      <c r="AF35" s="83"/>
      <c r="AG35" s="83"/>
      <c r="AH35" s="83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83"/>
      <c r="AD36" s="83"/>
      <c r="AE36" s="83"/>
      <c r="AF36" s="83"/>
      <c r="AG36" s="83"/>
      <c r="AH36" s="83"/>
    </row>
    <row r="37" ht="13.5" customHeight="1">
      <c r="B37" s="21" t="s">
        <v>105</v>
      </c>
      <c r="C37" s="22">
        <v>5.0</v>
      </c>
      <c r="D37" s="19" t="s">
        <v>31</v>
      </c>
      <c r="E37" s="23">
        <v>0.0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83"/>
      <c r="AD37" s="83"/>
      <c r="AE37" s="83"/>
      <c r="AF37" s="83"/>
      <c r="AG37" s="83"/>
      <c r="AH37" s="83"/>
    </row>
    <row r="38" ht="13.5" customHeight="1">
      <c r="B38" s="21" t="s">
        <v>107</v>
      </c>
      <c r="C38" s="22">
        <v>0.0</v>
      </c>
      <c r="D38" s="19" t="s">
        <v>31</v>
      </c>
      <c r="E38" s="23">
        <v>2.0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7</v>
      </c>
      <c r="M38" s="19" t="str">
        <f t="shared" ref="M38:M41" si="57">N38-O38</f>
        <v>6</v>
      </c>
      <c r="N38" s="19" t="str">
        <f t="shared" ref="N38:N41" si="58">SUM(INDIRECT($AC38),INDIRECT($AD38),INDIRECT($AE38))</f>
        <v>9</v>
      </c>
      <c r="O38" s="19" t="str">
        <f t="shared" ref="O38:O41" si="59">SUM(INDIRECT($AF38),INDIRECT($AG38),INDIRECT($AH38))</f>
        <v>3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2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1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83" t="s">
        <v>109</v>
      </c>
      <c r="AD38" s="83" t="s">
        <v>110</v>
      </c>
      <c r="AE38" s="83" t="s">
        <v>111</v>
      </c>
      <c r="AF38" s="83" t="str">
        <f t="shared" ref="AF38:AH38" si="55">IF(ISNUMBER(FIND("C", AC38, 1)), SUBSTITUTE(AC38, "C", "E"), SUBSTITUTE(AC38, "E", "C"))</f>
        <v>E37</v>
      </c>
      <c r="AG38" s="83" t="str">
        <f t="shared" si="55"/>
        <v>E39</v>
      </c>
      <c r="AH38" s="83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2.0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4</v>
      </c>
      <c r="M39" s="19" t="str">
        <f t="shared" si="57"/>
        <v>0</v>
      </c>
      <c r="N39" s="19" t="str">
        <f t="shared" si="58"/>
        <v>4</v>
      </c>
      <c r="O39" s="19" t="str">
        <f t="shared" si="59"/>
        <v>4</v>
      </c>
      <c r="P39" s="19" t="str">
        <f t="shared" si="60"/>
        <v>1</v>
      </c>
      <c r="Q39" s="19" t="str">
        <f t="shared" si="61"/>
        <v>1</v>
      </c>
      <c r="R39" s="36" t="str">
        <f t="shared" si="62"/>
        <v>1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83" t="s">
        <v>112</v>
      </c>
      <c r="AD39" s="83" t="s">
        <v>113</v>
      </c>
      <c r="AE39" s="83" t="s">
        <v>114</v>
      </c>
      <c r="AF39" s="83" t="str">
        <f t="shared" ref="AF39:AH39" si="63">IF(ISNUMBER(FIND("C", AC39, 1)), SUBSTITUTE(AC39, "C", "E"), SUBSTITUTE(AC39, "E", "C"))</f>
        <v>E38</v>
      </c>
      <c r="AG39" s="83" t="str">
        <f t="shared" si="63"/>
        <v>C39</v>
      </c>
      <c r="AH39" s="83" t="str">
        <f t="shared" si="63"/>
        <v>C42</v>
      </c>
    </row>
    <row r="40" ht="12.75" customHeight="1">
      <c r="B40" s="21" t="s">
        <v>108</v>
      </c>
      <c r="C40" s="22">
        <v>3.0</v>
      </c>
      <c r="D40" s="19" t="s">
        <v>31</v>
      </c>
      <c r="E40" s="23">
        <v>1.0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-9</v>
      </c>
      <c r="N40" s="19" t="str">
        <f t="shared" si="58"/>
        <v>1</v>
      </c>
      <c r="O40" s="19" t="str">
        <f t="shared" si="59"/>
        <v>10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83" t="s">
        <v>115</v>
      </c>
      <c r="AD40" s="83" t="s">
        <v>116</v>
      </c>
      <c r="AE40" s="83" t="s">
        <v>117</v>
      </c>
      <c r="AF40" s="83" t="str">
        <f t="shared" ref="AF40:AH40" si="64">IF(ISNUMBER(FIND("C", AC40, 1)), SUBSTITUTE(AC40, "C", "E"), SUBSTITUTE(AC40, "E", "C"))</f>
        <v>C37</v>
      </c>
      <c r="AG40" s="83" t="str">
        <f t="shared" si="64"/>
        <v>C40</v>
      </c>
      <c r="AH40" s="83" t="str">
        <f t="shared" si="64"/>
        <v>E42</v>
      </c>
    </row>
    <row r="41" ht="12.75" customHeight="1">
      <c r="B41" s="21" t="s">
        <v>108</v>
      </c>
      <c r="C41" s="22">
        <v>1.0</v>
      </c>
      <c r="D41" s="19" t="s">
        <v>31</v>
      </c>
      <c r="E41" s="23">
        <v>2.0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6</v>
      </c>
      <c r="M41" s="38" t="str">
        <f t="shared" si="57"/>
        <v>3</v>
      </c>
      <c r="N41" s="38" t="str">
        <f t="shared" si="58"/>
        <v>6</v>
      </c>
      <c r="O41" s="38" t="str">
        <f t="shared" si="59"/>
        <v>3</v>
      </c>
      <c r="P41" s="38" t="str">
        <f t="shared" si="60"/>
        <v>2</v>
      </c>
      <c r="Q41" s="38" t="str">
        <f t="shared" si="61"/>
        <v>0</v>
      </c>
      <c r="R41" s="39" t="str">
        <f t="shared" si="62"/>
        <v>1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83" t="s">
        <v>118</v>
      </c>
      <c r="AD41" s="83" t="s">
        <v>119</v>
      </c>
      <c r="AE41" s="83" t="s">
        <v>120</v>
      </c>
      <c r="AF41" s="83" t="str">
        <f t="shared" ref="AF41:AH41" si="65">IF(ISNUMBER(FIND("C", AC41, 1)), SUBSTITUTE(AC41, "C", "E"), SUBSTITUTE(AC41, "E", "C"))</f>
        <v>C38</v>
      </c>
      <c r="AG41" s="83" t="str">
        <f t="shared" si="65"/>
        <v>E40</v>
      </c>
      <c r="AH41" s="83" t="str">
        <f t="shared" si="65"/>
        <v>E41</v>
      </c>
    </row>
    <row r="42" ht="13.5" customHeight="1">
      <c r="B42" s="40" t="s">
        <v>106</v>
      </c>
      <c r="C42" s="41">
        <v>0.0</v>
      </c>
      <c r="D42" s="38" t="s">
        <v>31</v>
      </c>
      <c r="E42" s="42">
        <v>2.0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83"/>
      <c r="AD42" s="83"/>
      <c r="AE42" s="83"/>
      <c r="AF42" s="83"/>
      <c r="AG42" s="83"/>
      <c r="AH42" s="83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83"/>
      <c r="AD43" s="83"/>
      <c r="AE43" s="83"/>
      <c r="AF43" s="83"/>
      <c r="AG43" s="83"/>
      <c r="AH43" s="83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83"/>
      <c r="AD44" s="83"/>
      <c r="AE44" s="83"/>
      <c r="AF44" s="83"/>
      <c r="AG44" s="83"/>
      <c r="AH44" s="83"/>
    </row>
    <row r="45" ht="13.5" customHeight="1">
      <c r="B45" s="21" t="s">
        <v>122</v>
      </c>
      <c r="C45" s="22">
        <v>1.0</v>
      </c>
      <c r="D45" s="19" t="s">
        <v>31</v>
      </c>
      <c r="E45" s="23">
        <v>2.0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83"/>
      <c r="AD45" s="83"/>
      <c r="AE45" s="83"/>
      <c r="AF45" s="83"/>
      <c r="AG45" s="83"/>
      <c r="AH45" s="83"/>
    </row>
    <row r="46" ht="13.5" customHeight="1">
      <c r="B46" s="21" t="s">
        <v>124</v>
      </c>
      <c r="C46" s="22">
        <v>1.0</v>
      </c>
      <c r="D46" s="19" t="s">
        <v>31</v>
      </c>
      <c r="E46" s="23">
        <v>1.0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6</v>
      </c>
      <c r="M46" s="19" t="str">
        <f t="shared" ref="M46:M49" si="70">N46-O46</f>
        <v>3</v>
      </c>
      <c r="N46" s="19" t="str">
        <f t="shared" ref="N46:N49" si="71">SUM(INDIRECT($AC46),INDIRECT($AD46),INDIRECT($AE46))</f>
        <v>6</v>
      </c>
      <c r="O46" s="19" t="str">
        <f t="shared" ref="O46:O49" si="72">SUM(INDIRECT($AF46),INDIRECT($AG46),INDIRECT($AH46))</f>
        <v>3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2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1</v>
      </c>
      <c r="S46" s="31"/>
      <c r="T46" s="32" t="str">
        <f t="shared" si="66"/>
        <v/>
      </c>
      <c r="U46" s="19" t="str">
        <f t="shared" si="67"/>
        <v>0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0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83" t="s">
        <v>126</v>
      </c>
      <c r="AD46" s="83" t="s">
        <v>127</v>
      </c>
      <c r="AE46" s="83" t="s">
        <v>128</v>
      </c>
      <c r="AF46" s="83" t="str">
        <f t="shared" ref="AF46:AH46" si="68">IF(ISNUMBER(FIND("C", AC46, 1)), SUBSTITUTE(AC46, "C", "E"), SUBSTITUTE(AC46, "E", "C"))</f>
        <v>E45</v>
      </c>
      <c r="AG46" s="83" t="str">
        <f t="shared" si="68"/>
        <v>E47</v>
      </c>
      <c r="AH46" s="83" t="str">
        <f t="shared" si="68"/>
        <v>C49</v>
      </c>
    </row>
    <row r="47" ht="12.75" customHeight="1">
      <c r="B47" s="21" t="s">
        <v>122</v>
      </c>
      <c r="C47" s="22">
        <v>3.0</v>
      </c>
      <c r="D47" s="19" t="s">
        <v>31</v>
      </c>
      <c r="E47" s="23">
        <v>1.0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7</v>
      </c>
      <c r="M47" s="19" t="str">
        <f t="shared" si="70"/>
        <v>3</v>
      </c>
      <c r="N47" s="19" t="str">
        <f t="shared" si="71"/>
        <v>6</v>
      </c>
      <c r="O47" s="19" t="str">
        <f t="shared" si="72"/>
        <v>3</v>
      </c>
      <c r="P47" s="19" t="str">
        <f t="shared" si="73"/>
        <v>2</v>
      </c>
      <c r="Q47" s="19" t="str">
        <f t="shared" si="74"/>
        <v>1</v>
      </c>
      <c r="R47" s="36" t="str">
        <f t="shared" si="75"/>
        <v>0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83" t="s">
        <v>129</v>
      </c>
      <c r="AD47" s="83" t="s">
        <v>130</v>
      </c>
      <c r="AE47" s="83" t="s">
        <v>131</v>
      </c>
      <c r="AF47" s="83" t="str">
        <f t="shared" ref="AF47:AH47" si="76">IF(ISNUMBER(FIND("C", AC47, 1)), SUBSTITUTE(AC47, "C", "E"), SUBSTITUTE(AC47, "E", "C"))</f>
        <v>C45</v>
      </c>
      <c r="AG47" s="83" t="str">
        <f t="shared" si="76"/>
        <v>C48</v>
      </c>
      <c r="AH47" s="83" t="str">
        <f t="shared" si="76"/>
        <v>E50</v>
      </c>
    </row>
    <row r="48" ht="12.75" customHeight="1">
      <c r="B48" s="21" t="s">
        <v>125</v>
      </c>
      <c r="C48" s="22">
        <v>1.0</v>
      </c>
      <c r="D48" s="19" t="s">
        <v>31</v>
      </c>
      <c r="E48" s="23">
        <v>1.0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1</v>
      </c>
      <c r="M48" s="19" t="str">
        <f t="shared" si="70"/>
        <v>-4</v>
      </c>
      <c r="N48" s="19" t="str">
        <f t="shared" si="71"/>
        <v>3</v>
      </c>
      <c r="O48" s="19" t="str">
        <f t="shared" si="72"/>
        <v>7</v>
      </c>
      <c r="P48" s="19" t="str">
        <f t="shared" si="73"/>
        <v>0</v>
      </c>
      <c r="Q48" s="19" t="str">
        <f t="shared" si="74"/>
        <v>1</v>
      </c>
      <c r="R48" s="36" t="str">
        <f t="shared" si="75"/>
        <v>2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83" t="s">
        <v>132</v>
      </c>
      <c r="AD48" s="83" t="s">
        <v>133</v>
      </c>
      <c r="AE48" s="83" t="s">
        <v>134</v>
      </c>
      <c r="AF48" s="83" t="str">
        <f t="shared" ref="AF48:AH48" si="77">IF(ISNUMBER(FIND("C", AC48, 1)), SUBSTITUTE(AC48, "C", "E"), SUBSTITUTE(AC48, "E", "C"))</f>
        <v>E46</v>
      </c>
      <c r="AG48" s="83" t="str">
        <f t="shared" si="77"/>
        <v>C47</v>
      </c>
      <c r="AH48" s="83" t="str">
        <f t="shared" si="77"/>
        <v>C50</v>
      </c>
    </row>
    <row r="49" ht="12.75" customHeight="1">
      <c r="B49" s="21" t="s">
        <v>125</v>
      </c>
      <c r="C49" s="22">
        <v>0.0</v>
      </c>
      <c r="D49" s="19" t="s">
        <v>31</v>
      </c>
      <c r="E49" s="23">
        <v>2.0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2</v>
      </c>
      <c r="M49" s="38" t="str">
        <f t="shared" si="70"/>
        <v>-2</v>
      </c>
      <c r="N49" s="38" t="str">
        <f t="shared" si="71"/>
        <v>2</v>
      </c>
      <c r="O49" s="38" t="str">
        <f t="shared" si="72"/>
        <v>4</v>
      </c>
      <c r="P49" s="38" t="str">
        <f t="shared" si="73"/>
        <v>0</v>
      </c>
      <c r="Q49" s="38" t="str">
        <f t="shared" si="74"/>
        <v>2</v>
      </c>
      <c r="R49" s="39" t="str">
        <f t="shared" si="75"/>
        <v>1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83" t="s">
        <v>135</v>
      </c>
      <c r="AD49" s="83" t="s">
        <v>136</v>
      </c>
      <c r="AE49" s="83" t="s">
        <v>137</v>
      </c>
      <c r="AF49" s="83" t="str">
        <f t="shared" ref="AF49:AH49" si="78">IF(ISNUMBER(FIND("C", AC49, 1)), SUBSTITUTE(AC49, "C", "E"), SUBSTITUTE(AC49, "E", "C"))</f>
        <v>C46</v>
      </c>
      <c r="AG49" s="83" t="str">
        <f t="shared" si="78"/>
        <v>E48</v>
      </c>
      <c r="AH49" s="83" t="str">
        <f t="shared" si="78"/>
        <v>E49</v>
      </c>
    </row>
    <row r="50" ht="13.5" customHeight="1">
      <c r="B50" s="40" t="s">
        <v>123</v>
      </c>
      <c r="C50" s="41">
        <v>3.0</v>
      </c>
      <c r="D50" s="38" t="s">
        <v>31</v>
      </c>
      <c r="E50" s="42">
        <v>1.0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83"/>
      <c r="AD50" s="83"/>
      <c r="AE50" s="83"/>
      <c r="AF50" s="83"/>
      <c r="AG50" s="83"/>
      <c r="AH50" s="83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83"/>
      <c r="AD51" s="83"/>
      <c r="AE51" s="83"/>
      <c r="AF51" s="83"/>
      <c r="AG51" s="83"/>
      <c r="AH51" s="83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83"/>
      <c r="AD52" s="83"/>
      <c r="AE52" s="83"/>
      <c r="AF52" s="83"/>
      <c r="AG52" s="83"/>
      <c r="AH52" s="83"/>
    </row>
    <row r="53" ht="13.5" customHeight="1">
      <c r="B53" s="21" t="s">
        <v>139</v>
      </c>
      <c r="C53" s="22">
        <v>2.0</v>
      </c>
      <c r="D53" s="19" t="s">
        <v>31</v>
      </c>
      <c r="E53" s="23">
        <v>0.0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83"/>
      <c r="AD53" s="83"/>
      <c r="AE53" s="83"/>
      <c r="AF53" s="83"/>
      <c r="AG53" s="83"/>
      <c r="AH53" s="83"/>
    </row>
    <row r="54" ht="13.5" customHeight="1">
      <c r="B54" s="21" t="s">
        <v>141</v>
      </c>
      <c r="C54" s="22">
        <v>2.0</v>
      </c>
      <c r="D54" s="19" t="s">
        <v>31</v>
      </c>
      <c r="E54" s="23">
        <v>1.0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7</v>
      </c>
      <c r="M54" s="19" t="str">
        <f t="shared" ref="M54:M57" si="83">N54-O54</f>
        <v>5</v>
      </c>
      <c r="N54" s="19" t="str">
        <f t="shared" ref="N54:N57" si="84">SUM(INDIRECT($AC54),INDIRECT($AD54),INDIRECT($AE54))</f>
        <v>9</v>
      </c>
      <c r="O54" s="19" t="str">
        <f t="shared" ref="O54:O57" si="85">SUM(INDIRECT($AF54),INDIRECT($AG54),INDIRECT($AH54))</f>
        <v>4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2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1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83" t="s">
        <v>143</v>
      </c>
      <c r="AD54" s="83" t="s">
        <v>144</v>
      </c>
      <c r="AE54" s="83" t="s">
        <v>145</v>
      </c>
      <c r="AF54" s="83" t="str">
        <f t="shared" ref="AF54:AH54" si="81">IF(ISNUMBER(FIND("C", AC54, 1)), SUBSTITUTE(AC54, "C", "E"), SUBSTITUTE(AC54, "E", "C"))</f>
        <v>E53</v>
      </c>
      <c r="AG54" s="83" t="str">
        <f t="shared" si="81"/>
        <v>E55</v>
      </c>
      <c r="AH54" s="83" t="str">
        <f t="shared" si="81"/>
        <v>C58</v>
      </c>
    </row>
    <row r="55" ht="12.75" customHeight="1">
      <c r="B55" s="21" t="s">
        <v>139</v>
      </c>
      <c r="C55" s="22">
        <v>2.0</v>
      </c>
      <c r="D55" s="19" t="s">
        <v>31</v>
      </c>
      <c r="E55" s="23">
        <v>2.0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3</v>
      </c>
      <c r="M55" s="19" t="str">
        <f t="shared" si="83"/>
        <v>-3</v>
      </c>
      <c r="N55" s="19" t="str">
        <f t="shared" si="84"/>
        <v>2</v>
      </c>
      <c r="O55" s="19" t="str">
        <f t="shared" si="85"/>
        <v>5</v>
      </c>
      <c r="P55" s="19" t="str">
        <f t="shared" si="86"/>
        <v>1</v>
      </c>
      <c r="Q55" s="19" t="str">
        <f t="shared" si="87"/>
        <v>0</v>
      </c>
      <c r="R55" s="36" t="str">
        <f t="shared" si="88"/>
        <v>2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83" t="s">
        <v>146</v>
      </c>
      <c r="AD55" s="83" t="s">
        <v>147</v>
      </c>
      <c r="AE55" s="83" t="s">
        <v>148</v>
      </c>
      <c r="AF55" s="83" t="str">
        <f t="shared" ref="AF55:AH55" si="89">IF(ISNUMBER(FIND("C", AC55, 1)), SUBSTITUTE(AC55, "C", "E"), SUBSTITUTE(AC55, "E", "C"))</f>
        <v>C53</v>
      </c>
      <c r="AG55" s="83" t="str">
        <f t="shared" si="89"/>
        <v>C56</v>
      </c>
      <c r="AH55" s="83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1.0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7</v>
      </c>
      <c r="M56" s="19" t="str">
        <f t="shared" si="83"/>
        <v>3</v>
      </c>
      <c r="N56" s="19" t="str">
        <f t="shared" si="84"/>
        <v>7</v>
      </c>
      <c r="O56" s="19" t="str">
        <f t="shared" si="85"/>
        <v>4</v>
      </c>
      <c r="P56" s="19" t="str">
        <f t="shared" si="86"/>
        <v>2</v>
      </c>
      <c r="Q56" s="19" t="str">
        <f t="shared" si="87"/>
        <v>1</v>
      </c>
      <c r="R56" s="36" t="str">
        <f t="shared" si="88"/>
        <v>0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83" t="s">
        <v>149</v>
      </c>
      <c r="AD56" s="83" t="s">
        <v>150</v>
      </c>
      <c r="AE56" s="83" t="s">
        <v>151</v>
      </c>
      <c r="AF56" s="83" t="str">
        <f t="shared" ref="AF56:AH56" si="90">IF(ISNUMBER(FIND("C", AC56, 1)), SUBSTITUTE(AC56, "C", "E"), SUBSTITUTE(AC56, "E", "C"))</f>
        <v>E54</v>
      </c>
      <c r="AG56" s="83" t="str">
        <f t="shared" si="90"/>
        <v>C55</v>
      </c>
      <c r="AH56" s="83" t="str">
        <f t="shared" si="90"/>
        <v>C57</v>
      </c>
    </row>
    <row r="57" ht="12.75" customHeight="1">
      <c r="B57" s="21" t="s">
        <v>140</v>
      </c>
      <c r="C57" s="22">
        <v>1.0</v>
      </c>
      <c r="D57" s="19" t="s">
        <v>31</v>
      </c>
      <c r="E57" s="23">
        <v>3.0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0</v>
      </c>
      <c r="M57" s="38" t="str">
        <f t="shared" si="83"/>
        <v>-5</v>
      </c>
      <c r="N57" s="38" t="str">
        <f t="shared" si="84"/>
        <v>3</v>
      </c>
      <c r="O57" s="38" t="str">
        <f t="shared" si="85"/>
        <v>8</v>
      </c>
      <c r="P57" s="38" t="str">
        <f t="shared" si="86"/>
        <v>0</v>
      </c>
      <c r="Q57" s="38" t="str">
        <f t="shared" si="87"/>
        <v>0</v>
      </c>
      <c r="R57" s="39" t="str">
        <f t="shared" si="88"/>
        <v>3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83" t="s">
        <v>152</v>
      </c>
      <c r="AD57" s="83" t="s">
        <v>153</v>
      </c>
      <c r="AE57" s="83" t="s">
        <v>154</v>
      </c>
      <c r="AF57" s="83" t="str">
        <f t="shared" ref="AF57:AH57" si="91">IF(ISNUMBER(FIND("C", AC57, 1)), SUBSTITUTE(AC57, "C", "E"), SUBSTITUTE(AC57, "E", "C"))</f>
        <v>C54</v>
      </c>
      <c r="AG57" s="83" t="str">
        <f t="shared" si="91"/>
        <v>E56</v>
      </c>
      <c r="AH57" s="83" t="str">
        <f t="shared" si="91"/>
        <v>E58</v>
      </c>
    </row>
    <row r="58" ht="13.5" customHeight="1">
      <c r="B58" s="40" t="s">
        <v>142</v>
      </c>
      <c r="C58" s="41">
        <v>2.0</v>
      </c>
      <c r="D58" s="38" t="s">
        <v>31</v>
      </c>
      <c r="E58" s="42">
        <v>5.0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83"/>
      <c r="AD58" s="83"/>
      <c r="AE58" s="83"/>
      <c r="AF58" s="83"/>
      <c r="AG58" s="83"/>
      <c r="AH58" s="83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83"/>
      <c r="AD59" s="83"/>
      <c r="AE59" s="83"/>
      <c r="AF59" s="83"/>
      <c r="AG59" s="83"/>
      <c r="AH59" s="83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83"/>
      <c r="AD60" s="83"/>
      <c r="AE60" s="83"/>
      <c r="AF60" s="83"/>
      <c r="AG60" s="83"/>
      <c r="AH60" s="83"/>
    </row>
    <row r="61" ht="13.5" customHeight="1">
      <c r="B61" s="21" t="s">
        <v>156</v>
      </c>
      <c r="C61" s="22">
        <v>3.0</v>
      </c>
      <c r="D61" s="19" t="s">
        <v>31</v>
      </c>
      <c r="E61" s="23">
        <v>1.0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83"/>
      <c r="AD61" s="83"/>
      <c r="AE61" s="83"/>
      <c r="AF61" s="83"/>
      <c r="AG61" s="83"/>
      <c r="AH61" s="83"/>
    </row>
    <row r="62" ht="13.5" customHeight="1">
      <c r="B62" s="21" t="s">
        <v>158</v>
      </c>
      <c r="C62" s="22">
        <v>1.0</v>
      </c>
      <c r="D62" s="19" t="s">
        <v>31</v>
      </c>
      <c r="E62" s="23">
        <v>2.0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1</v>
      </c>
      <c r="M62" s="19" t="str">
        <f t="shared" ref="M62:M65" si="96">N62-O62</f>
        <v>-3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6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0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1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83" t="s">
        <v>160</v>
      </c>
      <c r="AD62" s="83" t="s">
        <v>161</v>
      </c>
      <c r="AE62" s="83" t="s">
        <v>162</v>
      </c>
      <c r="AF62" s="83" t="str">
        <f t="shared" ref="AF62:AH62" si="94">IF(ISNUMBER(FIND("C", AC62, 1)), SUBSTITUTE(AC62, "C", "E"), SUBSTITUTE(AC62, "E", "C"))</f>
        <v>E62</v>
      </c>
      <c r="AG62" s="83" t="str">
        <f t="shared" si="94"/>
        <v>C63</v>
      </c>
      <c r="AH62" s="83" t="str">
        <f t="shared" si="94"/>
        <v>C65</v>
      </c>
    </row>
    <row r="63" ht="12.75" customHeight="1">
      <c r="B63" s="21" t="s">
        <v>156</v>
      </c>
      <c r="C63" s="22">
        <v>2.0</v>
      </c>
      <c r="D63" s="19" t="s">
        <v>31</v>
      </c>
      <c r="E63" s="23">
        <v>0.0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1</v>
      </c>
      <c r="M63" s="19" t="str">
        <f t="shared" si="96"/>
        <v>-3</v>
      </c>
      <c r="N63" s="19" t="str">
        <f t="shared" si="97"/>
        <v>3</v>
      </c>
      <c r="O63" s="19" t="str">
        <f t="shared" si="98"/>
        <v>6</v>
      </c>
      <c r="P63" s="19" t="str">
        <f t="shared" si="99"/>
        <v>0</v>
      </c>
      <c r="Q63" s="19" t="str">
        <f t="shared" si="100"/>
        <v>1</v>
      </c>
      <c r="R63" s="36" t="str">
        <f t="shared" si="101"/>
        <v>2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83" t="s">
        <v>163</v>
      </c>
      <c r="AD63" s="83" t="s">
        <v>164</v>
      </c>
      <c r="AE63" s="83" t="s">
        <v>165</v>
      </c>
      <c r="AF63" s="83" t="str">
        <f t="shared" ref="AF63:AH63" si="102">IF(ISNUMBER(FIND("C", AC63, 1)), SUBSTITUTE(AC63, "C", "E"), SUBSTITUTE(AC63, "E", "C"))</f>
        <v>C61</v>
      </c>
      <c r="AG63" s="83" t="str">
        <f t="shared" si="102"/>
        <v>C64</v>
      </c>
      <c r="AH63" s="83" t="str">
        <f t="shared" si="102"/>
        <v>E65</v>
      </c>
    </row>
    <row r="64" ht="12.75" customHeight="1">
      <c r="B64" s="21" t="s">
        <v>159</v>
      </c>
      <c r="C64" s="22">
        <v>1.0</v>
      </c>
      <c r="D64" s="19" t="s">
        <v>31</v>
      </c>
      <c r="E64" s="23">
        <v>0.0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5</v>
      </c>
      <c r="N64" s="19" t="str">
        <f t="shared" si="97"/>
        <v>7</v>
      </c>
      <c r="O64" s="19" t="str">
        <f t="shared" si="98"/>
        <v>2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83" t="s">
        <v>166</v>
      </c>
      <c r="AD64" s="83" t="s">
        <v>167</v>
      </c>
      <c r="AE64" s="83" t="s">
        <v>168</v>
      </c>
      <c r="AF64" s="83" t="str">
        <f t="shared" ref="AF64:AH64" si="103">IF(ISNUMBER(FIND("C", AC64, 1)), SUBSTITUTE(AC64, "C", "E"), SUBSTITUTE(AC64, "E", "C"))</f>
        <v>E61</v>
      </c>
      <c r="AG64" s="83" t="str">
        <f t="shared" si="103"/>
        <v>E63</v>
      </c>
      <c r="AH64" s="83" t="str">
        <f t="shared" si="103"/>
        <v>C66</v>
      </c>
    </row>
    <row r="65" ht="12.75" customHeight="1">
      <c r="B65" s="21" t="s">
        <v>157</v>
      </c>
      <c r="C65" s="22">
        <v>2.0</v>
      </c>
      <c r="D65" s="19" t="s">
        <v>31</v>
      </c>
      <c r="E65" s="23">
        <v>2.0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1</v>
      </c>
      <c r="N65" s="38" t="str">
        <f t="shared" si="97"/>
        <v>4</v>
      </c>
      <c r="O65" s="38" t="str">
        <f t="shared" si="98"/>
        <v>3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83" t="s">
        <v>169</v>
      </c>
      <c r="AD65" s="83" t="s">
        <v>170</v>
      </c>
      <c r="AE65" s="83" t="s">
        <v>171</v>
      </c>
      <c r="AF65" s="83" t="str">
        <f t="shared" ref="AF65:AH65" si="104">IF(ISNUMBER(FIND("C", AC65, 1)), SUBSTITUTE(AC65, "C", "E"), SUBSTITUTE(AC65, "E", "C"))</f>
        <v>C62</v>
      </c>
      <c r="AG65" s="83" t="str">
        <f t="shared" si="104"/>
        <v>E64</v>
      </c>
      <c r="AH65" s="83" t="str">
        <f t="shared" si="104"/>
        <v>E66</v>
      </c>
    </row>
    <row r="66" ht="13.5" customHeight="1">
      <c r="B66" s="40" t="s">
        <v>159</v>
      </c>
      <c r="C66" s="41">
        <v>1.0</v>
      </c>
      <c r="D66" s="38" t="s">
        <v>31</v>
      </c>
      <c r="E66" s="42">
        <v>2.0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83"/>
      <c r="AD66" s="83"/>
      <c r="AE66" s="83"/>
      <c r="AF66" s="83"/>
      <c r="AG66" s="83"/>
      <c r="AH66" s="83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83"/>
      <c r="AD67" s="83"/>
      <c r="AE67" s="83"/>
      <c r="AF67" s="83"/>
      <c r="AG67" s="83"/>
      <c r="AH67" s="83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83"/>
      <c r="AD68" s="83"/>
      <c r="AE68" s="83"/>
      <c r="AF68" s="83"/>
      <c r="AG68" s="83"/>
      <c r="AH68" s="83"/>
    </row>
    <row r="69" ht="12.75" customHeight="1">
      <c r="B69" s="21" t="s">
        <v>173</v>
      </c>
      <c r="C69" s="22">
        <v>2.0</v>
      </c>
      <c r="D69" s="19" t="s">
        <v>31</v>
      </c>
      <c r="E69" s="23">
        <v>0.0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0</v>
      </c>
      <c r="AB69" s="6" t="str">
        <f>IF(
  AND(
    ISNUMBER(RESULTADOS!C69),
    ISNUMBER(RESULTADOS!E69),
    ISNUMBER(C69),
    ISNUMBER(E69),
    AND(Z69=1,AA69=0,(RESULTADOS!C69-RESULTADOS!E69)=(C69-E69))
  ),
  1,
  0
)</f>
        <v>1</v>
      </c>
      <c r="AC69" s="83"/>
      <c r="AD69" s="83"/>
      <c r="AE69" s="83"/>
      <c r="AF69" s="83"/>
      <c r="AG69" s="83"/>
      <c r="AH69" s="83"/>
    </row>
    <row r="70" ht="12.75" customHeight="1">
      <c r="B70" s="21" t="s">
        <v>175</v>
      </c>
      <c r="C70" s="22">
        <v>1.0</v>
      </c>
      <c r="D70" s="19" t="s">
        <v>31</v>
      </c>
      <c r="E70" s="23">
        <v>3.0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7</v>
      </c>
      <c r="N70" s="19" t="str">
        <f t="shared" ref="N70:N73" si="110">SUM(INDIRECT($AC70),INDIRECT($AD70),INDIRECT($AE70))</f>
        <v>8</v>
      </c>
      <c r="O70" s="19" t="str">
        <f t="shared" ref="O70:O73" si="111">SUM(INDIRECT($AF70),INDIRECT($AG70),INDIRECT($AH70))</f>
        <v>1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2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1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83" t="s">
        <v>177</v>
      </c>
      <c r="AD70" s="83" t="s">
        <v>178</v>
      </c>
      <c r="AE70" s="83" t="s">
        <v>179</v>
      </c>
      <c r="AF70" s="83" t="str">
        <f t="shared" ref="AF70:AH70" si="107">IF(ISNUMBER(FIND("C", AC70, 1)), SUBSTITUTE(AC70, "C", "E"), SUBSTITUTE(AC70, "E", "C"))</f>
        <v>E69</v>
      </c>
      <c r="AG70" s="83" t="str">
        <f t="shared" si="107"/>
        <v>E71</v>
      </c>
      <c r="AH70" s="83" t="str">
        <f t="shared" si="107"/>
        <v>C74</v>
      </c>
    </row>
    <row r="71" ht="12.75" customHeight="1">
      <c r="B71" s="21" t="s">
        <v>173</v>
      </c>
      <c r="C71" s="22">
        <v>4.0</v>
      </c>
      <c r="D71" s="19" t="s">
        <v>31</v>
      </c>
      <c r="E71" s="23">
        <v>0.0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-8</v>
      </c>
      <c r="N71" s="19" t="str">
        <f t="shared" si="110"/>
        <v>1</v>
      </c>
      <c r="O71" s="19" t="str">
        <f t="shared" si="111"/>
        <v>9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83" t="s">
        <v>180</v>
      </c>
      <c r="AD71" s="83" t="s">
        <v>181</v>
      </c>
      <c r="AE71" s="83" t="s">
        <v>182</v>
      </c>
      <c r="AF71" s="83" t="str">
        <f t="shared" ref="AF71:AH71" si="115">IF(ISNUMBER(FIND("C", AC71, 1)), SUBSTITUTE(AC71, "C", "E"), SUBSTITUTE(AC71, "E", "C"))</f>
        <v>E70</v>
      </c>
      <c r="AG71" s="83" t="str">
        <f t="shared" si="115"/>
        <v>C71</v>
      </c>
      <c r="AH71" s="83" t="str">
        <f t="shared" si="115"/>
        <v>C73</v>
      </c>
    </row>
    <row r="72" ht="12.75" customHeight="1">
      <c r="B72" s="21" t="s">
        <v>176</v>
      </c>
      <c r="C72" s="22">
        <v>1.0</v>
      </c>
      <c r="D72" s="19" t="s">
        <v>31</v>
      </c>
      <c r="E72" s="23">
        <v>2.0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3</v>
      </c>
      <c r="M72" s="19" t="str">
        <f t="shared" si="109"/>
        <v>0</v>
      </c>
      <c r="N72" s="19" t="str">
        <f t="shared" si="110"/>
        <v>5</v>
      </c>
      <c r="O72" s="19" t="str">
        <f t="shared" si="111"/>
        <v>5</v>
      </c>
      <c r="P72" s="19" t="str">
        <f t="shared" si="112"/>
        <v>1</v>
      </c>
      <c r="Q72" s="19" t="str">
        <f t="shared" si="113"/>
        <v>0</v>
      </c>
      <c r="R72" s="36" t="str">
        <f t="shared" si="114"/>
        <v>2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83" t="s">
        <v>183</v>
      </c>
      <c r="AD72" s="83" t="s">
        <v>184</v>
      </c>
      <c r="AE72" s="83" t="s">
        <v>185</v>
      </c>
      <c r="AF72" s="83" t="str">
        <f t="shared" ref="AF72:AH72" si="116">IF(ISNUMBER(FIND("C", AC72, 1)), SUBSTITUTE(AC72, "C", "E"), SUBSTITUTE(AC72, "E", "C"))</f>
        <v>C70</v>
      </c>
      <c r="AG72" s="83" t="str">
        <f t="shared" si="116"/>
        <v>E72</v>
      </c>
      <c r="AH72" s="83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6</v>
      </c>
      <c r="M73" s="38" t="str">
        <f t="shared" si="109"/>
        <v>1</v>
      </c>
      <c r="N73" s="38" t="str">
        <f t="shared" si="110"/>
        <v>4</v>
      </c>
      <c r="O73" s="38" t="str">
        <f t="shared" si="111"/>
        <v>3</v>
      </c>
      <c r="P73" s="38" t="str">
        <f t="shared" si="112"/>
        <v>2</v>
      </c>
      <c r="Q73" s="38" t="str">
        <f t="shared" si="113"/>
        <v>0</v>
      </c>
      <c r="R73" s="39" t="str">
        <f t="shared" si="114"/>
        <v>1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83" t="s">
        <v>186</v>
      </c>
      <c r="AD73" s="83" t="s">
        <v>187</v>
      </c>
      <c r="AE73" s="83" t="s">
        <v>188</v>
      </c>
      <c r="AF73" s="83" t="str">
        <f t="shared" ref="AF73:AH73" si="117">IF(ISNUMBER(FIND("C", AC73, 1)), SUBSTITUTE(AC73, "C", "E"), SUBSTITUTE(AC73, "E", "C"))</f>
        <v>C69</v>
      </c>
      <c r="AG73" s="83" t="str">
        <f t="shared" si="117"/>
        <v>C72</v>
      </c>
      <c r="AH73" s="83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2.0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83"/>
      <c r="AD74" s="83"/>
      <c r="AE74" s="83"/>
      <c r="AF74" s="83"/>
      <c r="AG74" s="83"/>
      <c r="AH74" s="83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83"/>
      <c r="AD75" s="83"/>
      <c r="AE75" s="83"/>
      <c r="AF75" s="83"/>
      <c r="AG75" s="83"/>
      <c r="AH75" s="83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83"/>
      <c r="AD76" s="83"/>
      <c r="AE76" s="83"/>
      <c r="AF76" s="83"/>
      <c r="AG76" s="83"/>
      <c r="AH76" s="83"/>
    </row>
    <row r="77" ht="12.75" customHeight="1">
      <c r="B77" s="21" t="s">
        <v>190</v>
      </c>
      <c r="C77" s="22">
        <v>3.0</v>
      </c>
      <c r="D77" s="19" t="s">
        <v>31</v>
      </c>
      <c r="E77" s="23">
        <v>1.0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83"/>
      <c r="AD77" s="83"/>
      <c r="AE77" s="83"/>
      <c r="AF77" s="83"/>
      <c r="AG77" s="83"/>
      <c r="AH77" s="83"/>
    </row>
    <row r="78" ht="12.75" customHeight="1">
      <c r="B78" s="21" t="s">
        <v>192</v>
      </c>
      <c r="C78" s="22">
        <v>2.0</v>
      </c>
      <c r="D78" s="19" t="s">
        <v>31</v>
      </c>
      <c r="E78" s="23">
        <v>0.0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8</v>
      </c>
      <c r="N78" s="19" t="str">
        <f t="shared" ref="N78:N81" si="123">SUM(INDIRECT($AC78),INDIRECT($AD78),INDIRECT($AE78))</f>
        <v>9</v>
      </c>
      <c r="O78" s="19" t="str">
        <f t="shared" ref="O78:O81" si="124">SUM(INDIRECT($AF78),INDIRECT($AG78),INDIRECT($AH78))</f>
        <v>1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2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1</v>
      </c>
      <c r="AC78" s="83" t="s">
        <v>194</v>
      </c>
      <c r="AD78" s="83" t="s">
        <v>195</v>
      </c>
      <c r="AE78" s="83" t="s">
        <v>196</v>
      </c>
      <c r="AF78" s="83" t="str">
        <f t="shared" ref="AF78:AH78" si="120">IF(ISNUMBER(FIND("C", AC78, 1)), SUBSTITUTE(AC78, "C", "E"), SUBSTITUTE(AC78, "E", "C"))</f>
        <v>E77</v>
      </c>
      <c r="AG78" s="83" t="str">
        <f t="shared" si="120"/>
        <v>E79</v>
      </c>
      <c r="AH78" s="83" t="str">
        <f t="shared" si="120"/>
        <v>C81</v>
      </c>
    </row>
    <row r="79" ht="12.75" customHeight="1">
      <c r="B79" s="21" t="s">
        <v>190</v>
      </c>
      <c r="C79" s="22">
        <v>2.0</v>
      </c>
      <c r="D79" s="19" t="s">
        <v>31</v>
      </c>
      <c r="E79" s="23">
        <v>0.0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3</v>
      </c>
      <c r="M79" s="19" t="str">
        <f t="shared" si="122"/>
        <v>-3</v>
      </c>
      <c r="N79" s="19" t="str">
        <f t="shared" si="123"/>
        <v>5</v>
      </c>
      <c r="O79" s="19" t="str">
        <f t="shared" si="124"/>
        <v>8</v>
      </c>
      <c r="P79" s="19" t="str">
        <f t="shared" si="125"/>
        <v>1</v>
      </c>
      <c r="Q79" s="19" t="str">
        <f t="shared" si="126"/>
        <v>0</v>
      </c>
      <c r="R79" s="36" t="str">
        <f t="shared" si="127"/>
        <v>2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83" t="s">
        <v>197</v>
      </c>
      <c r="AD79" s="83" t="s">
        <v>198</v>
      </c>
      <c r="AE79" s="83" t="s">
        <v>199</v>
      </c>
      <c r="AF79" s="83" t="str">
        <f t="shared" ref="AF79:AH79" si="128">IF(ISNUMBER(FIND("C", AC79, 1)), SUBSTITUTE(AC79, "C", "E"), SUBSTITUTE(AC79, "E", "C"))</f>
        <v>C77</v>
      </c>
      <c r="AG79" s="83" t="str">
        <f t="shared" si="128"/>
        <v>C80</v>
      </c>
      <c r="AH79" s="83" t="str">
        <f t="shared" si="128"/>
        <v>E82</v>
      </c>
    </row>
    <row r="80" ht="12.75" customHeight="1">
      <c r="B80" s="21" t="s">
        <v>193</v>
      </c>
      <c r="C80" s="22">
        <v>2.0</v>
      </c>
      <c r="D80" s="19" t="s">
        <v>31</v>
      </c>
      <c r="E80" s="23">
        <v>3.0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-7</v>
      </c>
      <c r="N80" s="19" t="str">
        <f t="shared" si="123"/>
        <v>2</v>
      </c>
      <c r="O80" s="19" t="str">
        <f t="shared" si="124"/>
        <v>9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3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83" t="s">
        <v>200</v>
      </c>
      <c r="AD80" s="83" t="s">
        <v>201</v>
      </c>
      <c r="AE80" s="83" t="s">
        <v>202</v>
      </c>
      <c r="AF80" s="83" t="str">
        <f t="shared" ref="AF80:AH80" si="129">IF(ISNUMBER(FIND("C", AC80, 1)), SUBSTITUTE(AC80, "C", "E"), SUBSTITUTE(AC80, "E", "C"))</f>
        <v>C78</v>
      </c>
      <c r="AG80" s="83" t="str">
        <f t="shared" si="129"/>
        <v>E80</v>
      </c>
      <c r="AH80" s="83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4.0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6</v>
      </c>
      <c r="M81" s="38" t="str">
        <f t="shared" si="122"/>
        <v>2</v>
      </c>
      <c r="N81" s="38" t="str">
        <f t="shared" si="123"/>
        <v>5</v>
      </c>
      <c r="O81" s="38" t="str">
        <f t="shared" si="124"/>
        <v>3</v>
      </c>
      <c r="P81" s="38" t="str">
        <f t="shared" si="125"/>
        <v>2</v>
      </c>
      <c r="Q81" s="38" t="str">
        <f t="shared" si="126"/>
        <v>0</v>
      </c>
      <c r="R81" s="39" t="str">
        <f t="shared" si="127"/>
        <v>1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83" t="s">
        <v>203</v>
      </c>
      <c r="AD81" s="83" t="s">
        <v>204</v>
      </c>
      <c r="AE81" s="83" t="s">
        <v>205</v>
      </c>
      <c r="AF81" s="83" t="str">
        <f t="shared" ref="AF81:AH81" si="130">IF(ISNUMBER(FIND("C", AC81, 1)), SUBSTITUTE(AC81, "C", "E"), SUBSTITUTE(AC81, "E", "C"))</f>
        <v>E78</v>
      </c>
      <c r="AG81" s="83" t="str">
        <f t="shared" si="130"/>
        <v>C79</v>
      </c>
      <c r="AH81" s="83" t="str">
        <f t="shared" si="130"/>
        <v>C82</v>
      </c>
    </row>
    <row r="82" ht="12.75" customHeight="1">
      <c r="B82" s="40" t="s">
        <v>191</v>
      </c>
      <c r="C82" s="41">
        <v>1.0</v>
      </c>
      <c r="D82" s="38" t="s">
        <v>31</v>
      </c>
      <c r="E82" s="42">
        <v>3.0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83"/>
      <c r="AD82" s="83"/>
      <c r="AE82" s="83"/>
      <c r="AF82" s="83"/>
      <c r="AG82" s="83"/>
      <c r="AH82" s="83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83"/>
      <c r="AD83" s="83"/>
      <c r="AE83" s="83"/>
      <c r="AF83" s="83"/>
      <c r="AG83" s="83"/>
      <c r="AH83" s="83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83"/>
      <c r="AD84" s="83"/>
      <c r="AE84" s="83"/>
      <c r="AF84" s="83"/>
      <c r="AG84" s="83"/>
      <c r="AH84" s="83"/>
    </row>
    <row r="85" ht="12.75" customHeight="1">
      <c r="B85" s="21" t="s">
        <v>207</v>
      </c>
      <c r="C85" s="22">
        <v>4.0</v>
      </c>
      <c r="D85" s="19" t="s">
        <v>31</v>
      </c>
      <c r="E85" s="23">
        <v>1.0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83"/>
      <c r="AD85" s="83"/>
      <c r="AE85" s="83"/>
      <c r="AF85" s="83"/>
      <c r="AG85" s="83"/>
      <c r="AH85" s="83"/>
    </row>
    <row r="86" ht="12.75" customHeight="1">
      <c r="B86" s="21" t="s">
        <v>209</v>
      </c>
      <c r="C86" s="22">
        <v>1.0</v>
      </c>
      <c r="D86" s="19" t="s">
        <v>31</v>
      </c>
      <c r="E86" s="23">
        <v>2.0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5</v>
      </c>
      <c r="M86" s="19" t="str">
        <f t="shared" ref="M86:M89" si="135">N86-O86</f>
        <v>1</v>
      </c>
      <c r="N86" s="19" t="str">
        <f t="shared" ref="N86:N89" si="136">SUM(INDIRECT($AC86),INDIRECT($AD86),INDIRECT($AE86))</f>
        <v>5</v>
      </c>
      <c r="O86" s="19" t="str">
        <f t="shared" ref="O86:O89" si="137">SUM(INDIRECT($AF86),INDIRECT($AG86),INDIRECT($AH86))</f>
        <v>4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1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2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0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83" t="s">
        <v>211</v>
      </c>
      <c r="AD86" s="83" t="s">
        <v>212</v>
      </c>
      <c r="AE86" s="83" t="s">
        <v>213</v>
      </c>
      <c r="AF86" s="83" t="str">
        <f t="shared" ref="AF86:AH86" si="133">IF(ISNUMBER(FIND("C", AC86, 1)), SUBSTITUTE(AC86, "C", "E"), SUBSTITUTE(AC86, "E", "C"))</f>
        <v>C86</v>
      </c>
      <c r="AG86" s="83" t="str">
        <f t="shared" si="133"/>
        <v>E88</v>
      </c>
      <c r="AH86" s="83" t="str">
        <f t="shared" si="133"/>
        <v>E90</v>
      </c>
    </row>
    <row r="87" ht="12.75" customHeight="1">
      <c r="B87" s="21" t="s">
        <v>207</v>
      </c>
      <c r="C87" s="22">
        <v>3.0</v>
      </c>
      <c r="D87" s="19" t="s">
        <v>31</v>
      </c>
      <c r="E87" s="23">
        <v>0.0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7</v>
      </c>
      <c r="M87" s="19" t="str">
        <f t="shared" si="135"/>
        <v>6</v>
      </c>
      <c r="N87" s="19" t="str">
        <f t="shared" si="136"/>
        <v>9</v>
      </c>
      <c r="O87" s="19" t="str">
        <f t="shared" si="137"/>
        <v>3</v>
      </c>
      <c r="P87" s="19" t="str">
        <f t="shared" si="138"/>
        <v>2</v>
      </c>
      <c r="Q87" s="19" t="str">
        <f t="shared" si="139"/>
        <v>1</v>
      </c>
      <c r="R87" s="36" t="str">
        <f t="shared" si="140"/>
        <v>0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83" t="s">
        <v>214</v>
      </c>
      <c r="AD87" s="83" t="s">
        <v>215</v>
      </c>
      <c r="AE87" s="83" t="s">
        <v>216</v>
      </c>
      <c r="AF87" s="83" t="str">
        <f t="shared" ref="AF87:AH87" si="141">IF(ISNUMBER(FIND("C", AC87, 1)), SUBSTITUTE(AC87, "C", "E"), SUBSTITUTE(AC87, "E", "C"))</f>
        <v>E85</v>
      </c>
      <c r="AG87" s="83" t="str">
        <f t="shared" si="141"/>
        <v>E87</v>
      </c>
      <c r="AH87" s="83" t="str">
        <f t="shared" si="141"/>
        <v>C90</v>
      </c>
    </row>
    <row r="88" ht="12.75" customHeight="1">
      <c r="B88" s="21" t="s">
        <v>210</v>
      </c>
      <c r="C88" s="22">
        <v>1.0</v>
      </c>
      <c r="D88" s="19" t="s">
        <v>31</v>
      </c>
      <c r="E88" s="23">
        <v>1.0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4</v>
      </c>
      <c r="M88" s="19" t="str">
        <f t="shared" si="135"/>
        <v>-2</v>
      </c>
      <c r="N88" s="19" t="str">
        <f t="shared" si="136"/>
        <v>4</v>
      </c>
      <c r="O88" s="19" t="str">
        <f t="shared" si="137"/>
        <v>6</v>
      </c>
      <c r="P88" s="19" t="str">
        <f t="shared" si="138"/>
        <v>1</v>
      </c>
      <c r="Q88" s="19" t="str">
        <f t="shared" si="139"/>
        <v>1</v>
      </c>
      <c r="R88" s="36" t="str">
        <f t="shared" si="140"/>
        <v>1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83" t="s">
        <v>217</v>
      </c>
      <c r="AD88" s="83" t="s">
        <v>218</v>
      </c>
      <c r="AE88" s="83" t="s">
        <v>219</v>
      </c>
      <c r="AF88" s="83" t="str">
        <f t="shared" ref="AF88:AH88" si="142">IF(ISNUMBER(FIND("C", AC88, 1)), SUBSTITUTE(AC88, "C", "E"), SUBSTITUTE(AC88, "E", "C"))</f>
        <v>C85</v>
      </c>
      <c r="AG88" s="83" t="str">
        <f t="shared" si="142"/>
        <v>C88</v>
      </c>
      <c r="AH88" s="83" t="str">
        <f t="shared" si="142"/>
        <v>E89</v>
      </c>
    </row>
    <row r="89" ht="12.75" customHeight="1">
      <c r="B89" s="21" t="s">
        <v>208</v>
      </c>
      <c r="C89" s="22">
        <v>2.0</v>
      </c>
      <c r="D89" s="19" t="s">
        <v>31</v>
      </c>
      <c r="E89" s="23">
        <v>1.0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-5</v>
      </c>
      <c r="N89" s="38" t="str">
        <f t="shared" si="136"/>
        <v>2</v>
      </c>
      <c r="O89" s="38" t="str">
        <f t="shared" si="137"/>
        <v>7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83" t="s">
        <v>220</v>
      </c>
      <c r="AD89" s="83" t="s">
        <v>221</v>
      </c>
      <c r="AE89" s="83" t="s">
        <v>222</v>
      </c>
      <c r="AF89" s="83" t="str">
        <f t="shared" ref="AF89:AH89" si="143">IF(ISNUMBER(FIND("C", AC89, 1)), SUBSTITUTE(AC89, "C", "E"), SUBSTITUTE(AC89, "E", "C"))</f>
        <v>E86</v>
      </c>
      <c r="AG89" s="83" t="str">
        <f t="shared" si="143"/>
        <v>C87</v>
      </c>
      <c r="AH89" s="83" t="str">
        <f t="shared" si="143"/>
        <v>C89</v>
      </c>
    </row>
    <row r="90" ht="12.75" customHeight="1">
      <c r="B90" s="40" t="s">
        <v>210</v>
      </c>
      <c r="C90" s="41">
        <v>2.0</v>
      </c>
      <c r="D90" s="38" t="s">
        <v>31</v>
      </c>
      <c r="E90" s="42">
        <v>2.0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83"/>
      <c r="AD90" s="83"/>
      <c r="AE90" s="83"/>
      <c r="AF90" s="83"/>
      <c r="AG90" s="83"/>
      <c r="AH90" s="83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83"/>
      <c r="AD91" s="83"/>
      <c r="AE91" s="83"/>
      <c r="AF91" s="83"/>
      <c r="AG91" s="83"/>
      <c r="AH91" s="83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83"/>
      <c r="AD92" s="83"/>
      <c r="AE92" s="83"/>
      <c r="AF92" s="83"/>
      <c r="AG92" s="83"/>
      <c r="AH92" s="83"/>
    </row>
    <row r="93" ht="12.75" customHeight="1">
      <c r="B93" s="21" t="s">
        <v>224</v>
      </c>
      <c r="C93" s="22">
        <v>1.0</v>
      </c>
      <c r="D93" s="19" t="s">
        <v>31</v>
      </c>
      <c r="E93" s="23">
        <v>1.0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83"/>
      <c r="AD93" s="83"/>
      <c r="AE93" s="83"/>
      <c r="AF93" s="83"/>
      <c r="AG93" s="83"/>
      <c r="AH93" s="83"/>
    </row>
    <row r="94" ht="12.75" customHeight="1">
      <c r="B94" s="21" t="s">
        <v>226</v>
      </c>
      <c r="C94" s="22">
        <v>2.0</v>
      </c>
      <c r="D94" s="19" t="s">
        <v>31</v>
      </c>
      <c r="E94" s="23">
        <v>0.0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7</v>
      </c>
      <c r="M94" s="19" t="str">
        <f t="shared" ref="M94:M97" si="148">N94-O94</f>
        <v>3</v>
      </c>
      <c r="N94" s="19" t="str">
        <f t="shared" ref="N94:N97" si="149">SUM(INDIRECT($AC94),INDIRECT($AD94),INDIRECT($AE94))</f>
        <v>6</v>
      </c>
      <c r="O94" s="19" t="str">
        <f t="shared" ref="O94:O97" si="150">SUM(INDIRECT($AF94),INDIRECT($AG94),INDIRECT($AH94))</f>
        <v>3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1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83" t="s">
        <v>228</v>
      </c>
      <c r="AD94" s="83" t="s">
        <v>229</v>
      </c>
      <c r="AE94" s="83" t="s">
        <v>230</v>
      </c>
      <c r="AF94" s="83" t="str">
        <f t="shared" ref="AF94:AH94" si="146">IF(ISNUMBER(FIND("C", AC94, 1)), SUBSTITUTE(AC94, "C", "E"), SUBSTITUTE(AC94, "E", "C"))</f>
        <v>C93</v>
      </c>
      <c r="AG94" s="83" t="str">
        <f t="shared" si="146"/>
        <v>C96</v>
      </c>
      <c r="AH94" s="83" t="str">
        <f t="shared" si="146"/>
        <v>E97</v>
      </c>
    </row>
    <row r="95" ht="12.75" customHeight="1">
      <c r="B95" s="21" t="s">
        <v>224</v>
      </c>
      <c r="C95" s="22">
        <v>2.0</v>
      </c>
      <c r="D95" s="19" t="s">
        <v>31</v>
      </c>
      <c r="E95" s="23">
        <v>0.0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-1</v>
      </c>
      <c r="N95" s="19" t="str">
        <f t="shared" si="149"/>
        <v>3</v>
      </c>
      <c r="O95" s="19" t="str">
        <f t="shared" si="150"/>
        <v>4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83" t="s">
        <v>231</v>
      </c>
      <c r="AD95" s="83" t="s">
        <v>232</v>
      </c>
      <c r="AE95" s="83" t="s">
        <v>233</v>
      </c>
      <c r="AF95" s="83" t="str">
        <f t="shared" ref="AF95:AH95" si="154">IF(ISNUMBER(FIND("C", AC95, 1)), SUBSTITUTE(AC95, "C", "E"), SUBSTITUTE(AC95, "E", "C"))</f>
        <v>E94</v>
      </c>
      <c r="AG95" s="83" t="str">
        <f t="shared" si="154"/>
        <v>C95</v>
      </c>
      <c r="AH95" s="83" t="str">
        <f t="shared" si="154"/>
        <v>C97</v>
      </c>
    </row>
    <row r="96" ht="12.75" customHeight="1">
      <c r="B96" s="21" t="s">
        <v>227</v>
      </c>
      <c r="C96" s="22">
        <v>1.0</v>
      </c>
      <c r="D96" s="19" t="s">
        <v>31</v>
      </c>
      <c r="E96" s="22">
        <v>3.0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7</v>
      </c>
      <c r="M96" s="19" t="str">
        <f t="shared" si="148"/>
        <v>5</v>
      </c>
      <c r="N96" s="19" t="str">
        <f t="shared" si="149"/>
        <v>6</v>
      </c>
      <c r="O96" s="19" t="str">
        <f t="shared" si="150"/>
        <v>1</v>
      </c>
      <c r="P96" s="19" t="str">
        <f t="shared" si="151"/>
        <v>2</v>
      </c>
      <c r="Q96" s="19" t="str">
        <f t="shared" si="152"/>
        <v>1</v>
      </c>
      <c r="R96" s="36" t="str">
        <f t="shared" si="153"/>
        <v>0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83" t="s">
        <v>234</v>
      </c>
      <c r="AD96" s="83" t="s">
        <v>235</v>
      </c>
      <c r="AE96" s="83" t="s">
        <v>236</v>
      </c>
      <c r="AF96" s="83" t="str">
        <f t="shared" ref="AF96:AH96" si="155">IF(ISNUMBER(FIND("C", AC96, 1)), SUBSTITUTE(AC96, "C", "E"), SUBSTITUTE(AC96, "E", "C"))</f>
        <v>E93</v>
      </c>
      <c r="AG96" s="83" t="str">
        <f t="shared" si="155"/>
        <v>E95</v>
      </c>
      <c r="AH96" s="83" t="str">
        <f t="shared" si="155"/>
        <v>C98</v>
      </c>
    </row>
    <row r="97" ht="12.75" customHeight="1">
      <c r="B97" s="21" t="s">
        <v>225</v>
      </c>
      <c r="C97" s="22">
        <v>2.0</v>
      </c>
      <c r="D97" s="19" t="s">
        <v>31</v>
      </c>
      <c r="E97" s="23">
        <v>1.0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-7</v>
      </c>
      <c r="N97" s="38" t="str">
        <f t="shared" si="149"/>
        <v>1</v>
      </c>
      <c r="O97" s="38" t="str">
        <f t="shared" si="150"/>
        <v>8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83" t="s">
        <v>237</v>
      </c>
      <c r="AD97" s="83" t="s">
        <v>238</v>
      </c>
      <c r="AE97" s="83" t="s">
        <v>239</v>
      </c>
      <c r="AF97" s="83" t="str">
        <f t="shared" ref="AF97:AH97" si="156">IF(ISNUMBER(FIND("C", AC97, 1)), SUBSTITUTE(AC97, "C", "E"), SUBSTITUTE(AC97, "E", "C"))</f>
        <v>C94</v>
      </c>
      <c r="AG97" s="83" t="str">
        <f t="shared" si="156"/>
        <v>E96</v>
      </c>
      <c r="AH97" s="83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3.0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83"/>
      <c r="AD98" s="83"/>
      <c r="AE98" s="83"/>
      <c r="AF98" s="83"/>
      <c r="AG98" s="83"/>
      <c r="AH98" s="83"/>
    </row>
    <row r="99" ht="12.75" customHeight="1">
      <c r="Y99" s="83"/>
      <c r="Z99" s="83"/>
      <c r="AA99" s="83"/>
      <c r="AB99" s="83"/>
      <c r="AC99" s="83"/>
      <c r="AD99" s="83"/>
      <c r="AE99" s="83"/>
      <c r="AF99" s="83"/>
      <c r="AG99" s="83"/>
      <c r="AH99" s="83"/>
    </row>
    <row r="100" ht="12.75" customHeight="1"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</row>
    <row r="101" ht="13.5" customHeight="1"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19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6"/>
      <c r="Z1" s="7"/>
      <c r="AA1" s="7"/>
      <c r="AB1" s="7"/>
      <c r="AC1" s="7"/>
      <c r="AD1" s="7"/>
      <c r="AE1" s="7"/>
      <c r="AF1" s="7"/>
      <c r="AG1" s="7"/>
      <c r="AH1" s="7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251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7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2.0</v>
      </c>
      <c r="D5" s="19" t="s">
        <v>31</v>
      </c>
      <c r="E5" s="23">
        <v>0.0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4</v>
      </c>
      <c r="Y5" s="33" t="str">
        <f>IF(AND(ISNUMBER(RESULTADOS!C5),ISNUMBER(RESULTADOS!E5),ISNUMBER(C5),ISNUMBER(E5),C5=RESULTADOS!C5,E5=RESULTADOS!E5),2,0)</f>
        <v>2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1.0</v>
      </c>
      <c r="D6" s="19" t="s">
        <v>31</v>
      </c>
      <c r="E6" s="23">
        <v>1.0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4</v>
      </c>
      <c r="M6" s="19" t="str">
        <f t="shared" ref="M6:M9" si="5">N6-O6</f>
        <v>0</v>
      </c>
      <c r="N6" s="19" t="str">
        <f t="shared" ref="N6:N9" si="6">SUM(INDIRECT($AC6),INDIRECT($AD6),INDIRECT($AE6))</f>
        <v>4</v>
      </c>
      <c r="O6" s="19" t="str">
        <f t="shared" ref="O6:O9" si="7">SUM(INDIRECT($AF6),INDIRECT($AG6),INDIRECT($AH6))</f>
        <v>4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1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0.0</v>
      </c>
      <c r="D7" s="19" t="s">
        <v>31</v>
      </c>
      <c r="E7" s="23">
        <v>0.0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7</v>
      </c>
      <c r="M7" s="19" t="str">
        <f t="shared" si="5"/>
        <v>3</v>
      </c>
      <c r="N7" s="19" t="str">
        <f t="shared" si="6"/>
        <v>5</v>
      </c>
      <c r="O7" s="19" t="str">
        <f t="shared" si="7"/>
        <v>2</v>
      </c>
      <c r="P7" s="19" t="str">
        <f t="shared" si="8"/>
        <v>2</v>
      </c>
      <c r="Q7" s="19" t="str">
        <f t="shared" si="9"/>
        <v>1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2.0</v>
      </c>
      <c r="D8" s="19" t="s">
        <v>31</v>
      </c>
      <c r="E8" s="23">
        <v>1.0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3</v>
      </c>
      <c r="M8" s="19" t="str">
        <f t="shared" si="5"/>
        <v>0</v>
      </c>
      <c r="N8" s="19" t="str">
        <f t="shared" si="6"/>
        <v>2</v>
      </c>
      <c r="O8" s="19" t="str">
        <f t="shared" si="7"/>
        <v>2</v>
      </c>
      <c r="P8" s="19" t="str">
        <f t="shared" si="8"/>
        <v>0</v>
      </c>
      <c r="Q8" s="19" t="str">
        <f t="shared" si="9"/>
        <v>3</v>
      </c>
      <c r="R8" s="36" t="str">
        <f t="shared" si="10"/>
        <v>0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1.0</v>
      </c>
      <c r="D9" s="19" t="s">
        <v>31</v>
      </c>
      <c r="E9" s="23">
        <v>2.0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1</v>
      </c>
      <c r="M9" s="38" t="str">
        <f t="shared" si="5"/>
        <v>-3</v>
      </c>
      <c r="N9" s="38" t="str">
        <f t="shared" si="6"/>
        <v>1</v>
      </c>
      <c r="O9" s="38" t="str">
        <f t="shared" si="7"/>
        <v>4</v>
      </c>
      <c r="P9" s="38" t="str">
        <f t="shared" si="8"/>
        <v>0</v>
      </c>
      <c r="Q9" s="38" t="str">
        <f t="shared" si="9"/>
        <v>1</v>
      </c>
      <c r="R9" s="39" t="str">
        <f t="shared" si="10"/>
        <v>2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1.0</v>
      </c>
      <c r="D10" s="38" t="s">
        <v>31</v>
      </c>
      <c r="E10" s="42">
        <v>1.0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2.0</v>
      </c>
      <c r="D13" s="19" t="s">
        <v>31</v>
      </c>
      <c r="E13" s="23">
        <v>0.0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0.0</v>
      </c>
      <c r="D14" s="19" t="s">
        <v>31</v>
      </c>
      <c r="E14" s="23">
        <v>2.0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1</v>
      </c>
      <c r="M14" s="19" t="str">
        <f t="shared" ref="M14:M17" si="18">N14-O14</f>
        <v>-3</v>
      </c>
      <c r="N14" s="19" t="str">
        <f t="shared" ref="N14:N17" si="19">SUM(INDIRECT($AC14),INDIRECT($AD14),INDIRECT($AE14))</f>
        <v>1</v>
      </c>
      <c r="O14" s="19" t="str">
        <f t="shared" ref="O14:O17" si="20">SUM(INDIRECT($AF14),INDIRECT($AG14),INDIRECT($AH14))</f>
        <v>4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0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2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1.0</v>
      </c>
      <c r="D15" s="19" t="s">
        <v>31</v>
      </c>
      <c r="E15" s="23">
        <v>0.0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6</v>
      </c>
      <c r="M15" s="19" t="str">
        <f t="shared" si="18"/>
        <v>2</v>
      </c>
      <c r="N15" s="19" t="str">
        <f t="shared" si="19"/>
        <v>4</v>
      </c>
      <c r="O15" s="19" t="str">
        <f t="shared" si="20"/>
        <v>2</v>
      </c>
      <c r="P15" s="19" t="str">
        <f t="shared" si="21"/>
        <v>2</v>
      </c>
      <c r="Q15" s="19" t="str">
        <f t="shared" si="22"/>
        <v>0</v>
      </c>
      <c r="R15" s="36" t="str">
        <f t="shared" si="23"/>
        <v>1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1.0</v>
      </c>
      <c r="D16" s="19" t="s">
        <v>31</v>
      </c>
      <c r="E16" s="23">
        <v>0.0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1</v>
      </c>
      <c r="M16" s="19" t="str">
        <f t="shared" si="18"/>
        <v>-3</v>
      </c>
      <c r="N16" s="19" t="str">
        <f t="shared" si="19"/>
        <v>1</v>
      </c>
      <c r="O16" s="19" t="str">
        <f t="shared" si="20"/>
        <v>4</v>
      </c>
      <c r="P16" s="19" t="str">
        <f t="shared" si="21"/>
        <v>0</v>
      </c>
      <c r="Q16" s="19" t="str">
        <f t="shared" si="22"/>
        <v>1</v>
      </c>
      <c r="R16" s="36" t="str">
        <f t="shared" si="23"/>
        <v>2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2.0</v>
      </c>
      <c r="D17" s="19" t="s">
        <v>31</v>
      </c>
      <c r="E17" s="23">
        <v>1.0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9</v>
      </c>
      <c r="M17" s="38" t="str">
        <f t="shared" si="18"/>
        <v>4</v>
      </c>
      <c r="N17" s="38" t="str">
        <f t="shared" si="19"/>
        <v>5</v>
      </c>
      <c r="O17" s="38" t="str">
        <f t="shared" si="20"/>
        <v>1</v>
      </c>
      <c r="P17" s="38" t="str">
        <f t="shared" si="21"/>
        <v>3</v>
      </c>
      <c r="Q17" s="38" t="str">
        <f t="shared" si="22"/>
        <v>0</v>
      </c>
      <c r="R17" s="39" t="str">
        <f t="shared" si="23"/>
        <v>0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1.0</v>
      </c>
      <c r="D18" s="38" t="s">
        <v>31</v>
      </c>
      <c r="E18" s="42">
        <v>1.0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2.0</v>
      </c>
      <c r="D21" s="19" t="s">
        <v>31</v>
      </c>
      <c r="E21" s="23">
        <v>1.0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1.0</v>
      </c>
      <c r="D22" s="19" t="s">
        <v>31</v>
      </c>
      <c r="E22" s="23">
        <v>3.0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6</v>
      </c>
      <c r="N22" s="19" t="str">
        <f t="shared" ref="N22:N25" si="32">SUM(INDIRECT($AC22),INDIRECT($AD22),INDIRECT($AE22))</f>
        <v>8</v>
      </c>
      <c r="O22" s="19" t="str">
        <f t="shared" ref="O22:O25" si="33">SUM(INDIRECT($AF22),INDIRECT($AG22),INDIRECT($AH22))</f>
        <v>2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1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0.0</v>
      </c>
      <c r="D23" s="19" t="s">
        <v>31</v>
      </c>
      <c r="E23" s="23">
        <v>2.0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-1</v>
      </c>
      <c r="N23" s="19" t="str">
        <f t="shared" si="32"/>
        <v>4</v>
      </c>
      <c r="O23" s="19" t="str">
        <f t="shared" si="33"/>
        <v>5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4.0</v>
      </c>
      <c r="D24" s="19" t="s">
        <v>31</v>
      </c>
      <c r="E24" s="23">
        <v>0.0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-9</v>
      </c>
      <c r="N24" s="19" t="str">
        <f t="shared" si="32"/>
        <v>1</v>
      </c>
      <c r="O24" s="19" t="str">
        <f t="shared" si="33"/>
        <v>10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3.0</v>
      </c>
      <c r="D25" s="19" t="s">
        <v>31</v>
      </c>
      <c r="E25" s="23">
        <v>0.0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4</v>
      </c>
      <c r="N25" s="38" t="str">
        <f t="shared" si="32"/>
        <v>6</v>
      </c>
      <c r="O25" s="38" t="str">
        <f t="shared" si="33"/>
        <v>2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1.0</v>
      </c>
      <c r="D26" s="38" t="s">
        <v>31</v>
      </c>
      <c r="E26" s="42">
        <v>2.0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2.0</v>
      </c>
      <c r="D29" s="19" t="s">
        <v>31</v>
      </c>
      <c r="E29" s="23">
        <v>2.0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1.0</v>
      </c>
      <c r="D30" s="19" t="s">
        <v>31</v>
      </c>
      <c r="E30" s="23">
        <v>1.0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5</v>
      </c>
      <c r="M30" s="19" t="str">
        <f t="shared" ref="M30:M33" si="44">N30-O30</f>
        <v>1</v>
      </c>
      <c r="N30" s="19" t="str">
        <f t="shared" ref="N30:N33" si="45">SUM(INDIRECT($AC30),INDIRECT($AD30),INDIRECT($AE30))</f>
        <v>2</v>
      </c>
      <c r="O30" s="19" t="str">
        <f t="shared" ref="O30:O33" si="46">SUM(INDIRECT($AF30),INDIRECT($AG30),INDIRECT($AH30))</f>
        <v>1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1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2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0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0.0</v>
      </c>
      <c r="D31" s="19" t="s">
        <v>31</v>
      </c>
      <c r="E31" s="23">
        <v>1.0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4</v>
      </c>
      <c r="M31" s="19" t="str">
        <f t="shared" si="44"/>
        <v>0</v>
      </c>
      <c r="N31" s="19" t="str">
        <f t="shared" si="45"/>
        <v>4</v>
      </c>
      <c r="O31" s="19" t="str">
        <f t="shared" si="46"/>
        <v>4</v>
      </c>
      <c r="P31" s="19" t="str">
        <f t="shared" si="47"/>
        <v>1</v>
      </c>
      <c r="Q31" s="19" t="str">
        <f t="shared" si="48"/>
        <v>1</v>
      </c>
      <c r="R31" s="36" t="str">
        <f t="shared" si="49"/>
        <v>1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2.0</v>
      </c>
      <c r="D32" s="19" t="s">
        <v>31</v>
      </c>
      <c r="E32" s="23">
        <v>0.0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2</v>
      </c>
      <c r="M32" s="19" t="str">
        <f t="shared" si="44"/>
        <v>-2</v>
      </c>
      <c r="N32" s="19" t="str">
        <f t="shared" si="45"/>
        <v>2</v>
      </c>
      <c r="O32" s="19" t="str">
        <f t="shared" si="46"/>
        <v>4</v>
      </c>
      <c r="P32" s="19" t="str">
        <f t="shared" si="47"/>
        <v>0</v>
      </c>
      <c r="Q32" s="19" t="str">
        <f t="shared" si="48"/>
        <v>2</v>
      </c>
      <c r="R32" s="36" t="str">
        <f t="shared" si="49"/>
        <v>1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1.0</v>
      </c>
      <c r="D33" s="19" t="s">
        <v>31</v>
      </c>
      <c r="E33" s="23">
        <v>2.0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4</v>
      </c>
      <c r="M33" s="38" t="str">
        <f t="shared" si="44"/>
        <v>1</v>
      </c>
      <c r="N33" s="38" t="str">
        <f t="shared" si="45"/>
        <v>4</v>
      </c>
      <c r="O33" s="38" t="str">
        <f t="shared" si="46"/>
        <v>3</v>
      </c>
      <c r="P33" s="38" t="str">
        <f t="shared" si="47"/>
        <v>1</v>
      </c>
      <c r="Q33" s="38" t="str">
        <f t="shared" si="48"/>
        <v>1</v>
      </c>
      <c r="R33" s="39" t="str">
        <f t="shared" si="49"/>
        <v>1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0.0</v>
      </c>
      <c r="D34" s="38" t="s">
        <v>31</v>
      </c>
      <c r="E34" s="42">
        <v>0.0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4.0</v>
      </c>
      <c r="D37" s="19" t="s">
        <v>31</v>
      </c>
      <c r="E37" s="23">
        <v>0.0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2.0</v>
      </c>
      <c r="D38" s="19" t="s">
        <v>31</v>
      </c>
      <c r="E38" s="23">
        <v>2.0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7</v>
      </c>
      <c r="M38" s="19" t="str">
        <f t="shared" ref="M38:M41" si="57">N38-O38</f>
        <v>5</v>
      </c>
      <c r="N38" s="19" t="str">
        <f t="shared" ref="N38:N41" si="58">SUM(INDIRECT($AC38),INDIRECT($AD38),INDIRECT($AE38))</f>
        <v>7</v>
      </c>
      <c r="O38" s="19" t="str">
        <f t="shared" ref="O38:O41" si="59">SUM(INDIRECT($AF38),INDIRECT($AG38),INDIRECT($AH38))</f>
        <v>2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2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1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1.0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4</v>
      </c>
      <c r="M39" s="19" t="str">
        <f t="shared" si="57"/>
        <v>1</v>
      </c>
      <c r="N39" s="19" t="str">
        <f t="shared" si="58"/>
        <v>5</v>
      </c>
      <c r="O39" s="19" t="str">
        <f t="shared" si="59"/>
        <v>4</v>
      </c>
      <c r="P39" s="19" t="str">
        <f t="shared" si="60"/>
        <v>1</v>
      </c>
      <c r="Q39" s="19" t="str">
        <f t="shared" si="61"/>
        <v>1</v>
      </c>
      <c r="R39" s="36" t="str">
        <f t="shared" si="62"/>
        <v>1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3.0</v>
      </c>
      <c r="D40" s="19" t="s">
        <v>31</v>
      </c>
      <c r="E40" s="23">
        <v>0.0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-9</v>
      </c>
      <c r="N40" s="19" t="str">
        <f t="shared" si="58"/>
        <v>0</v>
      </c>
      <c r="O40" s="19" t="str">
        <f t="shared" si="59"/>
        <v>9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1.0</v>
      </c>
      <c r="D41" s="19" t="s">
        <v>31</v>
      </c>
      <c r="E41" s="23">
        <v>1.0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5</v>
      </c>
      <c r="M41" s="38" t="str">
        <f t="shared" si="57"/>
        <v>3</v>
      </c>
      <c r="N41" s="38" t="str">
        <f t="shared" si="58"/>
        <v>6</v>
      </c>
      <c r="O41" s="38" t="str">
        <f t="shared" si="59"/>
        <v>3</v>
      </c>
      <c r="P41" s="38" t="str">
        <f t="shared" si="60"/>
        <v>1</v>
      </c>
      <c r="Q41" s="38" t="str">
        <f t="shared" si="61"/>
        <v>2</v>
      </c>
      <c r="R41" s="39" t="str">
        <f t="shared" si="62"/>
        <v>0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0.0</v>
      </c>
      <c r="D42" s="38" t="s">
        <v>31</v>
      </c>
      <c r="E42" s="42">
        <v>2.0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2.0</v>
      </c>
      <c r="D45" s="19" t="s">
        <v>31</v>
      </c>
      <c r="E45" s="23">
        <v>1.0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1.0</v>
      </c>
      <c r="D46" s="19" t="s">
        <v>31</v>
      </c>
      <c r="E46" s="23">
        <v>0.0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9</v>
      </c>
      <c r="M46" s="19" t="str">
        <f t="shared" ref="M46:M49" si="70">N46-O46</f>
        <v>5</v>
      </c>
      <c r="N46" s="19" t="str">
        <f t="shared" ref="N46:N49" si="71">SUM(INDIRECT($AC46),INDIRECT($AD46),INDIRECT($AE46))</f>
        <v>6</v>
      </c>
      <c r="O46" s="19" t="str">
        <f t="shared" ref="O46:O49" si="72">SUM(INDIRECT($AF46),INDIRECT($AG46),INDIRECT($AH46))</f>
        <v>1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3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1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2.0</v>
      </c>
      <c r="D47" s="19" t="s">
        <v>31</v>
      </c>
      <c r="E47" s="23">
        <v>0.0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6</v>
      </c>
      <c r="M47" s="19" t="str">
        <f t="shared" si="70"/>
        <v>1</v>
      </c>
      <c r="N47" s="19" t="str">
        <f t="shared" si="71"/>
        <v>4</v>
      </c>
      <c r="O47" s="19" t="str">
        <f t="shared" si="72"/>
        <v>3</v>
      </c>
      <c r="P47" s="19" t="str">
        <f t="shared" si="73"/>
        <v>2</v>
      </c>
      <c r="Q47" s="19" t="str">
        <f t="shared" si="74"/>
        <v>0</v>
      </c>
      <c r="R47" s="36" t="str">
        <f t="shared" si="75"/>
        <v>1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0.0</v>
      </c>
      <c r="D48" s="19" t="s">
        <v>31</v>
      </c>
      <c r="E48" s="23">
        <v>1.0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3</v>
      </c>
      <c r="M48" s="19" t="str">
        <f t="shared" si="70"/>
        <v>-2</v>
      </c>
      <c r="N48" s="19" t="str">
        <f t="shared" si="71"/>
        <v>2</v>
      </c>
      <c r="O48" s="19" t="str">
        <f t="shared" si="72"/>
        <v>4</v>
      </c>
      <c r="P48" s="19" t="str">
        <f t="shared" si="73"/>
        <v>1</v>
      </c>
      <c r="Q48" s="19" t="str">
        <f t="shared" si="74"/>
        <v>0</v>
      </c>
      <c r="R48" s="36" t="str">
        <f t="shared" si="75"/>
        <v>2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0.0</v>
      </c>
      <c r="D49" s="19" t="s">
        <v>31</v>
      </c>
      <c r="E49" s="23">
        <v>2.0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-4</v>
      </c>
      <c r="N49" s="38" t="str">
        <f t="shared" si="71"/>
        <v>0</v>
      </c>
      <c r="O49" s="38" t="str">
        <f t="shared" si="72"/>
        <v>4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2.0</v>
      </c>
      <c r="D50" s="38" t="s">
        <v>31</v>
      </c>
      <c r="E50" s="42">
        <v>1.0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2.0</v>
      </c>
      <c r="D53" s="19" t="s">
        <v>31</v>
      </c>
      <c r="E53" s="23">
        <v>1.0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1.0</v>
      </c>
      <c r="D54" s="19" t="s">
        <v>31</v>
      </c>
      <c r="E54" s="23">
        <v>0.0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9</v>
      </c>
      <c r="M54" s="19" t="str">
        <f t="shared" ref="M54:M57" si="83">N54-O54</f>
        <v>5</v>
      </c>
      <c r="N54" s="19" t="str">
        <f t="shared" ref="N54:N57" si="84">SUM(INDIRECT($AC54),INDIRECT($AD54),INDIRECT($AE54))</f>
        <v>6</v>
      </c>
      <c r="O54" s="19" t="str">
        <f t="shared" ref="O54:O57" si="85">SUM(INDIRECT($AF54),INDIRECT($AG54),INDIRECT($AH54))</f>
        <v>1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3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2.0</v>
      </c>
      <c r="D55" s="19" t="s">
        <v>31</v>
      </c>
      <c r="E55" s="23">
        <v>0.0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4</v>
      </c>
      <c r="M55" s="19" t="str">
        <f t="shared" si="83"/>
        <v>1</v>
      </c>
      <c r="N55" s="19" t="str">
        <f t="shared" si="84"/>
        <v>4</v>
      </c>
      <c r="O55" s="19" t="str">
        <f t="shared" si="85"/>
        <v>3</v>
      </c>
      <c r="P55" s="19" t="str">
        <f t="shared" si="86"/>
        <v>1</v>
      </c>
      <c r="Q55" s="19" t="str">
        <f t="shared" si="87"/>
        <v>1</v>
      </c>
      <c r="R55" s="36" t="str">
        <f t="shared" si="88"/>
        <v>1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2.0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4</v>
      </c>
      <c r="M56" s="19" t="str">
        <f t="shared" si="83"/>
        <v>-1</v>
      </c>
      <c r="N56" s="19" t="str">
        <f t="shared" si="84"/>
        <v>2</v>
      </c>
      <c r="O56" s="19" t="str">
        <f t="shared" si="85"/>
        <v>3</v>
      </c>
      <c r="P56" s="19" t="str">
        <f t="shared" si="86"/>
        <v>1</v>
      </c>
      <c r="Q56" s="19" t="str">
        <f t="shared" si="87"/>
        <v>1</v>
      </c>
      <c r="R56" s="36" t="str">
        <f t="shared" si="88"/>
        <v>1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1.0</v>
      </c>
      <c r="D57" s="19" t="s">
        <v>31</v>
      </c>
      <c r="E57" s="23">
        <v>1.0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0</v>
      </c>
      <c r="M57" s="38" t="str">
        <f t="shared" si="83"/>
        <v>-5</v>
      </c>
      <c r="N57" s="38" t="str">
        <f t="shared" si="84"/>
        <v>0</v>
      </c>
      <c r="O57" s="38" t="str">
        <f t="shared" si="85"/>
        <v>5</v>
      </c>
      <c r="P57" s="38" t="str">
        <f t="shared" si="86"/>
        <v>0</v>
      </c>
      <c r="Q57" s="38" t="str">
        <f t="shared" si="87"/>
        <v>0</v>
      </c>
      <c r="R57" s="39" t="str">
        <f t="shared" si="88"/>
        <v>3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0.0</v>
      </c>
      <c r="D58" s="38" t="s">
        <v>31</v>
      </c>
      <c r="E58" s="42">
        <v>2.0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5.0</v>
      </c>
      <c r="D61" s="19" t="s">
        <v>31</v>
      </c>
      <c r="E61" s="23">
        <v>0.0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1.0</v>
      </c>
      <c r="D62" s="19" t="s">
        <v>31</v>
      </c>
      <c r="E62" s="23">
        <v>2.0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3</v>
      </c>
      <c r="M62" s="19" t="str">
        <f t="shared" ref="M62:M65" si="96">N62-O62</f>
        <v>-1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4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2.0</v>
      </c>
      <c r="D63" s="19" t="s">
        <v>31</v>
      </c>
      <c r="E63" s="23">
        <v>0.0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-9</v>
      </c>
      <c r="N63" s="19" t="str">
        <f t="shared" si="97"/>
        <v>1</v>
      </c>
      <c r="O63" s="19" t="str">
        <f t="shared" si="98"/>
        <v>10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3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3.0</v>
      </c>
      <c r="D64" s="19" t="s">
        <v>31</v>
      </c>
      <c r="E64" s="23">
        <v>1.0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9</v>
      </c>
      <c r="N64" s="19" t="str">
        <f t="shared" si="97"/>
        <v>9</v>
      </c>
      <c r="O64" s="19" t="str">
        <f t="shared" si="98"/>
        <v>0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0.0</v>
      </c>
      <c r="D65" s="19" t="s">
        <v>31</v>
      </c>
      <c r="E65" s="23">
        <v>2.0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1</v>
      </c>
      <c r="N65" s="38" t="str">
        <f t="shared" si="97"/>
        <v>5</v>
      </c>
      <c r="O65" s="38" t="str">
        <f t="shared" si="98"/>
        <v>4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0.0</v>
      </c>
      <c r="D66" s="38" t="s">
        <v>31</v>
      </c>
      <c r="E66" s="42">
        <v>2.0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2.0</v>
      </c>
      <c r="D69" s="19" t="s">
        <v>31</v>
      </c>
      <c r="E69" s="23">
        <v>1.0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2.0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4</v>
      </c>
      <c r="N70" s="19" t="str">
        <f t="shared" ref="N70:N73" si="110">SUM(INDIRECT($AC70),INDIRECT($AD70),INDIRECT($AE70))</f>
        <v>6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2.0</v>
      </c>
      <c r="D71" s="19" t="s">
        <v>31</v>
      </c>
      <c r="E71" s="23">
        <v>0.0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-5</v>
      </c>
      <c r="N71" s="19" t="str">
        <f t="shared" si="110"/>
        <v>1</v>
      </c>
      <c r="O71" s="19" t="str">
        <f t="shared" si="111"/>
        <v>6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2.0</v>
      </c>
      <c r="D72" s="19" t="s">
        <v>31</v>
      </c>
      <c r="E72" s="23">
        <v>1.0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6</v>
      </c>
      <c r="M72" s="19" t="str">
        <f t="shared" si="109"/>
        <v>2</v>
      </c>
      <c r="N72" s="19" t="str">
        <f t="shared" si="110"/>
        <v>5</v>
      </c>
      <c r="O72" s="19" t="str">
        <f t="shared" si="111"/>
        <v>3</v>
      </c>
      <c r="P72" s="19" t="str">
        <f t="shared" si="112"/>
        <v>2</v>
      </c>
      <c r="Q72" s="19" t="str">
        <f t="shared" si="113"/>
        <v>0</v>
      </c>
      <c r="R72" s="36" t="str">
        <f t="shared" si="114"/>
        <v>1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1.0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3</v>
      </c>
      <c r="M73" s="38" t="str">
        <f t="shared" si="109"/>
        <v>-1</v>
      </c>
      <c r="N73" s="38" t="str">
        <f t="shared" si="110"/>
        <v>4</v>
      </c>
      <c r="O73" s="38" t="str">
        <f t="shared" si="111"/>
        <v>5</v>
      </c>
      <c r="P73" s="38" t="str">
        <f t="shared" si="112"/>
        <v>1</v>
      </c>
      <c r="Q73" s="38" t="str">
        <f t="shared" si="113"/>
        <v>0</v>
      </c>
      <c r="R73" s="39" t="str">
        <f t="shared" si="114"/>
        <v>2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2.0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2.0</v>
      </c>
      <c r="D77" s="19" t="s">
        <v>31</v>
      </c>
      <c r="E77" s="23">
        <v>1.0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1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0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2.0</v>
      </c>
      <c r="D78" s="19" t="s">
        <v>31</v>
      </c>
      <c r="E78" s="23">
        <v>0.0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7</v>
      </c>
      <c r="M78" s="19" t="str">
        <f t="shared" ref="M78:M81" si="122">N78-O78</f>
        <v>3</v>
      </c>
      <c r="N78" s="19" t="str">
        <f t="shared" ref="N78:N81" si="123">SUM(INDIRECT($AC78),INDIRECT($AD78),INDIRECT($AE78))</f>
        <v>5</v>
      </c>
      <c r="O78" s="19" t="str">
        <f t="shared" ref="O78:O81" si="124">SUM(INDIRECT($AF78),INDIRECT($AG78),INDIRECT($AH78))</f>
        <v>2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2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1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2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1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1.0</v>
      </c>
      <c r="D79" s="19" t="s">
        <v>31</v>
      </c>
      <c r="E79" s="23">
        <v>1.0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1</v>
      </c>
      <c r="M79" s="19" t="str">
        <f t="shared" si="122"/>
        <v>-3</v>
      </c>
      <c r="N79" s="19" t="str">
        <f t="shared" si="123"/>
        <v>2</v>
      </c>
      <c r="O79" s="19" t="str">
        <f t="shared" si="124"/>
        <v>5</v>
      </c>
      <c r="P79" s="19" t="str">
        <f t="shared" si="125"/>
        <v>0</v>
      </c>
      <c r="Q79" s="19" t="str">
        <f t="shared" si="126"/>
        <v>1</v>
      </c>
      <c r="R79" s="36" t="str">
        <f t="shared" si="127"/>
        <v>2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1.0</v>
      </c>
      <c r="D80" s="19" t="s">
        <v>31</v>
      </c>
      <c r="E80" s="23">
        <v>1.0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1</v>
      </c>
      <c r="M80" s="19" t="str">
        <f t="shared" si="122"/>
        <v>-4</v>
      </c>
      <c r="N80" s="19" t="str">
        <f t="shared" si="123"/>
        <v>1</v>
      </c>
      <c r="O80" s="19" t="str">
        <f t="shared" si="124"/>
        <v>5</v>
      </c>
      <c r="P80" s="19" t="str">
        <f t="shared" si="125"/>
        <v>0</v>
      </c>
      <c r="Q80" s="19" t="str">
        <f t="shared" si="126"/>
        <v>1</v>
      </c>
      <c r="R80" s="36" t="str">
        <f t="shared" si="127"/>
        <v>2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2.0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7</v>
      </c>
      <c r="M81" s="38" t="str">
        <f t="shared" si="122"/>
        <v>4</v>
      </c>
      <c r="N81" s="38" t="str">
        <f t="shared" si="123"/>
        <v>5</v>
      </c>
      <c r="O81" s="38" t="str">
        <f t="shared" si="124"/>
        <v>1</v>
      </c>
      <c r="P81" s="38" t="str">
        <f t="shared" si="125"/>
        <v>2</v>
      </c>
      <c r="Q81" s="38" t="str">
        <f t="shared" si="126"/>
        <v>1</v>
      </c>
      <c r="R81" s="39" t="str">
        <f t="shared" si="127"/>
        <v>0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0.0</v>
      </c>
      <c r="D82" s="38" t="s">
        <v>31</v>
      </c>
      <c r="E82" s="42">
        <v>2.0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2.0</v>
      </c>
      <c r="D85" s="19" t="s">
        <v>31</v>
      </c>
      <c r="E85" s="23">
        <v>0.0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1.0</v>
      </c>
      <c r="D86" s="19" t="s">
        <v>31</v>
      </c>
      <c r="E86" s="23">
        <v>2.0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1</v>
      </c>
      <c r="N86" s="19" t="str">
        <f t="shared" ref="N86:N89" si="136">SUM(INDIRECT($AC86),INDIRECT($AD86),INDIRECT($AE86))</f>
        <v>4</v>
      </c>
      <c r="O86" s="19" t="str">
        <f t="shared" ref="O86:O89" si="137">SUM(INDIRECT($AF86),INDIRECT($AG86),INDIRECT($AH86))</f>
        <v>3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2.0</v>
      </c>
      <c r="D87" s="19" t="s">
        <v>31</v>
      </c>
      <c r="E87" s="23">
        <v>0.0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5</v>
      </c>
      <c r="N87" s="19" t="str">
        <f t="shared" si="136"/>
        <v>6</v>
      </c>
      <c r="O87" s="19" t="str">
        <f t="shared" si="137"/>
        <v>1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1.0</v>
      </c>
      <c r="D88" s="19" t="s">
        <v>31</v>
      </c>
      <c r="E88" s="23">
        <v>0.0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-2</v>
      </c>
      <c r="N88" s="19" t="str">
        <f t="shared" si="136"/>
        <v>2</v>
      </c>
      <c r="O88" s="19" t="str">
        <f t="shared" si="137"/>
        <v>4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2.0</v>
      </c>
      <c r="D89" s="19" t="s">
        <v>31</v>
      </c>
      <c r="E89" s="23">
        <v>1.0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-4</v>
      </c>
      <c r="N89" s="38" t="str">
        <f t="shared" si="136"/>
        <v>2</v>
      </c>
      <c r="O89" s="38" t="str">
        <f t="shared" si="137"/>
        <v>6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1.0</v>
      </c>
      <c r="D90" s="38" t="s">
        <v>31</v>
      </c>
      <c r="E90" s="42">
        <v>2.0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2.0</v>
      </c>
      <c r="D93" s="19" t="s">
        <v>31</v>
      </c>
      <c r="E93" s="23">
        <v>1.0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1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1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2.0</v>
      </c>
      <c r="D94" s="19" t="s">
        <v>31</v>
      </c>
      <c r="E94" s="23">
        <v>0.0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6</v>
      </c>
      <c r="M94" s="19" t="str">
        <f t="shared" ref="M94:M97" si="148">N94-O94</f>
        <v>2</v>
      </c>
      <c r="N94" s="19" t="str">
        <f t="shared" ref="N94:N97" si="149">SUM(INDIRECT($AC94),INDIRECT($AD94),INDIRECT($AE94))</f>
        <v>4</v>
      </c>
      <c r="O94" s="19" t="str">
        <f t="shared" ref="O94:O97" si="150">SUM(INDIRECT($AF94),INDIRECT($AG94),INDIRECT($AH94))</f>
        <v>2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0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1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2.0</v>
      </c>
      <c r="D95" s="19" t="s">
        <v>31</v>
      </c>
      <c r="E95" s="23">
        <v>0.0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-1</v>
      </c>
      <c r="N95" s="19" t="str">
        <f t="shared" si="149"/>
        <v>2</v>
      </c>
      <c r="O95" s="19" t="str">
        <f t="shared" si="150"/>
        <v>3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0.0</v>
      </c>
      <c r="D96" s="19" t="s">
        <v>31</v>
      </c>
      <c r="E96" s="23">
        <v>2.0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9</v>
      </c>
      <c r="M96" s="19" t="str">
        <f t="shared" si="148"/>
        <v>5</v>
      </c>
      <c r="N96" s="19" t="str">
        <f t="shared" si="149"/>
        <v>6</v>
      </c>
      <c r="O96" s="19" t="str">
        <f t="shared" si="150"/>
        <v>1</v>
      </c>
      <c r="P96" s="19" t="str">
        <f t="shared" si="151"/>
        <v>3</v>
      </c>
      <c r="Q96" s="19" t="str">
        <f t="shared" si="152"/>
        <v>0</v>
      </c>
      <c r="R96" s="36" t="str">
        <f t="shared" si="153"/>
        <v>0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1.0</v>
      </c>
      <c r="D97" s="19" t="s">
        <v>31</v>
      </c>
      <c r="E97" s="23">
        <v>0.0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-6</v>
      </c>
      <c r="N97" s="38" t="str">
        <f t="shared" si="149"/>
        <v>0</v>
      </c>
      <c r="O97" s="38" t="str">
        <f t="shared" si="150"/>
        <v>6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2.0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83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13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8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15</v>
      </c>
      <c r="V3" s="9"/>
      <c r="W3" s="9"/>
      <c r="X3" s="10"/>
      <c r="Y3" s="83"/>
      <c r="Z3" s="83"/>
      <c r="AA3" s="83"/>
      <c r="AB3" s="83"/>
      <c r="AC3" s="83"/>
      <c r="AD3" s="83"/>
      <c r="AE3" s="83"/>
      <c r="AF3" s="83"/>
      <c r="AG3" s="83"/>
      <c r="AH3" s="83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19"/>
      <c r="Y4" s="83"/>
      <c r="Z4" s="83"/>
      <c r="AA4" s="83"/>
      <c r="AB4" s="83"/>
      <c r="AC4" s="83"/>
      <c r="AD4" s="83"/>
      <c r="AE4" s="83"/>
      <c r="AF4" s="83"/>
      <c r="AG4" s="83"/>
      <c r="AH4" s="83"/>
    </row>
    <row r="5" ht="13.5" customHeight="1">
      <c r="B5" s="21" t="s">
        <v>30</v>
      </c>
      <c r="C5" s="22">
        <v>2.0</v>
      </c>
      <c r="D5" s="19" t="s">
        <v>31</v>
      </c>
      <c r="E5" s="23">
        <v>0.0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4</v>
      </c>
      <c r="Y5" s="33" t="str">
        <f>IF(AND(ISNUMBER(RESULTADOS!C5),ISNUMBER(RESULTADOS!E5),ISNUMBER(C5),ISNUMBER(E5),C5=RESULTADOS!C5,E5=RESULTADOS!E5),2,0)</f>
        <v>2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83"/>
      <c r="AD5" s="83"/>
      <c r="AE5" s="83"/>
      <c r="AF5" s="83"/>
      <c r="AG5" s="83"/>
      <c r="AH5" s="83"/>
    </row>
    <row r="6" ht="13.5" customHeight="1">
      <c r="B6" s="21" t="s">
        <v>40</v>
      </c>
      <c r="C6" s="22">
        <v>2.0</v>
      </c>
      <c r="D6" s="19" t="s">
        <v>31</v>
      </c>
      <c r="E6" s="23">
        <v>1.0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6</v>
      </c>
      <c r="M6" s="19" t="str">
        <f t="shared" ref="M6:M9" si="5">N6-O6</f>
        <v>1</v>
      </c>
      <c r="N6" s="19" t="str">
        <f t="shared" ref="N6:N9" si="6">SUM(INDIRECT($AC6),INDIRECT($AD6),INDIRECT($AE6))</f>
        <v>4</v>
      </c>
      <c r="O6" s="19" t="str">
        <f t="shared" ref="O6:O9" si="7">SUM(INDIRECT($AF6),INDIRECT($AG6),INDIRECT($AH6))</f>
        <v>3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2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0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4</v>
      </c>
      <c r="Y6" s="33" t="str">
        <f>IF(AND(ISNUMBER(RESULTADOS!C6),ISNUMBER(RESULTADOS!E6),ISNUMBER(C6),ISNUMBER(E6),C6=RESULTADOS!C6,E6=RESULTADOS!E6),2,0)</f>
        <v>2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1</v>
      </c>
      <c r="AA6" s="33" t="str">
        <f>IF(AND(ISNUMBER(RESULTADOS!C6),ISNUMBER(RESULTADOS!E6),ISNUMBER(C6),ISNUMBER(E6),AND(Z6=1,OR(C6=RESULTADOS!C6,E6=RESULTADOS!E6))),1,0)</f>
        <v>1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83" t="s">
        <v>42</v>
      </c>
      <c r="AD6" s="83" t="s">
        <v>43</v>
      </c>
      <c r="AE6" s="83" t="s">
        <v>44</v>
      </c>
      <c r="AF6" s="83" t="str">
        <f t="shared" ref="AF6:AH6" si="3">IF(ISNUMBER(FIND("C", AC6, 1)), SUBSTITUTE(AC6, "C", "E"), SUBSTITUTE(AC6, "E", "C"))</f>
        <v>E6</v>
      </c>
      <c r="AG6" s="83" t="str">
        <f t="shared" si="3"/>
        <v>C8</v>
      </c>
      <c r="AH6" s="83" t="str">
        <f t="shared" si="3"/>
        <v>C9</v>
      </c>
    </row>
    <row r="7" ht="12.75" customHeight="1">
      <c r="B7" s="21" t="s">
        <v>41</v>
      </c>
      <c r="C7" s="22">
        <v>1.0</v>
      </c>
      <c r="D7" s="19" t="s">
        <v>31</v>
      </c>
      <c r="E7" s="23">
        <v>1.0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9</v>
      </c>
      <c r="M7" s="19" t="str">
        <f t="shared" si="5"/>
        <v>5</v>
      </c>
      <c r="N7" s="19" t="str">
        <f t="shared" si="6"/>
        <v>6</v>
      </c>
      <c r="O7" s="19" t="str">
        <f t="shared" si="7"/>
        <v>1</v>
      </c>
      <c r="P7" s="19" t="str">
        <f t="shared" si="8"/>
        <v>3</v>
      </c>
      <c r="Q7" s="19" t="str">
        <f t="shared" si="9"/>
        <v>0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83" t="s">
        <v>45</v>
      </c>
      <c r="AD7" s="83" t="s">
        <v>46</v>
      </c>
      <c r="AE7" s="83" t="s">
        <v>47</v>
      </c>
      <c r="AF7" s="83" t="str">
        <f t="shared" ref="AF7:AH7" si="11">IF(ISNUMBER(FIND("C", AC7, 1)), SUBSTITUTE(AC7, "C", "E"), SUBSTITUTE(AC7, "E", "C"))</f>
        <v>E5</v>
      </c>
      <c r="AG7" s="83" t="str">
        <f t="shared" si="11"/>
        <v>E8</v>
      </c>
      <c r="AH7" s="83" t="str">
        <f t="shared" si="11"/>
        <v>C10</v>
      </c>
    </row>
    <row r="8" ht="12.75" customHeight="1">
      <c r="B8" s="21" t="s">
        <v>30</v>
      </c>
      <c r="C8" s="22">
        <v>2.0</v>
      </c>
      <c r="D8" s="19" t="s">
        <v>31</v>
      </c>
      <c r="E8" s="23">
        <v>1.0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1</v>
      </c>
      <c r="M8" s="19" t="str">
        <f t="shared" si="5"/>
        <v>-3</v>
      </c>
      <c r="N8" s="19" t="str">
        <f t="shared" si="6"/>
        <v>2</v>
      </c>
      <c r="O8" s="19" t="str">
        <f t="shared" si="7"/>
        <v>5</v>
      </c>
      <c r="P8" s="19" t="str">
        <f t="shared" si="8"/>
        <v>0</v>
      </c>
      <c r="Q8" s="19" t="str">
        <f t="shared" si="9"/>
        <v>1</v>
      </c>
      <c r="R8" s="36" t="str">
        <f t="shared" si="10"/>
        <v>2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83" t="s">
        <v>48</v>
      </c>
      <c r="AD8" s="83" t="s">
        <v>49</v>
      </c>
      <c r="AE8" s="83" t="s">
        <v>50</v>
      </c>
      <c r="AF8" s="83" t="str">
        <f t="shared" ref="AF8:AH8" si="12">IF(ISNUMBER(FIND("C", AC8, 1)), SUBSTITUTE(AC8, "C", "E"), SUBSTITUTE(AC8, "E", "C"))</f>
        <v>C6</v>
      </c>
      <c r="AG8" s="83" t="str">
        <f t="shared" si="12"/>
        <v>E7</v>
      </c>
      <c r="AH8" s="83" t="str">
        <f t="shared" si="12"/>
        <v>E10</v>
      </c>
    </row>
    <row r="9" ht="12.75" customHeight="1">
      <c r="B9" s="21" t="s">
        <v>32</v>
      </c>
      <c r="C9" s="22">
        <v>0.0</v>
      </c>
      <c r="D9" s="19" t="s">
        <v>31</v>
      </c>
      <c r="E9" s="23">
        <v>1.0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1</v>
      </c>
      <c r="M9" s="38" t="str">
        <f t="shared" si="5"/>
        <v>-3</v>
      </c>
      <c r="N9" s="38" t="str">
        <f t="shared" si="6"/>
        <v>1</v>
      </c>
      <c r="O9" s="38" t="str">
        <f t="shared" si="7"/>
        <v>4</v>
      </c>
      <c r="P9" s="38" t="str">
        <f t="shared" si="8"/>
        <v>0</v>
      </c>
      <c r="Q9" s="38" t="str">
        <f t="shared" si="9"/>
        <v>1</v>
      </c>
      <c r="R9" s="39" t="str">
        <f t="shared" si="10"/>
        <v>2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83" t="s">
        <v>51</v>
      </c>
      <c r="AD9" s="83" t="s">
        <v>52</v>
      </c>
      <c r="AE9" s="83" t="s">
        <v>53</v>
      </c>
      <c r="AF9" s="83" t="str">
        <f t="shared" ref="AF9:AH9" si="13">IF(ISNUMBER(FIND("C", AC9, 1)), SUBSTITUTE(AC9, "C", "E"), SUBSTITUTE(AC9, "E", "C"))</f>
        <v>C5</v>
      </c>
      <c r="AG9" s="83" t="str">
        <f t="shared" si="13"/>
        <v>C7</v>
      </c>
      <c r="AH9" s="83" t="str">
        <f t="shared" si="13"/>
        <v>E9</v>
      </c>
    </row>
    <row r="10" ht="13.5" customHeight="1">
      <c r="B10" s="40" t="s">
        <v>41</v>
      </c>
      <c r="C10" s="41">
        <v>0.0</v>
      </c>
      <c r="D10" s="38" t="s">
        <v>31</v>
      </c>
      <c r="E10" s="42">
        <v>2.0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83"/>
      <c r="AD10" s="83"/>
      <c r="AE10" s="83"/>
      <c r="AF10" s="83"/>
      <c r="AG10" s="83"/>
      <c r="AH10" s="83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83"/>
      <c r="AD11" s="83"/>
      <c r="AE11" s="83"/>
      <c r="AF11" s="83"/>
      <c r="AG11" s="83"/>
      <c r="AH11" s="83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83"/>
      <c r="AD12" s="83"/>
      <c r="AE12" s="83"/>
      <c r="AF12" s="83"/>
      <c r="AG12" s="83"/>
      <c r="AH12" s="83"/>
    </row>
    <row r="13" ht="13.5" customHeight="1">
      <c r="B13" s="21" t="s">
        <v>55</v>
      </c>
      <c r="C13" s="22">
        <v>1.0</v>
      </c>
      <c r="D13" s="19" t="s">
        <v>31</v>
      </c>
      <c r="E13" s="23">
        <v>2.0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83"/>
      <c r="AD13" s="83"/>
      <c r="AE13" s="83"/>
      <c r="AF13" s="83"/>
      <c r="AG13" s="83"/>
      <c r="AH13" s="83"/>
    </row>
    <row r="14" ht="13.5" customHeight="1">
      <c r="B14" s="21" t="s">
        <v>57</v>
      </c>
      <c r="C14" s="22">
        <v>0.0</v>
      </c>
      <c r="D14" s="19" t="s">
        <v>31</v>
      </c>
      <c r="E14" s="23">
        <v>1.0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7</v>
      </c>
      <c r="M14" s="19" t="str">
        <f t="shared" ref="M14:M17" si="18">N14-O14</f>
        <v>3</v>
      </c>
      <c r="N14" s="19" t="str">
        <f t="shared" ref="N14:N17" si="19">SUM(INDIRECT($AC14),INDIRECT($AD14),INDIRECT($AE14))</f>
        <v>5</v>
      </c>
      <c r="O14" s="19" t="str">
        <f t="shared" ref="O14:O17" si="20">SUM(INDIRECT($AF14),INDIRECT($AG14),INDIRECT($AH14))</f>
        <v>2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2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0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83" t="s">
        <v>59</v>
      </c>
      <c r="AD14" s="83" t="s">
        <v>60</v>
      </c>
      <c r="AE14" s="83" t="s">
        <v>61</v>
      </c>
      <c r="AF14" s="83" t="str">
        <f t="shared" ref="AF14:AH14" si="16">IF(ISNUMBER(FIND("C", AC14, 1)), SUBSTITUTE(AC14, "C", "E"), SUBSTITUTE(AC14, "E", "C"))</f>
        <v>C13</v>
      </c>
      <c r="AG14" s="83" t="str">
        <f t="shared" si="16"/>
        <v>C15</v>
      </c>
      <c r="AH14" s="83" t="str">
        <f t="shared" si="16"/>
        <v>E18</v>
      </c>
    </row>
    <row r="15" ht="12.75" customHeight="1">
      <c r="B15" s="21" t="s">
        <v>58</v>
      </c>
      <c r="C15" s="22">
        <v>1.0</v>
      </c>
      <c r="D15" s="19" t="s">
        <v>31</v>
      </c>
      <c r="E15" s="23">
        <v>1.0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1</v>
      </c>
      <c r="M15" s="19" t="str">
        <f t="shared" si="18"/>
        <v>-3</v>
      </c>
      <c r="N15" s="19" t="str">
        <f t="shared" si="19"/>
        <v>2</v>
      </c>
      <c r="O15" s="19" t="str">
        <f t="shared" si="20"/>
        <v>5</v>
      </c>
      <c r="P15" s="19" t="str">
        <f t="shared" si="21"/>
        <v>0</v>
      </c>
      <c r="Q15" s="19" t="str">
        <f t="shared" si="22"/>
        <v>1</v>
      </c>
      <c r="R15" s="36" t="str">
        <f t="shared" si="23"/>
        <v>2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83" t="s">
        <v>62</v>
      </c>
      <c r="AD15" s="83" t="s">
        <v>63</v>
      </c>
      <c r="AE15" s="83" t="s">
        <v>64</v>
      </c>
      <c r="AF15" s="83" t="str">
        <f t="shared" ref="AF15:AH15" si="24">IF(ISNUMBER(FIND("C", AC15, 1)), SUBSTITUTE(AC15, "C", "E"), SUBSTITUTE(AC15, "E", "C"))</f>
        <v>E13</v>
      </c>
      <c r="AG15" s="83" t="str">
        <f t="shared" si="24"/>
        <v>E16</v>
      </c>
      <c r="AH15" s="83" t="str">
        <f t="shared" si="24"/>
        <v>C17</v>
      </c>
    </row>
    <row r="16" ht="12.75" customHeight="1">
      <c r="B16" s="21" t="s">
        <v>55</v>
      </c>
      <c r="C16" s="22">
        <v>1.0</v>
      </c>
      <c r="D16" s="19" t="s">
        <v>31</v>
      </c>
      <c r="E16" s="23">
        <v>1.0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1</v>
      </c>
      <c r="M16" s="19" t="str">
        <f t="shared" si="18"/>
        <v>-3</v>
      </c>
      <c r="N16" s="19" t="str">
        <f t="shared" si="19"/>
        <v>1</v>
      </c>
      <c r="O16" s="19" t="str">
        <f t="shared" si="20"/>
        <v>4</v>
      </c>
      <c r="P16" s="19" t="str">
        <f t="shared" si="21"/>
        <v>0</v>
      </c>
      <c r="Q16" s="19" t="str">
        <f t="shared" si="22"/>
        <v>1</v>
      </c>
      <c r="R16" s="36" t="str">
        <f t="shared" si="23"/>
        <v>2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83" t="s">
        <v>65</v>
      </c>
      <c r="AD16" s="83" t="s">
        <v>66</v>
      </c>
      <c r="AE16" s="83" t="s">
        <v>67</v>
      </c>
      <c r="AF16" s="83" t="str">
        <f t="shared" ref="AF16:AH16" si="25">IF(ISNUMBER(FIND("C", AC16, 1)), SUBSTITUTE(AC16, "C", "E"), SUBSTITUTE(AC16, "E", "C"))</f>
        <v>E14</v>
      </c>
      <c r="AG16" s="83" t="str">
        <f t="shared" si="25"/>
        <v>C16</v>
      </c>
      <c r="AH16" s="83" t="str">
        <f t="shared" si="25"/>
        <v>C18</v>
      </c>
    </row>
    <row r="17" ht="12.75" customHeight="1">
      <c r="B17" s="21" t="s">
        <v>58</v>
      </c>
      <c r="C17" s="22">
        <v>2.0</v>
      </c>
      <c r="D17" s="19" t="s">
        <v>31</v>
      </c>
      <c r="E17" s="23">
        <v>0.0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7</v>
      </c>
      <c r="M17" s="38" t="str">
        <f t="shared" si="18"/>
        <v>3</v>
      </c>
      <c r="N17" s="38" t="str">
        <f t="shared" si="19"/>
        <v>4</v>
      </c>
      <c r="O17" s="38" t="str">
        <f t="shared" si="20"/>
        <v>1</v>
      </c>
      <c r="P17" s="38" t="str">
        <f t="shared" si="21"/>
        <v>2</v>
      </c>
      <c r="Q17" s="38" t="str">
        <f t="shared" si="22"/>
        <v>1</v>
      </c>
      <c r="R17" s="39" t="str">
        <f t="shared" si="23"/>
        <v>0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83" t="s">
        <v>68</v>
      </c>
      <c r="AD17" s="83" t="s">
        <v>69</v>
      </c>
      <c r="AE17" s="83" t="s">
        <v>70</v>
      </c>
      <c r="AF17" s="83" t="str">
        <f t="shared" ref="AF17:AH17" si="26">IF(ISNUMBER(FIND("C", AC17, 1)), SUBSTITUTE(AC17, "C", "E"), SUBSTITUTE(AC17, "E", "C"))</f>
        <v>C14</v>
      </c>
      <c r="AG17" s="83" t="str">
        <f t="shared" si="26"/>
        <v>E15</v>
      </c>
      <c r="AH17" s="83" t="str">
        <f t="shared" si="26"/>
        <v>E17</v>
      </c>
    </row>
    <row r="18" ht="13.5" customHeight="1">
      <c r="B18" s="40" t="s">
        <v>56</v>
      </c>
      <c r="C18" s="41">
        <v>2.0</v>
      </c>
      <c r="D18" s="38" t="s">
        <v>31</v>
      </c>
      <c r="E18" s="42">
        <v>0.0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83"/>
      <c r="AD18" s="83"/>
      <c r="AE18" s="83"/>
      <c r="AF18" s="83"/>
      <c r="AG18" s="83"/>
      <c r="AH18" s="83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83"/>
      <c r="AD19" s="83"/>
      <c r="AE19" s="83"/>
      <c r="AF19" s="83"/>
      <c r="AG19" s="83"/>
      <c r="AH19" s="83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83"/>
      <c r="AD20" s="83"/>
      <c r="AE20" s="83"/>
      <c r="AF20" s="83"/>
      <c r="AG20" s="83"/>
      <c r="AH20" s="83"/>
    </row>
    <row r="21" ht="13.5" customHeight="1">
      <c r="B21" s="21" t="s">
        <v>72</v>
      </c>
      <c r="C21" s="22">
        <v>3.0</v>
      </c>
      <c r="D21" s="19" t="s">
        <v>31</v>
      </c>
      <c r="E21" s="23">
        <v>1.0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83"/>
      <c r="AD21" s="83"/>
      <c r="AE21" s="83"/>
      <c r="AF21" s="83"/>
      <c r="AG21" s="83"/>
      <c r="AH21" s="83"/>
    </row>
    <row r="22" ht="13.5" customHeight="1">
      <c r="B22" s="21" t="s">
        <v>74</v>
      </c>
      <c r="C22" s="22">
        <v>1.0</v>
      </c>
      <c r="D22" s="19" t="s">
        <v>31</v>
      </c>
      <c r="E22" s="23">
        <v>3.0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9</v>
      </c>
      <c r="N22" s="19" t="str">
        <f t="shared" ref="N22:N25" si="32">SUM(INDIRECT($AC22),INDIRECT($AD22),INDIRECT($AE22))</f>
        <v>10</v>
      </c>
      <c r="O22" s="19" t="str">
        <f t="shared" ref="O22:O25" si="33">SUM(INDIRECT($AF22),INDIRECT($AG22),INDIRECT($AH22))</f>
        <v>1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1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83" t="s">
        <v>76</v>
      </c>
      <c r="AD22" s="83" t="s">
        <v>77</v>
      </c>
      <c r="AE22" s="83" t="s">
        <v>78</v>
      </c>
      <c r="AF22" s="83" t="str">
        <f t="shared" ref="AF22:AH22" si="29">IF(ISNUMBER(FIND("C", AC22, 1)), SUBSTITUTE(AC22, "C", "E"), SUBSTITUTE(AC22, "E", "C"))</f>
        <v>E21</v>
      </c>
      <c r="AG22" s="83" t="str">
        <f t="shared" si="29"/>
        <v>E24</v>
      </c>
      <c r="AH22" s="83" t="str">
        <f t="shared" si="29"/>
        <v>C26</v>
      </c>
    </row>
    <row r="23" ht="12.75" customHeight="1">
      <c r="B23" s="21" t="s">
        <v>75</v>
      </c>
      <c r="C23" s="22">
        <v>0.0</v>
      </c>
      <c r="D23" s="19" t="s">
        <v>31</v>
      </c>
      <c r="E23" s="23">
        <v>2.0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-2</v>
      </c>
      <c r="N23" s="19" t="str">
        <f t="shared" si="32"/>
        <v>3</v>
      </c>
      <c r="O23" s="19" t="str">
        <f t="shared" si="33"/>
        <v>5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83" t="s">
        <v>79</v>
      </c>
      <c r="AD23" s="83" t="s">
        <v>80</v>
      </c>
      <c r="AE23" s="83" t="s">
        <v>81</v>
      </c>
      <c r="AF23" s="83" t="str">
        <f t="shared" ref="AF23:AH23" si="37">IF(ISNUMBER(FIND("C", AC23, 1)), SUBSTITUTE(AC23, "C", "E"), SUBSTITUTE(AC23, "E", "C"))</f>
        <v>C22</v>
      </c>
      <c r="AG23" s="83" t="str">
        <f t="shared" si="37"/>
        <v>E23</v>
      </c>
      <c r="AH23" s="83" t="str">
        <f t="shared" si="37"/>
        <v>E26</v>
      </c>
    </row>
    <row r="24" ht="12.75" customHeight="1">
      <c r="B24" s="21" t="s">
        <v>72</v>
      </c>
      <c r="C24" s="22">
        <v>5.0</v>
      </c>
      <c r="D24" s="19" t="s">
        <v>31</v>
      </c>
      <c r="E24" s="23">
        <v>0.0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-11</v>
      </c>
      <c r="N24" s="19" t="str">
        <f t="shared" si="32"/>
        <v>1</v>
      </c>
      <c r="O24" s="19" t="str">
        <f t="shared" si="33"/>
        <v>12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83" t="s">
        <v>82</v>
      </c>
      <c r="AD24" s="83" t="s">
        <v>83</v>
      </c>
      <c r="AE24" s="83" t="s">
        <v>84</v>
      </c>
      <c r="AF24" s="83" t="str">
        <f t="shared" ref="AF24:AH24" si="38">IF(ISNUMBER(FIND("C", AC24, 1)), SUBSTITUTE(AC24, "C", "E"), SUBSTITUTE(AC24, "E", "C"))</f>
        <v>E22</v>
      </c>
      <c r="AG24" s="83" t="str">
        <f t="shared" si="38"/>
        <v>C24</v>
      </c>
      <c r="AH24" s="83" t="str">
        <f t="shared" si="38"/>
        <v>C25</v>
      </c>
    </row>
    <row r="25" ht="12.75" customHeight="1">
      <c r="B25" s="21" t="s">
        <v>73</v>
      </c>
      <c r="C25" s="22">
        <v>4.0</v>
      </c>
      <c r="D25" s="19" t="s">
        <v>31</v>
      </c>
      <c r="E25" s="23">
        <v>0.0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4</v>
      </c>
      <c r="N25" s="38" t="str">
        <f t="shared" si="32"/>
        <v>7</v>
      </c>
      <c r="O25" s="38" t="str">
        <f t="shared" si="33"/>
        <v>3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83" t="s">
        <v>85</v>
      </c>
      <c r="AD25" s="83" t="s">
        <v>86</v>
      </c>
      <c r="AE25" s="83" t="s">
        <v>87</v>
      </c>
      <c r="AF25" s="83" t="str">
        <f t="shared" ref="AF25:AH25" si="39">IF(ISNUMBER(FIND("C", AC25, 1)), SUBSTITUTE(AC25, "C", "E"), SUBSTITUTE(AC25, "E", "C"))</f>
        <v>C21</v>
      </c>
      <c r="AG25" s="83" t="str">
        <f t="shared" si="39"/>
        <v>C23</v>
      </c>
      <c r="AH25" s="83" t="str">
        <f t="shared" si="39"/>
        <v>E25</v>
      </c>
    </row>
    <row r="26" ht="13.5" customHeight="1">
      <c r="B26" s="40" t="s">
        <v>75</v>
      </c>
      <c r="C26" s="41">
        <v>0.0</v>
      </c>
      <c r="D26" s="38" t="s">
        <v>31</v>
      </c>
      <c r="E26" s="42">
        <v>2.0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83"/>
      <c r="AD26" s="83"/>
      <c r="AE26" s="83"/>
      <c r="AF26" s="83"/>
      <c r="AG26" s="83"/>
      <c r="AH26" s="83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83"/>
      <c r="AD27" s="83"/>
      <c r="AE27" s="83"/>
      <c r="AF27" s="83"/>
      <c r="AG27" s="83"/>
      <c r="AH27" s="83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83"/>
      <c r="AD28" s="83"/>
      <c r="AE28" s="83"/>
      <c r="AF28" s="83"/>
      <c r="AG28" s="83"/>
      <c r="AH28" s="83"/>
    </row>
    <row r="29" ht="13.5" customHeight="1">
      <c r="B29" s="21" t="s">
        <v>89</v>
      </c>
      <c r="C29" s="22">
        <v>1.0</v>
      </c>
      <c r="D29" s="19" t="s">
        <v>31</v>
      </c>
      <c r="E29" s="23">
        <v>1.0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83"/>
      <c r="AD29" s="83"/>
      <c r="AE29" s="83"/>
      <c r="AF29" s="83"/>
      <c r="AG29" s="83"/>
      <c r="AH29" s="83"/>
    </row>
    <row r="30" ht="13.5" customHeight="1">
      <c r="B30" s="21" t="s">
        <v>91</v>
      </c>
      <c r="C30" s="22">
        <v>0.0</v>
      </c>
      <c r="D30" s="19" t="s">
        <v>31</v>
      </c>
      <c r="E30" s="23">
        <v>1.0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1</v>
      </c>
      <c r="M30" s="19" t="str">
        <f t="shared" ref="M30:M33" si="44">N30-O30</f>
        <v>-2</v>
      </c>
      <c r="N30" s="19" t="str">
        <f t="shared" ref="N30:N33" si="45">SUM(INDIRECT($AC30),INDIRECT($AD30),INDIRECT($AE30))</f>
        <v>1</v>
      </c>
      <c r="O30" s="19" t="str">
        <f t="shared" ref="O30:O33" si="46">SUM(INDIRECT($AF30),INDIRECT($AG30),INDIRECT($AH30))</f>
        <v>3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1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2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83" t="s">
        <v>93</v>
      </c>
      <c r="AD30" s="83" t="s">
        <v>94</v>
      </c>
      <c r="AE30" s="83" t="s">
        <v>95</v>
      </c>
      <c r="AF30" s="83" t="str">
        <f t="shared" ref="AF30:AH30" si="42">IF(ISNUMBER(FIND("C", AC30, 1)), SUBSTITUTE(AC30, "C", "E"), SUBSTITUTE(AC30, "E", "C"))</f>
        <v>E30</v>
      </c>
      <c r="AG30" s="83" t="str">
        <f t="shared" si="42"/>
        <v>C31</v>
      </c>
      <c r="AH30" s="83" t="str">
        <f t="shared" si="42"/>
        <v>C34</v>
      </c>
    </row>
    <row r="31" ht="12.75" customHeight="1">
      <c r="B31" s="21" t="s">
        <v>89</v>
      </c>
      <c r="C31" s="22">
        <v>1.0</v>
      </c>
      <c r="D31" s="19" t="s">
        <v>31</v>
      </c>
      <c r="E31" s="23">
        <v>0.0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4</v>
      </c>
      <c r="M31" s="19" t="str">
        <f t="shared" si="44"/>
        <v>-1</v>
      </c>
      <c r="N31" s="19" t="str">
        <f t="shared" si="45"/>
        <v>2</v>
      </c>
      <c r="O31" s="19" t="str">
        <f t="shared" si="46"/>
        <v>3</v>
      </c>
      <c r="P31" s="19" t="str">
        <f t="shared" si="47"/>
        <v>1</v>
      </c>
      <c r="Q31" s="19" t="str">
        <f t="shared" si="48"/>
        <v>1</v>
      </c>
      <c r="R31" s="36" t="str">
        <f t="shared" si="49"/>
        <v>1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83" t="s">
        <v>96</v>
      </c>
      <c r="AD31" s="83" t="s">
        <v>97</v>
      </c>
      <c r="AE31" s="83" t="s">
        <v>98</v>
      </c>
      <c r="AF31" s="83" t="str">
        <f t="shared" ref="AF31:AH31" si="50">IF(ISNUMBER(FIND("C", AC31, 1)), SUBSTITUTE(AC31, "C", "E"), SUBSTITUTE(AC31, "E", "C"))</f>
        <v>E29</v>
      </c>
      <c r="AG31" s="83" t="str">
        <f t="shared" si="50"/>
        <v>E31</v>
      </c>
      <c r="AH31" s="83" t="str">
        <f t="shared" si="50"/>
        <v>C33</v>
      </c>
    </row>
    <row r="32" ht="12.75" customHeight="1">
      <c r="B32" s="21" t="s">
        <v>92</v>
      </c>
      <c r="C32" s="22">
        <v>2.0</v>
      </c>
      <c r="D32" s="19" t="s">
        <v>31</v>
      </c>
      <c r="E32" s="23">
        <v>1.0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2</v>
      </c>
      <c r="M32" s="19" t="str">
        <f t="shared" si="44"/>
        <v>-1</v>
      </c>
      <c r="N32" s="19" t="str">
        <f t="shared" si="45"/>
        <v>3</v>
      </c>
      <c r="O32" s="19" t="str">
        <f t="shared" si="46"/>
        <v>4</v>
      </c>
      <c r="P32" s="19" t="str">
        <f t="shared" si="47"/>
        <v>0</v>
      </c>
      <c r="Q32" s="19" t="str">
        <f t="shared" si="48"/>
        <v>2</v>
      </c>
      <c r="R32" s="36" t="str">
        <f t="shared" si="49"/>
        <v>1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83" t="s">
        <v>99</v>
      </c>
      <c r="AD32" s="83" t="s">
        <v>100</v>
      </c>
      <c r="AE32" s="83" t="s">
        <v>95</v>
      </c>
      <c r="AF32" s="83" t="str">
        <f t="shared" ref="AF32:AH32" si="51">IF(ISNUMBER(FIND("C", AC32, 1)), SUBSTITUTE(AC32, "C", "E"), SUBSTITUTE(AC32, "E", "C"))</f>
        <v>C29</v>
      </c>
      <c r="AG32" s="83" t="str">
        <f t="shared" si="51"/>
        <v>C32</v>
      </c>
      <c r="AH32" s="83" t="str">
        <f t="shared" si="51"/>
        <v>C34</v>
      </c>
    </row>
    <row r="33" ht="12.75" customHeight="1">
      <c r="B33" s="21" t="s">
        <v>92</v>
      </c>
      <c r="C33" s="22">
        <v>2.0</v>
      </c>
      <c r="D33" s="19" t="s">
        <v>31</v>
      </c>
      <c r="E33" s="23">
        <v>0.0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9</v>
      </c>
      <c r="M33" s="38" t="str">
        <f t="shared" si="44"/>
        <v>4</v>
      </c>
      <c r="N33" s="38" t="str">
        <f t="shared" si="45"/>
        <v>5</v>
      </c>
      <c r="O33" s="38" t="str">
        <f t="shared" si="46"/>
        <v>1</v>
      </c>
      <c r="P33" s="38" t="str">
        <f t="shared" si="47"/>
        <v>3</v>
      </c>
      <c r="Q33" s="38" t="str">
        <f t="shared" si="48"/>
        <v>0</v>
      </c>
      <c r="R33" s="39" t="str">
        <f t="shared" si="49"/>
        <v>0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83" t="s">
        <v>101</v>
      </c>
      <c r="AD33" s="83" t="s">
        <v>102</v>
      </c>
      <c r="AE33" s="83" t="s">
        <v>103</v>
      </c>
      <c r="AF33" s="83" t="str">
        <f t="shared" ref="AF33:AH33" si="52">IF(ISNUMBER(FIND("C", AC33, 1)), SUBSTITUTE(AC33, "C", "E"), SUBSTITUTE(AC33, "E", "C"))</f>
        <v>C30</v>
      </c>
      <c r="AG33" s="83" t="str">
        <f t="shared" si="52"/>
        <v>E32</v>
      </c>
      <c r="AH33" s="83" t="str">
        <f t="shared" si="52"/>
        <v>E33</v>
      </c>
    </row>
    <row r="34" ht="13.5" customHeight="1">
      <c r="B34" s="40" t="s">
        <v>90</v>
      </c>
      <c r="C34" s="41">
        <v>1.0</v>
      </c>
      <c r="D34" s="38" t="s">
        <v>31</v>
      </c>
      <c r="E34" s="42">
        <v>1.0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83"/>
      <c r="AD34" s="83"/>
      <c r="AE34" s="83"/>
      <c r="AF34" s="83"/>
      <c r="AG34" s="83"/>
      <c r="AH34" s="83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83"/>
      <c r="AD35" s="83"/>
      <c r="AE35" s="83"/>
      <c r="AF35" s="83"/>
      <c r="AG35" s="83"/>
      <c r="AH35" s="83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83"/>
      <c r="AD36" s="83"/>
      <c r="AE36" s="83"/>
      <c r="AF36" s="83"/>
      <c r="AG36" s="83"/>
      <c r="AH36" s="83"/>
    </row>
    <row r="37" ht="13.5" customHeight="1">
      <c r="B37" s="21" t="s">
        <v>105</v>
      </c>
      <c r="C37" s="22">
        <v>6.0</v>
      </c>
      <c r="D37" s="19" t="s">
        <v>31</v>
      </c>
      <c r="E37" s="23">
        <v>0.0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2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1</v>
      </c>
      <c r="AC37" s="83"/>
      <c r="AD37" s="83"/>
      <c r="AE37" s="83"/>
      <c r="AF37" s="83"/>
      <c r="AG37" s="83"/>
      <c r="AH37" s="83"/>
    </row>
    <row r="38" ht="13.5" customHeight="1">
      <c r="B38" s="21" t="s">
        <v>107</v>
      </c>
      <c r="C38" s="22">
        <v>2.0</v>
      </c>
      <c r="D38" s="19" t="s">
        <v>31</v>
      </c>
      <c r="E38" s="23">
        <v>1.0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9</v>
      </c>
      <c r="M38" s="19" t="str">
        <f t="shared" ref="M38:M41" si="57">N38-O38</f>
        <v>11</v>
      </c>
      <c r="N38" s="19" t="str">
        <f t="shared" ref="N38:N41" si="58">SUM(INDIRECT($AC38),INDIRECT($AD38),INDIRECT($AE38))</f>
        <v>11</v>
      </c>
      <c r="O38" s="19" t="str">
        <f t="shared" ref="O38:O41" si="59">SUM(INDIRECT($AF38),INDIRECT($AG38),INDIRECT($AH38))</f>
        <v>0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3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2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1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1</v>
      </c>
      <c r="AC38" s="83" t="s">
        <v>109</v>
      </c>
      <c r="AD38" s="83" t="s">
        <v>110</v>
      </c>
      <c r="AE38" s="83" t="s">
        <v>111</v>
      </c>
      <c r="AF38" s="83" t="str">
        <f t="shared" ref="AF38:AH38" si="55">IF(ISNUMBER(FIND("C", AC38, 1)), SUBSTITUTE(AC38, "C", "E"), SUBSTITUTE(AC38, "E", "C"))</f>
        <v>E37</v>
      </c>
      <c r="AG38" s="83" t="str">
        <f t="shared" si="55"/>
        <v>E39</v>
      </c>
      <c r="AH38" s="83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0.0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6</v>
      </c>
      <c r="M39" s="19" t="str">
        <f t="shared" si="57"/>
        <v>3</v>
      </c>
      <c r="N39" s="19" t="str">
        <f t="shared" si="58"/>
        <v>6</v>
      </c>
      <c r="O39" s="19" t="str">
        <f t="shared" si="59"/>
        <v>3</v>
      </c>
      <c r="P39" s="19" t="str">
        <f t="shared" si="60"/>
        <v>2</v>
      </c>
      <c r="Q39" s="19" t="str">
        <f t="shared" si="61"/>
        <v>0</v>
      </c>
      <c r="R39" s="36" t="str">
        <f t="shared" si="62"/>
        <v>1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83" t="s">
        <v>112</v>
      </c>
      <c r="AD39" s="83" t="s">
        <v>113</v>
      </c>
      <c r="AE39" s="83" t="s">
        <v>114</v>
      </c>
      <c r="AF39" s="83" t="str">
        <f t="shared" ref="AF39:AH39" si="63">IF(ISNUMBER(FIND("C", AC39, 1)), SUBSTITUTE(AC39, "C", "E"), SUBSTITUTE(AC39, "E", "C"))</f>
        <v>E38</v>
      </c>
      <c r="AG39" s="83" t="str">
        <f t="shared" si="63"/>
        <v>C39</v>
      </c>
      <c r="AH39" s="83" t="str">
        <f t="shared" si="63"/>
        <v>C42</v>
      </c>
    </row>
    <row r="40" ht="12.75" customHeight="1">
      <c r="B40" s="21" t="s">
        <v>108</v>
      </c>
      <c r="C40" s="22">
        <v>3.0</v>
      </c>
      <c r="D40" s="19" t="s">
        <v>31</v>
      </c>
      <c r="E40" s="23">
        <v>0.0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-13</v>
      </c>
      <c r="N40" s="19" t="str">
        <f t="shared" si="58"/>
        <v>0</v>
      </c>
      <c r="O40" s="19" t="str">
        <f t="shared" si="59"/>
        <v>13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83" t="s">
        <v>115</v>
      </c>
      <c r="AD40" s="83" t="s">
        <v>116</v>
      </c>
      <c r="AE40" s="83" t="s">
        <v>117</v>
      </c>
      <c r="AF40" s="83" t="str">
        <f t="shared" ref="AF40:AH40" si="64">IF(ISNUMBER(FIND("C", AC40, 1)), SUBSTITUTE(AC40, "C", "E"), SUBSTITUTE(AC40, "E", "C"))</f>
        <v>C37</v>
      </c>
      <c r="AG40" s="83" t="str">
        <f t="shared" si="64"/>
        <v>C40</v>
      </c>
      <c r="AH40" s="83" t="str">
        <f t="shared" si="64"/>
        <v>E42</v>
      </c>
    </row>
    <row r="41" ht="12.75" customHeight="1">
      <c r="B41" s="21" t="s">
        <v>108</v>
      </c>
      <c r="C41" s="22">
        <v>0.0</v>
      </c>
      <c r="D41" s="19" t="s">
        <v>31</v>
      </c>
      <c r="E41" s="23">
        <v>3.0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3</v>
      </c>
      <c r="M41" s="38" t="str">
        <f t="shared" si="57"/>
        <v>-1</v>
      </c>
      <c r="N41" s="38" t="str">
        <f t="shared" si="58"/>
        <v>4</v>
      </c>
      <c r="O41" s="38" t="str">
        <f t="shared" si="59"/>
        <v>5</v>
      </c>
      <c r="P41" s="38" t="str">
        <f t="shared" si="60"/>
        <v>1</v>
      </c>
      <c r="Q41" s="38" t="str">
        <f t="shared" si="61"/>
        <v>0</v>
      </c>
      <c r="R41" s="39" t="str">
        <f t="shared" si="62"/>
        <v>2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83" t="s">
        <v>118</v>
      </c>
      <c r="AD41" s="83" t="s">
        <v>119</v>
      </c>
      <c r="AE41" s="83" t="s">
        <v>120</v>
      </c>
      <c r="AF41" s="83" t="str">
        <f t="shared" ref="AF41:AH41" si="65">IF(ISNUMBER(FIND("C", AC41, 1)), SUBSTITUTE(AC41, "C", "E"), SUBSTITUTE(AC41, "E", "C"))</f>
        <v>C38</v>
      </c>
      <c r="AG41" s="83" t="str">
        <f t="shared" si="65"/>
        <v>E40</v>
      </c>
      <c r="AH41" s="83" t="str">
        <f t="shared" si="65"/>
        <v>E41</v>
      </c>
    </row>
    <row r="42" ht="13.5" customHeight="1">
      <c r="B42" s="40" t="s">
        <v>106</v>
      </c>
      <c r="C42" s="41">
        <v>0.0</v>
      </c>
      <c r="D42" s="38" t="s">
        <v>31</v>
      </c>
      <c r="E42" s="42">
        <v>4.0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83"/>
      <c r="AD42" s="83"/>
      <c r="AE42" s="83"/>
      <c r="AF42" s="83"/>
      <c r="AG42" s="83"/>
      <c r="AH42" s="83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83"/>
      <c r="AD43" s="83"/>
      <c r="AE43" s="83"/>
      <c r="AF43" s="83"/>
      <c r="AG43" s="83"/>
      <c r="AH43" s="83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83"/>
      <c r="AD44" s="83"/>
      <c r="AE44" s="83"/>
      <c r="AF44" s="83"/>
      <c r="AG44" s="83"/>
      <c r="AH44" s="83"/>
    </row>
    <row r="45" ht="13.5" customHeight="1">
      <c r="B45" s="21" t="s">
        <v>122</v>
      </c>
      <c r="C45" s="22">
        <v>2.0</v>
      </c>
      <c r="D45" s="19" t="s">
        <v>31</v>
      </c>
      <c r="E45" s="23">
        <v>1.0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83"/>
      <c r="AD45" s="83"/>
      <c r="AE45" s="83"/>
      <c r="AF45" s="83"/>
      <c r="AG45" s="83"/>
      <c r="AH45" s="83"/>
    </row>
    <row r="46" ht="13.5" customHeight="1">
      <c r="B46" s="21" t="s">
        <v>124</v>
      </c>
      <c r="C46" s="22">
        <v>1.0</v>
      </c>
      <c r="D46" s="19" t="s">
        <v>31</v>
      </c>
      <c r="E46" s="23">
        <v>1.0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9</v>
      </c>
      <c r="M46" s="19" t="str">
        <f t="shared" ref="M46:M49" si="70">N46-O46</f>
        <v>5</v>
      </c>
      <c r="N46" s="19" t="str">
        <f t="shared" ref="N46:N49" si="71">SUM(INDIRECT($AC46),INDIRECT($AD46),INDIRECT($AE46))</f>
        <v>8</v>
      </c>
      <c r="O46" s="19" t="str">
        <f t="shared" ref="O46:O49" si="72">SUM(INDIRECT($AF46),INDIRECT($AG46),INDIRECT($AH46))</f>
        <v>3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3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0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0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83" t="s">
        <v>126</v>
      </c>
      <c r="AD46" s="83" t="s">
        <v>127</v>
      </c>
      <c r="AE46" s="83" t="s">
        <v>128</v>
      </c>
      <c r="AF46" s="83" t="str">
        <f t="shared" ref="AF46:AH46" si="68">IF(ISNUMBER(FIND("C", AC46, 1)), SUBSTITUTE(AC46, "C", "E"), SUBSTITUTE(AC46, "E", "C"))</f>
        <v>E45</v>
      </c>
      <c r="AG46" s="83" t="str">
        <f t="shared" si="68"/>
        <v>E47</v>
      </c>
      <c r="AH46" s="83" t="str">
        <f t="shared" si="68"/>
        <v>C49</v>
      </c>
    </row>
    <row r="47" ht="12.75" customHeight="1">
      <c r="B47" s="21" t="s">
        <v>122</v>
      </c>
      <c r="C47" s="22">
        <v>3.0</v>
      </c>
      <c r="D47" s="19" t="s">
        <v>31</v>
      </c>
      <c r="E47" s="23">
        <v>1.0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4</v>
      </c>
      <c r="M47" s="19" t="str">
        <f t="shared" si="70"/>
        <v>0</v>
      </c>
      <c r="N47" s="19" t="str">
        <f t="shared" si="71"/>
        <v>4</v>
      </c>
      <c r="O47" s="19" t="str">
        <f t="shared" si="72"/>
        <v>4</v>
      </c>
      <c r="P47" s="19" t="str">
        <f t="shared" si="73"/>
        <v>1</v>
      </c>
      <c r="Q47" s="19" t="str">
        <f t="shared" si="74"/>
        <v>1</v>
      </c>
      <c r="R47" s="36" t="str">
        <f t="shared" si="75"/>
        <v>1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83" t="s">
        <v>129</v>
      </c>
      <c r="AD47" s="83" t="s">
        <v>130</v>
      </c>
      <c r="AE47" s="83" t="s">
        <v>131</v>
      </c>
      <c r="AF47" s="83" t="str">
        <f t="shared" ref="AF47:AH47" si="76">IF(ISNUMBER(FIND("C", AC47, 1)), SUBSTITUTE(AC47, "C", "E"), SUBSTITUTE(AC47, "E", "C"))</f>
        <v>C45</v>
      </c>
      <c r="AG47" s="83" t="str">
        <f t="shared" si="76"/>
        <v>C48</v>
      </c>
      <c r="AH47" s="83" t="str">
        <f t="shared" si="76"/>
        <v>E50</v>
      </c>
    </row>
    <row r="48" ht="12.75" customHeight="1">
      <c r="B48" s="21" t="s">
        <v>125</v>
      </c>
      <c r="C48" s="22">
        <v>1.0</v>
      </c>
      <c r="D48" s="19" t="s">
        <v>31</v>
      </c>
      <c r="E48" s="23">
        <v>1.0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1</v>
      </c>
      <c r="M48" s="19" t="str">
        <f t="shared" si="70"/>
        <v>-3</v>
      </c>
      <c r="N48" s="19" t="str">
        <f t="shared" si="71"/>
        <v>3</v>
      </c>
      <c r="O48" s="19" t="str">
        <f t="shared" si="72"/>
        <v>6</v>
      </c>
      <c r="P48" s="19" t="str">
        <f t="shared" si="73"/>
        <v>0</v>
      </c>
      <c r="Q48" s="19" t="str">
        <f t="shared" si="74"/>
        <v>1</v>
      </c>
      <c r="R48" s="36" t="str">
        <f t="shared" si="75"/>
        <v>2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83" t="s">
        <v>132</v>
      </c>
      <c r="AD48" s="83" t="s">
        <v>133</v>
      </c>
      <c r="AE48" s="83" t="s">
        <v>134</v>
      </c>
      <c r="AF48" s="83" t="str">
        <f t="shared" ref="AF48:AH48" si="77">IF(ISNUMBER(FIND("C", AC48, 1)), SUBSTITUTE(AC48, "C", "E"), SUBSTITUTE(AC48, "E", "C"))</f>
        <v>E46</v>
      </c>
      <c r="AG48" s="83" t="str">
        <f t="shared" si="77"/>
        <v>C47</v>
      </c>
      <c r="AH48" s="83" t="str">
        <f t="shared" si="77"/>
        <v>C50</v>
      </c>
    </row>
    <row r="49" ht="12.75" customHeight="1">
      <c r="B49" s="21" t="s">
        <v>125</v>
      </c>
      <c r="C49" s="22">
        <v>1.0</v>
      </c>
      <c r="D49" s="19" t="s">
        <v>31</v>
      </c>
      <c r="E49" s="23">
        <v>3.0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2</v>
      </c>
      <c r="M49" s="38" t="str">
        <f t="shared" si="70"/>
        <v>-2</v>
      </c>
      <c r="N49" s="38" t="str">
        <f t="shared" si="71"/>
        <v>3</v>
      </c>
      <c r="O49" s="38" t="str">
        <f t="shared" si="72"/>
        <v>5</v>
      </c>
      <c r="P49" s="38" t="str">
        <f t="shared" si="73"/>
        <v>0</v>
      </c>
      <c r="Q49" s="38" t="str">
        <f t="shared" si="74"/>
        <v>2</v>
      </c>
      <c r="R49" s="39" t="str">
        <f t="shared" si="75"/>
        <v>1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83" t="s">
        <v>135</v>
      </c>
      <c r="AD49" s="83" t="s">
        <v>136</v>
      </c>
      <c r="AE49" s="83" t="s">
        <v>137</v>
      </c>
      <c r="AF49" s="83" t="str">
        <f t="shared" ref="AF49:AH49" si="78">IF(ISNUMBER(FIND("C", AC49, 1)), SUBSTITUTE(AC49, "C", "E"), SUBSTITUTE(AC49, "E", "C"))</f>
        <v>C46</v>
      </c>
      <c r="AG49" s="83" t="str">
        <f t="shared" si="78"/>
        <v>E48</v>
      </c>
      <c r="AH49" s="83" t="str">
        <f t="shared" si="78"/>
        <v>E49</v>
      </c>
    </row>
    <row r="50" ht="13.5" customHeight="1">
      <c r="B50" s="40" t="s">
        <v>123</v>
      </c>
      <c r="C50" s="41">
        <v>2.0</v>
      </c>
      <c r="D50" s="38" t="s">
        <v>31</v>
      </c>
      <c r="E50" s="42">
        <v>1.0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83"/>
      <c r="AD50" s="83"/>
      <c r="AE50" s="83"/>
      <c r="AF50" s="83"/>
      <c r="AG50" s="83"/>
      <c r="AH50" s="83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83"/>
      <c r="AD51" s="83"/>
      <c r="AE51" s="83"/>
      <c r="AF51" s="83"/>
      <c r="AG51" s="83"/>
      <c r="AH51" s="83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83"/>
      <c r="AD52" s="83"/>
      <c r="AE52" s="83"/>
      <c r="AF52" s="83"/>
      <c r="AG52" s="83"/>
      <c r="AH52" s="83"/>
    </row>
    <row r="53" ht="13.5" customHeight="1">
      <c r="B53" s="21" t="s">
        <v>139</v>
      </c>
      <c r="C53" s="22">
        <v>2.0</v>
      </c>
      <c r="D53" s="19" t="s">
        <v>31</v>
      </c>
      <c r="E53" s="23">
        <v>2.0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2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2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83"/>
      <c r="AD53" s="83"/>
      <c r="AE53" s="83"/>
      <c r="AF53" s="83"/>
      <c r="AG53" s="83"/>
      <c r="AH53" s="83"/>
    </row>
    <row r="54" ht="13.5" customHeight="1">
      <c r="B54" s="21" t="s">
        <v>141</v>
      </c>
      <c r="C54" s="22">
        <v>2.0</v>
      </c>
      <c r="D54" s="19" t="s">
        <v>31</v>
      </c>
      <c r="E54" s="23">
        <v>1.0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7</v>
      </c>
      <c r="M54" s="19" t="str">
        <f t="shared" ref="M54:M57" si="83">N54-O54</f>
        <v>7</v>
      </c>
      <c r="N54" s="19" t="str">
        <f t="shared" ref="N54:N57" si="84">SUM(INDIRECT($AC54),INDIRECT($AD54),INDIRECT($AE54))</f>
        <v>9</v>
      </c>
      <c r="O54" s="19" t="str">
        <f t="shared" ref="O54:O57" si="85">SUM(INDIRECT($AF54),INDIRECT($AG54),INDIRECT($AH54))</f>
        <v>2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2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1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83" t="s">
        <v>143</v>
      </c>
      <c r="AD54" s="83" t="s">
        <v>144</v>
      </c>
      <c r="AE54" s="83" t="s">
        <v>145</v>
      </c>
      <c r="AF54" s="83" t="str">
        <f t="shared" ref="AF54:AH54" si="81">IF(ISNUMBER(FIND("C", AC54, 1)), SUBSTITUTE(AC54, "C", "E"), SUBSTITUTE(AC54, "E", "C"))</f>
        <v>E53</v>
      </c>
      <c r="AG54" s="83" t="str">
        <f t="shared" si="81"/>
        <v>E55</v>
      </c>
      <c r="AH54" s="83" t="str">
        <f t="shared" si="81"/>
        <v>C58</v>
      </c>
    </row>
    <row r="55" ht="12.75" customHeight="1">
      <c r="B55" s="21" t="s">
        <v>139</v>
      </c>
      <c r="C55" s="22">
        <v>3.0</v>
      </c>
      <c r="D55" s="19" t="s">
        <v>31</v>
      </c>
      <c r="E55" s="23">
        <v>0.0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7</v>
      </c>
      <c r="M55" s="19" t="str">
        <f t="shared" si="83"/>
        <v>7</v>
      </c>
      <c r="N55" s="19" t="str">
        <f t="shared" si="84"/>
        <v>9</v>
      </c>
      <c r="O55" s="19" t="str">
        <f t="shared" si="85"/>
        <v>2</v>
      </c>
      <c r="P55" s="19" t="str">
        <f t="shared" si="86"/>
        <v>2</v>
      </c>
      <c r="Q55" s="19" t="str">
        <f t="shared" si="87"/>
        <v>1</v>
      </c>
      <c r="R55" s="36" t="str">
        <f t="shared" si="88"/>
        <v>0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83" t="s">
        <v>146</v>
      </c>
      <c r="AD55" s="83" t="s">
        <v>147</v>
      </c>
      <c r="AE55" s="83" t="s">
        <v>148</v>
      </c>
      <c r="AF55" s="83" t="str">
        <f t="shared" ref="AF55:AH55" si="89">IF(ISNUMBER(FIND("C", AC55, 1)), SUBSTITUTE(AC55, "C", "E"), SUBSTITUTE(AC55, "E", "C"))</f>
        <v>C53</v>
      </c>
      <c r="AG55" s="83" t="str">
        <f t="shared" si="89"/>
        <v>C56</v>
      </c>
      <c r="AH55" s="83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4.0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3</v>
      </c>
      <c r="M56" s="19" t="str">
        <f t="shared" si="83"/>
        <v>-5</v>
      </c>
      <c r="N56" s="19" t="str">
        <f t="shared" si="84"/>
        <v>2</v>
      </c>
      <c r="O56" s="19" t="str">
        <f t="shared" si="85"/>
        <v>7</v>
      </c>
      <c r="P56" s="19" t="str">
        <f t="shared" si="86"/>
        <v>1</v>
      </c>
      <c r="Q56" s="19" t="str">
        <f t="shared" si="87"/>
        <v>0</v>
      </c>
      <c r="R56" s="36" t="str">
        <f t="shared" si="88"/>
        <v>2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83" t="s">
        <v>149</v>
      </c>
      <c r="AD56" s="83" t="s">
        <v>150</v>
      </c>
      <c r="AE56" s="83" t="s">
        <v>151</v>
      </c>
      <c r="AF56" s="83" t="str">
        <f t="shared" ref="AF56:AH56" si="90">IF(ISNUMBER(FIND("C", AC56, 1)), SUBSTITUTE(AC56, "C", "E"), SUBSTITUTE(AC56, "E", "C"))</f>
        <v>E54</v>
      </c>
      <c r="AG56" s="83" t="str">
        <f t="shared" si="90"/>
        <v>C55</v>
      </c>
      <c r="AH56" s="83" t="str">
        <f t="shared" si="90"/>
        <v>C57</v>
      </c>
    </row>
    <row r="57" ht="12.75" customHeight="1">
      <c r="B57" s="21" t="s">
        <v>140</v>
      </c>
      <c r="C57" s="22">
        <v>3.0</v>
      </c>
      <c r="D57" s="19" t="s">
        <v>31</v>
      </c>
      <c r="E57" s="23">
        <v>0.0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0</v>
      </c>
      <c r="M57" s="38" t="str">
        <f t="shared" si="83"/>
        <v>-9</v>
      </c>
      <c r="N57" s="38" t="str">
        <f t="shared" si="84"/>
        <v>1</v>
      </c>
      <c r="O57" s="38" t="str">
        <f t="shared" si="85"/>
        <v>10</v>
      </c>
      <c r="P57" s="38" t="str">
        <f t="shared" si="86"/>
        <v>0</v>
      </c>
      <c r="Q57" s="38" t="str">
        <f t="shared" si="87"/>
        <v>0</v>
      </c>
      <c r="R57" s="39" t="str">
        <f t="shared" si="88"/>
        <v>3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83" t="s">
        <v>152</v>
      </c>
      <c r="AD57" s="83" t="s">
        <v>153</v>
      </c>
      <c r="AE57" s="83" t="s">
        <v>154</v>
      </c>
      <c r="AF57" s="83" t="str">
        <f t="shared" ref="AF57:AH57" si="91">IF(ISNUMBER(FIND("C", AC57, 1)), SUBSTITUTE(AC57, "C", "E"), SUBSTITUTE(AC57, "E", "C"))</f>
        <v>C54</v>
      </c>
      <c r="AG57" s="83" t="str">
        <f t="shared" si="91"/>
        <v>E56</v>
      </c>
      <c r="AH57" s="83" t="str">
        <f t="shared" si="91"/>
        <v>E58</v>
      </c>
    </row>
    <row r="58" ht="13.5" customHeight="1">
      <c r="B58" s="40" t="s">
        <v>142</v>
      </c>
      <c r="C58" s="41">
        <v>0.0</v>
      </c>
      <c r="D58" s="38" t="s">
        <v>31</v>
      </c>
      <c r="E58" s="42">
        <v>4.0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83"/>
      <c r="AD58" s="83"/>
      <c r="AE58" s="83"/>
      <c r="AF58" s="83"/>
      <c r="AG58" s="83"/>
      <c r="AH58" s="83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83"/>
      <c r="AD59" s="83"/>
      <c r="AE59" s="83"/>
      <c r="AF59" s="83"/>
      <c r="AG59" s="83"/>
      <c r="AH59" s="83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83"/>
      <c r="AD60" s="83"/>
      <c r="AE60" s="83"/>
      <c r="AF60" s="83"/>
      <c r="AG60" s="83"/>
      <c r="AH60" s="83"/>
    </row>
    <row r="61" ht="13.5" customHeight="1">
      <c r="B61" s="21" t="s">
        <v>156</v>
      </c>
      <c r="C61" s="22">
        <v>5.0</v>
      </c>
      <c r="D61" s="19" t="s">
        <v>31</v>
      </c>
      <c r="E61" s="23">
        <v>0.0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83"/>
      <c r="AD61" s="83"/>
      <c r="AE61" s="83"/>
      <c r="AF61" s="83"/>
      <c r="AG61" s="83"/>
      <c r="AH61" s="83"/>
    </row>
    <row r="62" ht="13.5" customHeight="1">
      <c r="B62" s="21" t="s">
        <v>158</v>
      </c>
      <c r="C62" s="22">
        <v>1.0</v>
      </c>
      <c r="D62" s="19" t="s">
        <v>31</v>
      </c>
      <c r="E62" s="23">
        <v>3.0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3</v>
      </c>
      <c r="M62" s="19" t="str">
        <f t="shared" ref="M62:M65" si="96">N62-O62</f>
        <v>-1</v>
      </c>
      <c r="N62" s="19" t="str">
        <f t="shared" ref="N62:N65" si="97">SUM(INDIRECT($AC62),INDIRECT($AD62),INDIRECT($AE62))</f>
        <v>5</v>
      </c>
      <c r="O62" s="19" t="str">
        <f t="shared" ref="O62:O65" si="98">SUM(INDIRECT($AF62),INDIRECT($AG62),INDIRECT($AH62))</f>
        <v>6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83" t="s">
        <v>160</v>
      </c>
      <c r="AD62" s="83" t="s">
        <v>161</v>
      </c>
      <c r="AE62" s="83" t="s">
        <v>162</v>
      </c>
      <c r="AF62" s="83" t="str">
        <f t="shared" ref="AF62:AH62" si="94">IF(ISNUMBER(FIND("C", AC62, 1)), SUBSTITUTE(AC62, "C", "E"), SUBSTITUTE(AC62, "E", "C"))</f>
        <v>E62</v>
      </c>
      <c r="AG62" s="83" t="str">
        <f t="shared" si="94"/>
        <v>C63</v>
      </c>
      <c r="AH62" s="83" t="str">
        <f t="shared" si="94"/>
        <v>C65</v>
      </c>
    </row>
    <row r="63" ht="12.75" customHeight="1">
      <c r="B63" s="21" t="s">
        <v>156</v>
      </c>
      <c r="C63" s="22">
        <v>3.0</v>
      </c>
      <c r="D63" s="19" t="s">
        <v>31</v>
      </c>
      <c r="E63" s="23">
        <v>1.0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-12</v>
      </c>
      <c r="N63" s="19" t="str">
        <f t="shared" si="97"/>
        <v>0</v>
      </c>
      <c r="O63" s="19" t="str">
        <f t="shared" si="98"/>
        <v>12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3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83" t="s">
        <v>163</v>
      </c>
      <c r="AD63" s="83" t="s">
        <v>164</v>
      </c>
      <c r="AE63" s="83" t="s">
        <v>165</v>
      </c>
      <c r="AF63" s="83" t="str">
        <f t="shared" ref="AF63:AH63" si="102">IF(ISNUMBER(FIND("C", AC63, 1)), SUBSTITUTE(AC63, "C", "E"), SUBSTITUTE(AC63, "E", "C"))</f>
        <v>C61</v>
      </c>
      <c r="AG63" s="83" t="str">
        <f t="shared" si="102"/>
        <v>C64</v>
      </c>
      <c r="AH63" s="83" t="str">
        <f t="shared" si="102"/>
        <v>E65</v>
      </c>
    </row>
    <row r="64" ht="12.75" customHeight="1">
      <c r="B64" s="21" t="s">
        <v>159</v>
      </c>
      <c r="C64" s="22">
        <v>4.0</v>
      </c>
      <c r="D64" s="19" t="s">
        <v>31</v>
      </c>
      <c r="E64" s="23">
        <v>0.0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9</v>
      </c>
      <c r="N64" s="19" t="str">
        <f t="shared" si="97"/>
        <v>11</v>
      </c>
      <c r="O64" s="19" t="str">
        <f t="shared" si="98"/>
        <v>2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83" t="s">
        <v>166</v>
      </c>
      <c r="AD64" s="83" t="s">
        <v>167</v>
      </c>
      <c r="AE64" s="83" t="s">
        <v>168</v>
      </c>
      <c r="AF64" s="83" t="str">
        <f t="shared" ref="AF64:AH64" si="103">IF(ISNUMBER(FIND("C", AC64, 1)), SUBSTITUTE(AC64, "C", "E"), SUBSTITUTE(AC64, "E", "C"))</f>
        <v>E61</v>
      </c>
      <c r="AG64" s="83" t="str">
        <f t="shared" si="103"/>
        <v>E63</v>
      </c>
      <c r="AH64" s="83" t="str">
        <f t="shared" si="103"/>
        <v>C66</v>
      </c>
    </row>
    <row r="65" ht="12.75" customHeight="1">
      <c r="B65" s="21" t="s">
        <v>157</v>
      </c>
      <c r="C65" s="22">
        <v>0.0</v>
      </c>
      <c r="D65" s="19" t="s">
        <v>31</v>
      </c>
      <c r="E65" s="23">
        <v>3.0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4</v>
      </c>
      <c r="N65" s="38" t="str">
        <f t="shared" si="97"/>
        <v>8</v>
      </c>
      <c r="O65" s="38" t="str">
        <f t="shared" si="98"/>
        <v>4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83" t="s">
        <v>169</v>
      </c>
      <c r="AD65" s="83" t="s">
        <v>170</v>
      </c>
      <c r="AE65" s="83" t="s">
        <v>171</v>
      </c>
      <c r="AF65" s="83" t="str">
        <f t="shared" ref="AF65:AH65" si="104">IF(ISNUMBER(FIND("C", AC65, 1)), SUBSTITUTE(AC65, "C", "E"), SUBSTITUTE(AC65, "E", "C"))</f>
        <v>C62</v>
      </c>
      <c r="AG65" s="83" t="str">
        <f t="shared" si="104"/>
        <v>E64</v>
      </c>
      <c r="AH65" s="83" t="str">
        <f t="shared" si="104"/>
        <v>E66</v>
      </c>
    </row>
    <row r="66" ht="13.5" customHeight="1">
      <c r="B66" s="40" t="s">
        <v>159</v>
      </c>
      <c r="C66" s="41">
        <v>1.0</v>
      </c>
      <c r="D66" s="38" t="s">
        <v>31</v>
      </c>
      <c r="E66" s="42">
        <v>3.0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83"/>
      <c r="AD66" s="83"/>
      <c r="AE66" s="83"/>
      <c r="AF66" s="83"/>
      <c r="AG66" s="83"/>
      <c r="AH66" s="83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83"/>
      <c r="AD67" s="83"/>
      <c r="AE67" s="83"/>
      <c r="AF67" s="83"/>
      <c r="AG67" s="83"/>
      <c r="AH67" s="83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83"/>
      <c r="AD68" s="83"/>
      <c r="AE68" s="83"/>
      <c r="AF68" s="83"/>
      <c r="AG68" s="83"/>
      <c r="AH68" s="83"/>
    </row>
    <row r="69" ht="12.75" customHeight="1">
      <c r="B69" s="21" t="s">
        <v>173</v>
      </c>
      <c r="C69" s="22">
        <v>2.0</v>
      </c>
      <c r="D69" s="19" t="s">
        <v>31</v>
      </c>
      <c r="E69" s="23">
        <v>1.0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83"/>
      <c r="AD69" s="83"/>
      <c r="AE69" s="83"/>
      <c r="AF69" s="83"/>
      <c r="AG69" s="83"/>
      <c r="AH69" s="83"/>
    </row>
    <row r="70" ht="12.75" customHeight="1">
      <c r="B70" s="21" t="s">
        <v>175</v>
      </c>
      <c r="C70" s="22">
        <v>2.0</v>
      </c>
      <c r="D70" s="19" t="s">
        <v>31</v>
      </c>
      <c r="E70" s="23">
        <v>1.0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6</v>
      </c>
      <c r="N70" s="19" t="str">
        <f t="shared" ref="N70:N73" si="110">SUM(INDIRECT($AC70),INDIRECT($AD70),INDIRECT($AE70))</f>
        <v>8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0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0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83" t="s">
        <v>177</v>
      </c>
      <c r="AD70" s="83" t="s">
        <v>178</v>
      </c>
      <c r="AE70" s="83" t="s">
        <v>179</v>
      </c>
      <c r="AF70" s="83" t="str">
        <f t="shared" ref="AF70:AH70" si="107">IF(ISNUMBER(FIND("C", AC70, 1)), SUBSTITUTE(AC70, "C", "E"), SUBSTITUTE(AC70, "E", "C"))</f>
        <v>E69</v>
      </c>
      <c r="AG70" s="83" t="str">
        <f t="shared" si="107"/>
        <v>E71</v>
      </c>
      <c r="AH70" s="83" t="str">
        <f t="shared" si="107"/>
        <v>C74</v>
      </c>
    </row>
    <row r="71" ht="12.75" customHeight="1">
      <c r="B71" s="21" t="s">
        <v>173</v>
      </c>
      <c r="C71" s="22">
        <v>3.0</v>
      </c>
      <c r="D71" s="19" t="s">
        <v>31</v>
      </c>
      <c r="E71" s="23">
        <v>0.0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3</v>
      </c>
      <c r="M71" s="19" t="str">
        <f t="shared" si="109"/>
        <v>-4</v>
      </c>
      <c r="N71" s="19" t="str">
        <f t="shared" si="110"/>
        <v>2</v>
      </c>
      <c r="O71" s="19" t="str">
        <f t="shared" si="111"/>
        <v>6</v>
      </c>
      <c r="P71" s="19" t="str">
        <f t="shared" si="112"/>
        <v>1</v>
      </c>
      <c r="Q71" s="19" t="str">
        <f t="shared" si="113"/>
        <v>0</v>
      </c>
      <c r="R71" s="36" t="str">
        <f t="shared" si="114"/>
        <v>2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83" t="s">
        <v>180</v>
      </c>
      <c r="AD71" s="83" t="s">
        <v>181</v>
      </c>
      <c r="AE71" s="83" t="s">
        <v>182</v>
      </c>
      <c r="AF71" s="83" t="str">
        <f t="shared" ref="AF71:AH71" si="115">IF(ISNUMBER(FIND("C", AC71, 1)), SUBSTITUTE(AC71, "C", "E"), SUBSTITUTE(AC71, "E", "C"))</f>
        <v>E70</v>
      </c>
      <c r="AG71" s="83" t="str">
        <f t="shared" si="115"/>
        <v>C71</v>
      </c>
      <c r="AH71" s="83" t="str">
        <f t="shared" si="115"/>
        <v>C73</v>
      </c>
    </row>
    <row r="72" ht="12.75" customHeight="1">
      <c r="B72" s="21" t="s">
        <v>176</v>
      </c>
      <c r="C72" s="22">
        <v>0.0</v>
      </c>
      <c r="D72" s="19" t="s">
        <v>31</v>
      </c>
      <c r="E72" s="23">
        <v>3.0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0</v>
      </c>
      <c r="M72" s="19" t="str">
        <f t="shared" si="109"/>
        <v>-6</v>
      </c>
      <c r="N72" s="19" t="str">
        <f t="shared" si="110"/>
        <v>2</v>
      </c>
      <c r="O72" s="19" t="str">
        <f t="shared" si="111"/>
        <v>8</v>
      </c>
      <c r="P72" s="19" t="str">
        <f t="shared" si="112"/>
        <v>0</v>
      </c>
      <c r="Q72" s="19" t="str">
        <f t="shared" si="113"/>
        <v>0</v>
      </c>
      <c r="R72" s="36" t="str">
        <f t="shared" si="114"/>
        <v>3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83" t="s">
        <v>183</v>
      </c>
      <c r="AD72" s="83" t="s">
        <v>184</v>
      </c>
      <c r="AE72" s="83" t="s">
        <v>185</v>
      </c>
      <c r="AF72" s="83" t="str">
        <f t="shared" ref="AF72:AH72" si="116">IF(ISNUMBER(FIND("C", AC72, 1)), SUBSTITUTE(AC72, "C", "E"), SUBSTITUTE(AC72, "E", "C"))</f>
        <v>C70</v>
      </c>
      <c r="AG72" s="83" t="str">
        <f t="shared" si="116"/>
        <v>E72</v>
      </c>
      <c r="AH72" s="83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6</v>
      </c>
      <c r="M73" s="38" t="str">
        <f t="shared" si="109"/>
        <v>4</v>
      </c>
      <c r="N73" s="38" t="str">
        <f t="shared" si="110"/>
        <v>6</v>
      </c>
      <c r="O73" s="38" t="str">
        <f t="shared" si="111"/>
        <v>2</v>
      </c>
      <c r="P73" s="38" t="str">
        <f t="shared" si="112"/>
        <v>2</v>
      </c>
      <c r="Q73" s="38" t="str">
        <f t="shared" si="113"/>
        <v>0</v>
      </c>
      <c r="R73" s="39" t="str">
        <f t="shared" si="114"/>
        <v>1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83" t="s">
        <v>186</v>
      </c>
      <c r="AD73" s="83" t="s">
        <v>187</v>
      </c>
      <c r="AE73" s="83" t="s">
        <v>188</v>
      </c>
      <c r="AF73" s="83" t="str">
        <f t="shared" ref="AF73:AH73" si="117">IF(ISNUMBER(FIND("C", AC73, 1)), SUBSTITUTE(AC73, "C", "E"), SUBSTITUTE(AC73, "E", "C"))</f>
        <v>C69</v>
      </c>
      <c r="AG73" s="83" t="str">
        <f t="shared" si="117"/>
        <v>C72</v>
      </c>
      <c r="AH73" s="83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3.0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83"/>
      <c r="AD74" s="83"/>
      <c r="AE74" s="83"/>
      <c r="AF74" s="83"/>
      <c r="AG74" s="83"/>
      <c r="AH74" s="83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83"/>
      <c r="AD75" s="83"/>
      <c r="AE75" s="83"/>
      <c r="AF75" s="83"/>
      <c r="AG75" s="83"/>
      <c r="AH75" s="83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83"/>
      <c r="AD76" s="83"/>
      <c r="AE76" s="83"/>
      <c r="AF76" s="83"/>
      <c r="AG76" s="83"/>
      <c r="AH76" s="83"/>
    </row>
    <row r="77" ht="12.75" customHeight="1">
      <c r="B77" s="21" t="s">
        <v>190</v>
      </c>
      <c r="C77" s="22">
        <v>3.0</v>
      </c>
      <c r="D77" s="19" t="s">
        <v>31</v>
      </c>
      <c r="E77" s="23">
        <v>1.0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83"/>
      <c r="AD77" s="83"/>
      <c r="AE77" s="83"/>
      <c r="AF77" s="83"/>
      <c r="AG77" s="83"/>
      <c r="AH77" s="83"/>
    </row>
    <row r="78" ht="12.75" customHeight="1">
      <c r="B78" s="21" t="s">
        <v>192</v>
      </c>
      <c r="C78" s="22">
        <v>1.0</v>
      </c>
      <c r="D78" s="19" t="s">
        <v>31</v>
      </c>
      <c r="E78" s="23">
        <v>2.0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8</v>
      </c>
      <c r="N78" s="19" t="str">
        <f t="shared" ref="N78:N81" si="123">SUM(INDIRECT($AC78),INDIRECT($AD78),INDIRECT($AE78))</f>
        <v>11</v>
      </c>
      <c r="O78" s="19" t="str">
        <f t="shared" ref="O78:O81" si="124">SUM(INDIRECT($AF78),INDIRECT($AG78),INDIRECT($AH78))</f>
        <v>3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0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0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83" t="s">
        <v>194</v>
      </c>
      <c r="AD78" s="83" t="s">
        <v>195</v>
      </c>
      <c r="AE78" s="83" t="s">
        <v>196</v>
      </c>
      <c r="AF78" s="83" t="str">
        <f t="shared" ref="AF78:AH78" si="120">IF(ISNUMBER(FIND("C", AC78, 1)), SUBSTITUTE(AC78, "C", "E"), SUBSTITUTE(AC78, "E", "C"))</f>
        <v>E77</v>
      </c>
      <c r="AG78" s="83" t="str">
        <f t="shared" si="120"/>
        <v>E79</v>
      </c>
      <c r="AH78" s="83" t="str">
        <f t="shared" si="120"/>
        <v>C81</v>
      </c>
    </row>
    <row r="79" ht="12.75" customHeight="1">
      <c r="B79" s="21" t="s">
        <v>190</v>
      </c>
      <c r="C79" s="22">
        <v>3.0</v>
      </c>
      <c r="D79" s="19" t="s">
        <v>31</v>
      </c>
      <c r="E79" s="23">
        <v>1.0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6</v>
      </c>
      <c r="M79" s="19" t="str">
        <f t="shared" si="122"/>
        <v>0</v>
      </c>
      <c r="N79" s="19" t="str">
        <f t="shared" si="123"/>
        <v>3</v>
      </c>
      <c r="O79" s="19" t="str">
        <f t="shared" si="124"/>
        <v>3</v>
      </c>
      <c r="P79" s="19" t="str">
        <f t="shared" si="125"/>
        <v>2</v>
      </c>
      <c r="Q79" s="19" t="str">
        <f t="shared" si="126"/>
        <v>0</v>
      </c>
      <c r="R79" s="36" t="str">
        <f t="shared" si="127"/>
        <v>1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83" t="s">
        <v>197</v>
      </c>
      <c r="AD79" s="83" t="s">
        <v>198</v>
      </c>
      <c r="AE79" s="83" t="s">
        <v>199</v>
      </c>
      <c r="AF79" s="83" t="str">
        <f t="shared" ref="AF79:AH79" si="128">IF(ISNUMBER(FIND("C", AC79, 1)), SUBSTITUTE(AC79, "C", "E"), SUBSTITUTE(AC79, "E", "C"))</f>
        <v>C77</v>
      </c>
      <c r="AG79" s="83" t="str">
        <f t="shared" si="128"/>
        <v>C80</v>
      </c>
      <c r="AH79" s="83" t="str">
        <f t="shared" si="128"/>
        <v>E82</v>
      </c>
    </row>
    <row r="80" ht="12.75" customHeight="1">
      <c r="B80" s="21" t="s">
        <v>193</v>
      </c>
      <c r="C80" s="22">
        <v>0.0</v>
      </c>
      <c r="D80" s="19" t="s">
        <v>31</v>
      </c>
      <c r="E80" s="23">
        <v>1.0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3</v>
      </c>
      <c r="M80" s="19" t="str">
        <f t="shared" si="122"/>
        <v>-4</v>
      </c>
      <c r="N80" s="19" t="str">
        <f t="shared" si="123"/>
        <v>3</v>
      </c>
      <c r="O80" s="19" t="str">
        <f t="shared" si="124"/>
        <v>7</v>
      </c>
      <c r="P80" s="19" t="str">
        <f t="shared" si="125"/>
        <v>1</v>
      </c>
      <c r="Q80" s="19" t="str">
        <f t="shared" si="126"/>
        <v>0</v>
      </c>
      <c r="R80" s="36" t="str">
        <f t="shared" si="127"/>
        <v>2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83" t="s">
        <v>200</v>
      </c>
      <c r="AD80" s="83" t="s">
        <v>201</v>
      </c>
      <c r="AE80" s="83" t="s">
        <v>202</v>
      </c>
      <c r="AF80" s="83" t="str">
        <f t="shared" ref="AF80:AH80" si="129">IF(ISNUMBER(FIND("C", AC80, 1)), SUBSTITUTE(AC80, "C", "E"), SUBSTITUTE(AC80, "E", "C"))</f>
        <v>C78</v>
      </c>
      <c r="AG80" s="83" t="str">
        <f t="shared" si="129"/>
        <v>E80</v>
      </c>
      <c r="AH80" s="83" t="str">
        <f t="shared" si="129"/>
        <v>E81</v>
      </c>
    </row>
    <row r="81" ht="12.75" customHeight="1">
      <c r="B81" s="21" t="s">
        <v>193</v>
      </c>
      <c r="C81" s="22">
        <v>1.0</v>
      </c>
      <c r="D81" s="19" t="s">
        <v>31</v>
      </c>
      <c r="E81" s="23">
        <v>5.0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0</v>
      </c>
      <c r="M81" s="38" t="str">
        <f t="shared" si="122"/>
        <v>-4</v>
      </c>
      <c r="N81" s="38" t="str">
        <f t="shared" si="123"/>
        <v>2</v>
      </c>
      <c r="O81" s="38" t="str">
        <f t="shared" si="124"/>
        <v>6</v>
      </c>
      <c r="P81" s="38" t="str">
        <f t="shared" si="125"/>
        <v>0</v>
      </c>
      <c r="Q81" s="38" t="str">
        <f t="shared" si="126"/>
        <v>0</v>
      </c>
      <c r="R81" s="39" t="str">
        <f t="shared" si="127"/>
        <v>3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83" t="s">
        <v>203</v>
      </c>
      <c r="AD81" s="83" t="s">
        <v>204</v>
      </c>
      <c r="AE81" s="83" t="s">
        <v>205</v>
      </c>
      <c r="AF81" s="83" t="str">
        <f t="shared" ref="AF81:AH81" si="130">IF(ISNUMBER(FIND("C", AC81, 1)), SUBSTITUTE(AC81, "C", "E"), SUBSTITUTE(AC81, "E", "C"))</f>
        <v>E78</v>
      </c>
      <c r="AG81" s="83" t="str">
        <f t="shared" si="130"/>
        <v>C79</v>
      </c>
      <c r="AH81" s="83" t="str">
        <f t="shared" si="130"/>
        <v>C82</v>
      </c>
    </row>
    <row r="82" ht="12.75" customHeight="1">
      <c r="B82" s="40" t="s">
        <v>191</v>
      </c>
      <c r="C82" s="41">
        <v>1.0</v>
      </c>
      <c r="D82" s="38" t="s">
        <v>31</v>
      </c>
      <c r="E82" s="42">
        <v>0.0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83"/>
      <c r="AD82" s="83"/>
      <c r="AE82" s="83"/>
      <c r="AF82" s="83"/>
      <c r="AG82" s="83"/>
      <c r="AH82" s="83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83"/>
      <c r="AD83" s="83"/>
      <c r="AE83" s="83"/>
      <c r="AF83" s="83"/>
      <c r="AG83" s="83"/>
      <c r="AH83" s="83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83"/>
      <c r="AD84" s="83"/>
      <c r="AE84" s="83"/>
      <c r="AF84" s="83"/>
      <c r="AG84" s="83"/>
      <c r="AH84" s="83"/>
    </row>
    <row r="85" ht="12.75" customHeight="1">
      <c r="B85" s="21" t="s">
        <v>207</v>
      </c>
      <c r="C85" s="22">
        <v>3.0</v>
      </c>
      <c r="D85" s="19" t="s">
        <v>31</v>
      </c>
      <c r="E85" s="23">
        <v>1.0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83"/>
      <c r="AD85" s="83"/>
      <c r="AE85" s="83"/>
      <c r="AF85" s="83"/>
      <c r="AG85" s="83"/>
      <c r="AH85" s="83"/>
    </row>
    <row r="86" ht="12.75" customHeight="1">
      <c r="B86" s="21" t="s">
        <v>209</v>
      </c>
      <c r="C86" s="22">
        <v>0.0</v>
      </c>
      <c r="D86" s="19" t="s">
        <v>31</v>
      </c>
      <c r="E86" s="23">
        <v>3.0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7</v>
      </c>
      <c r="M86" s="19" t="str">
        <f t="shared" ref="M86:M89" si="135">N86-O86</f>
        <v>5</v>
      </c>
      <c r="N86" s="19" t="str">
        <f t="shared" ref="N86:N89" si="136">SUM(INDIRECT($AC86),INDIRECT($AD86),INDIRECT($AE86))</f>
        <v>7</v>
      </c>
      <c r="O86" s="19" t="str">
        <f t="shared" ref="O86:O89" si="137">SUM(INDIRECT($AF86),INDIRECT($AG86),INDIRECT($AH86))</f>
        <v>2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1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0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83" t="s">
        <v>211</v>
      </c>
      <c r="AD86" s="83" t="s">
        <v>212</v>
      </c>
      <c r="AE86" s="83" t="s">
        <v>213</v>
      </c>
      <c r="AF86" s="83" t="str">
        <f t="shared" ref="AF86:AH86" si="133">IF(ISNUMBER(FIND("C", AC86, 1)), SUBSTITUTE(AC86, "C", "E"), SUBSTITUTE(AC86, "E", "C"))</f>
        <v>C86</v>
      </c>
      <c r="AG86" s="83" t="str">
        <f t="shared" si="133"/>
        <v>E88</v>
      </c>
      <c r="AH86" s="83" t="str">
        <f t="shared" si="133"/>
        <v>E90</v>
      </c>
    </row>
    <row r="87" ht="12.75" customHeight="1">
      <c r="B87" s="21" t="s">
        <v>207</v>
      </c>
      <c r="C87" s="22">
        <v>4.0</v>
      </c>
      <c r="D87" s="19" t="s">
        <v>31</v>
      </c>
      <c r="E87" s="23">
        <v>0.0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7</v>
      </c>
      <c r="M87" s="19" t="str">
        <f t="shared" si="135"/>
        <v>6</v>
      </c>
      <c r="N87" s="19" t="str">
        <f t="shared" si="136"/>
        <v>8</v>
      </c>
      <c r="O87" s="19" t="str">
        <f t="shared" si="137"/>
        <v>2</v>
      </c>
      <c r="P87" s="19" t="str">
        <f t="shared" si="138"/>
        <v>2</v>
      </c>
      <c r="Q87" s="19" t="str">
        <f t="shared" si="139"/>
        <v>1</v>
      </c>
      <c r="R87" s="36" t="str">
        <f t="shared" si="140"/>
        <v>0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83" t="s">
        <v>214</v>
      </c>
      <c r="AD87" s="83" t="s">
        <v>215</v>
      </c>
      <c r="AE87" s="83" t="s">
        <v>216</v>
      </c>
      <c r="AF87" s="83" t="str">
        <f t="shared" ref="AF87:AH87" si="141">IF(ISNUMBER(FIND("C", AC87, 1)), SUBSTITUTE(AC87, "C", "E"), SUBSTITUTE(AC87, "E", "C"))</f>
        <v>E85</v>
      </c>
      <c r="AG87" s="83" t="str">
        <f t="shared" si="141"/>
        <v>E87</v>
      </c>
      <c r="AH87" s="83" t="str">
        <f t="shared" si="141"/>
        <v>C90</v>
      </c>
    </row>
    <row r="88" ht="12.75" customHeight="1">
      <c r="B88" s="21" t="s">
        <v>210</v>
      </c>
      <c r="C88" s="22">
        <v>3.0</v>
      </c>
      <c r="D88" s="19" t="s">
        <v>31</v>
      </c>
      <c r="E88" s="23">
        <v>1.0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-3</v>
      </c>
      <c r="N88" s="19" t="str">
        <f t="shared" si="136"/>
        <v>4</v>
      </c>
      <c r="O88" s="19" t="str">
        <f t="shared" si="137"/>
        <v>7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83" t="s">
        <v>217</v>
      </c>
      <c r="AD88" s="83" t="s">
        <v>218</v>
      </c>
      <c r="AE88" s="83" t="s">
        <v>219</v>
      </c>
      <c r="AF88" s="83" t="str">
        <f t="shared" ref="AF88:AH88" si="142">IF(ISNUMBER(FIND("C", AC88, 1)), SUBSTITUTE(AC88, "C", "E"), SUBSTITUTE(AC88, "E", "C"))</f>
        <v>C85</v>
      </c>
      <c r="AG88" s="83" t="str">
        <f t="shared" si="142"/>
        <v>C88</v>
      </c>
      <c r="AH88" s="83" t="str">
        <f t="shared" si="142"/>
        <v>E89</v>
      </c>
    </row>
    <row r="89" ht="12.75" customHeight="1">
      <c r="B89" s="21" t="s">
        <v>208</v>
      </c>
      <c r="C89" s="22">
        <v>2.0</v>
      </c>
      <c r="D89" s="19" t="s">
        <v>31</v>
      </c>
      <c r="E89" s="23">
        <v>1.0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-8</v>
      </c>
      <c r="N89" s="38" t="str">
        <f t="shared" si="136"/>
        <v>1</v>
      </c>
      <c r="O89" s="38" t="str">
        <f t="shared" si="137"/>
        <v>9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83" t="s">
        <v>220</v>
      </c>
      <c r="AD89" s="83" t="s">
        <v>221</v>
      </c>
      <c r="AE89" s="83" t="s">
        <v>222</v>
      </c>
      <c r="AF89" s="83" t="str">
        <f t="shared" ref="AF89:AH89" si="143">IF(ISNUMBER(FIND("C", AC89, 1)), SUBSTITUTE(AC89, "C", "E"), SUBSTITUTE(AC89, "E", "C"))</f>
        <v>E86</v>
      </c>
      <c r="AG89" s="83" t="str">
        <f t="shared" si="143"/>
        <v>C87</v>
      </c>
      <c r="AH89" s="83" t="str">
        <f t="shared" si="143"/>
        <v>C89</v>
      </c>
    </row>
    <row r="90" ht="12.75" customHeight="1">
      <c r="B90" s="40" t="s">
        <v>210</v>
      </c>
      <c r="C90" s="41">
        <v>1.0</v>
      </c>
      <c r="D90" s="38" t="s">
        <v>31</v>
      </c>
      <c r="E90" s="42">
        <v>1.0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83"/>
      <c r="AD90" s="83"/>
      <c r="AE90" s="83"/>
      <c r="AF90" s="83"/>
      <c r="AG90" s="83"/>
      <c r="AH90" s="83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83"/>
      <c r="AD91" s="83"/>
      <c r="AE91" s="83"/>
      <c r="AF91" s="83"/>
      <c r="AG91" s="83"/>
      <c r="AH91" s="83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83"/>
      <c r="AD92" s="83"/>
      <c r="AE92" s="83"/>
      <c r="AF92" s="83"/>
      <c r="AG92" s="83"/>
      <c r="AH92" s="83"/>
    </row>
    <row r="93" ht="12.75" customHeight="1">
      <c r="B93" s="21" t="s">
        <v>224</v>
      </c>
      <c r="C93" s="22">
        <v>0.0</v>
      </c>
      <c r="D93" s="19" t="s">
        <v>31</v>
      </c>
      <c r="E93" s="23">
        <v>2.0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83"/>
      <c r="AD93" s="83"/>
      <c r="AE93" s="83"/>
      <c r="AF93" s="83"/>
      <c r="AG93" s="83"/>
      <c r="AH93" s="83"/>
    </row>
    <row r="94" ht="12.75" customHeight="1">
      <c r="B94" s="21" t="s">
        <v>226</v>
      </c>
      <c r="C94" s="22">
        <v>2.0</v>
      </c>
      <c r="D94" s="19" t="s">
        <v>31</v>
      </c>
      <c r="E94" s="23">
        <v>0.0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7</v>
      </c>
      <c r="M94" s="19" t="str">
        <f t="shared" ref="M94:M97" si="148">N94-O94</f>
        <v>4</v>
      </c>
      <c r="N94" s="19" t="str">
        <f t="shared" ref="N94:N97" si="149">SUM(INDIRECT($AC94),INDIRECT($AD94),INDIRECT($AE94))</f>
        <v>6</v>
      </c>
      <c r="O94" s="19" t="str">
        <f t="shared" ref="O94:O97" si="150">SUM(INDIRECT($AF94),INDIRECT($AG94),INDIRECT($AH94))</f>
        <v>2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1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83" t="s">
        <v>228</v>
      </c>
      <c r="AD94" s="83" t="s">
        <v>229</v>
      </c>
      <c r="AE94" s="83" t="s">
        <v>230</v>
      </c>
      <c r="AF94" s="83" t="str">
        <f t="shared" ref="AF94:AH94" si="146">IF(ISNUMBER(FIND("C", AC94, 1)), SUBSTITUTE(AC94, "C", "E"), SUBSTITUTE(AC94, "E", "C"))</f>
        <v>C93</v>
      </c>
      <c r="AG94" s="83" t="str">
        <f t="shared" si="146"/>
        <v>C96</v>
      </c>
      <c r="AH94" s="83" t="str">
        <f t="shared" si="146"/>
        <v>E97</v>
      </c>
    </row>
    <row r="95" ht="12.75" customHeight="1">
      <c r="B95" s="21" t="s">
        <v>224</v>
      </c>
      <c r="C95" s="22">
        <v>3.0</v>
      </c>
      <c r="D95" s="19" t="s">
        <v>31</v>
      </c>
      <c r="E95" s="23">
        <v>1.0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4</v>
      </c>
      <c r="M95" s="19" t="str">
        <f t="shared" si="148"/>
        <v>0</v>
      </c>
      <c r="N95" s="19" t="str">
        <f t="shared" si="149"/>
        <v>4</v>
      </c>
      <c r="O95" s="19" t="str">
        <f t="shared" si="150"/>
        <v>4</v>
      </c>
      <c r="P95" s="19" t="str">
        <f t="shared" si="151"/>
        <v>1</v>
      </c>
      <c r="Q95" s="19" t="str">
        <f t="shared" si="152"/>
        <v>1</v>
      </c>
      <c r="R95" s="36" t="str">
        <f t="shared" si="153"/>
        <v>1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83" t="s">
        <v>231</v>
      </c>
      <c r="AD95" s="83" t="s">
        <v>232</v>
      </c>
      <c r="AE95" s="83" t="s">
        <v>233</v>
      </c>
      <c r="AF95" s="83" t="str">
        <f t="shared" ref="AF95:AH95" si="154">IF(ISNUMBER(FIND("C", AC95, 1)), SUBSTITUTE(AC95, "C", "E"), SUBSTITUTE(AC95, "E", "C"))</f>
        <v>E94</v>
      </c>
      <c r="AG95" s="83" t="str">
        <f t="shared" si="154"/>
        <v>C95</v>
      </c>
      <c r="AH95" s="83" t="str">
        <f t="shared" si="154"/>
        <v>C97</v>
      </c>
    </row>
    <row r="96" ht="12.75" customHeight="1">
      <c r="B96" s="21" t="s">
        <v>227</v>
      </c>
      <c r="C96" s="22">
        <v>1.0</v>
      </c>
      <c r="D96" s="19" t="s">
        <v>31</v>
      </c>
      <c r="E96" s="23">
        <v>3.0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6</v>
      </c>
      <c r="M96" s="19" t="str">
        <f t="shared" si="148"/>
        <v>4</v>
      </c>
      <c r="N96" s="19" t="str">
        <f t="shared" si="149"/>
        <v>7</v>
      </c>
      <c r="O96" s="19" t="str">
        <f t="shared" si="150"/>
        <v>3</v>
      </c>
      <c r="P96" s="19" t="str">
        <f t="shared" si="151"/>
        <v>2</v>
      </c>
      <c r="Q96" s="19" t="str">
        <f t="shared" si="152"/>
        <v>0</v>
      </c>
      <c r="R96" s="36" t="str">
        <f t="shared" si="153"/>
        <v>1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83" t="s">
        <v>234</v>
      </c>
      <c r="AD96" s="83" t="s">
        <v>235</v>
      </c>
      <c r="AE96" s="83" t="s">
        <v>236</v>
      </c>
      <c r="AF96" s="83" t="str">
        <f t="shared" ref="AF96:AH96" si="155">IF(ISNUMBER(FIND("C", AC96, 1)), SUBSTITUTE(AC96, "C", "E"), SUBSTITUTE(AC96, "E", "C"))</f>
        <v>E93</v>
      </c>
      <c r="AG96" s="83" t="str">
        <f t="shared" si="155"/>
        <v>E95</v>
      </c>
      <c r="AH96" s="83" t="str">
        <f t="shared" si="155"/>
        <v>C98</v>
      </c>
    </row>
    <row r="97" ht="12.75" customHeight="1">
      <c r="B97" s="21" t="s">
        <v>225</v>
      </c>
      <c r="C97" s="22">
        <v>1.0</v>
      </c>
      <c r="D97" s="19" t="s">
        <v>31</v>
      </c>
      <c r="E97" s="23">
        <v>1.0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-8</v>
      </c>
      <c r="N97" s="38" t="str">
        <f t="shared" si="149"/>
        <v>1</v>
      </c>
      <c r="O97" s="38" t="str">
        <f t="shared" si="150"/>
        <v>9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83" t="s">
        <v>237</v>
      </c>
      <c r="AD97" s="83" t="s">
        <v>238</v>
      </c>
      <c r="AE97" s="83" t="s">
        <v>239</v>
      </c>
      <c r="AF97" s="83" t="str">
        <f t="shared" ref="AF97:AH97" si="156">IF(ISNUMBER(FIND("C", AC97, 1)), SUBSTITUTE(AC97, "C", "E"), SUBSTITUTE(AC97, "E", "C"))</f>
        <v>C94</v>
      </c>
      <c r="AG97" s="83" t="str">
        <f t="shared" si="156"/>
        <v>E96</v>
      </c>
      <c r="AH97" s="83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4.0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83"/>
      <c r="AD98" s="83"/>
      <c r="AE98" s="83"/>
      <c r="AF98" s="83"/>
      <c r="AG98" s="83"/>
      <c r="AH98" s="83"/>
    </row>
    <row r="99" ht="12.75" customHeight="1">
      <c r="Y99" s="83"/>
      <c r="Z99" s="83"/>
      <c r="AA99" s="83"/>
      <c r="AB99" s="83"/>
      <c r="AC99" s="83"/>
      <c r="AD99" s="83"/>
      <c r="AE99" s="83"/>
      <c r="AF99" s="83"/>
      <c r="AG99" s="83"/>
      <c r="AH99" s="83"/>
    </row>
    <row r="100" ht="12.75" customHeight="1"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</row>
    <row r="101" ht="13.5" customHeight="1"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19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6"/>
      <c r="Z1" s="7"/>
      <c r="AA1" s="7"/>
      <c r="AB1" s="7"/>
      <c r="AC1" s="7"/>
      <c r="AD1" s="7"/>
      <c r="AE1" s="7"/>
      <c r="AF1" s="7"/>
      <c r="AG1" s="7"/>
      <c r="AH1" s="7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252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14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2.0</v>
      </c>
      <c r="D5" s="19" t="s">
        <v>31</v>
      </c>
      <c r="E5" s="23">
        <v>0.0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4</v>
      </c>
      <c r="Y5" s="33" t="str">
        <f>IF(AND(ISNUMBER(RESULTADOS!C5),ISNUMBER(RESULTADOS!E5),ISNUMBER(C5),ISNUMBER(E5),C5=RESULTADOS!C5,E5=RESULTADOS!E5),2,0)</f>
        <v>2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2.0</v>
      </c>
      <c r="D6" s="19" t="s">
        <v>31</v>
      </c>
      <c r="E6" s="23">
        <v>1.0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6</v>
      </c>
      <c r="M6" s="19" t="str">
        <f t="shared" ref="M6:M9" si="5">N6-O6</f>
        <v>1</v>
      </c>
      <c r="N6" s="19" t="str">
        <f t="shared" ref="N6:N9" si="6">SUM(INDIRECT($AC6),INDIRECT($AD6),INDIRECT($AE6))</f>
        <v>3</v>
      </c>
      <c r="O6" s="19" t="str">
        <f t="shared" ref="O6:O9" si="7">SUM(INDIRECT($AF6),INDIRECT($AG6),INDIRECT($AH6))</f>
        <v>2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2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0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4</v>
      </c>
      <c r="Y6" s="33" t="str">
        <f>IF(AND(ISNUMBER(RESULTADOS!C6),ISNUMBER(RESULTADOS!E6),ISNUMBER(C6),ISNUMBER(E6),C6=RESULTADOS!C6,E6=RESULTADOS!E6),2,0)</f>
        <v>2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1</v>
      </c>
      <c r="AA6" s="33" t="str">
        <f>IF(AND(ISNUMBER(RESULTADOS!C6),ISNUMBER(RESULTADOS!E6),ISNUMBER(C6),ISNUMBER(E6),AND(Z6=1,OR(C6=RESULTADOS!C6,E6=RESULTADOS!E6))),1,0)</f>
        <v>1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2.0</v>
      </c>
      <c r="D7" s="19" t="s">
        <v>31</v>
      </c>
      <c r="E7" s="23">
        <v>1.0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9</v>
      </c>
      <c r="M7" s="19" t="str">
        <f t="shared" si="5"/>
        <v>5</v>
      </c>
      <c r="N7" s="19" t="str">
        <f t="shared" si="6"/>
        <v>5</v>
      </c>
      <c r="O7" s="19" t="str">
        <f t="shared" si="7"/>
        <v>0</v>
      </c>
      <c r="P7" s="19" t="str">
        <f t="shared" si="8"/>
        <v>3</v>
      </c>
      <c r="Q7" s="19" t="str">
        <f t="shared" si="9"/>
        <v>0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1.0</v>
      </c>
      <c r="D8" s="19" t="s">
        <v>31</v>
      </c>
      <c r="E8" s="23">
        <v>0.0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3</v>
      </c>
      <c r="M8" s="19" t="str">
        <f t="shared" si="5"/>
        <v>-2</v>
      </c>
      <c r="N8" s="19" t="str">
        <f t="shared" si="6"/>
        <v>3</v>
      </c>
      <c r="O8" s="19" t="str">
        <f t="shared" si="7"/>
        <v>5</v>
      </c>
      <c r="P8" s="19" t="str">
        <f t="shared" si="8"/>
        <v>1</v>
      </c>
      <c r="Q8" s="19" t="str">
        <f t="shared" si="9"/>
        <v>0</v>
      </c>
      <c r="R8" s="36" t="str">
        <f t="shared" si="10"/>
        <v>2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0.0</v>
      </c>
      <c r="D9" s="19" t="s">
        <v>31</v>
      </c>
      <c r="E9" s="23">
        <v>1.0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0</v>
      </c>
      <c r="M9" s="38" t="str">
        <f t="shared" si="5"/>
        <v>-4</v>
      </c>
      <c r="N9" s="38" t="str">
        <f t="shared" si="6"/>
        <v>1</v>
      </c>
      <c r="O9" s="38" t="str">
        <f t="shared" si="7"/>
        <v>5</v>
      </c>
      <c r="P9" s="38" t="str">
        <f t="shared" si="8"/>
        <v>0</v>
      </c>
      <c r="Q9" s="38" t="str">
        <f t="shared" si="9"/>
        <v>0</v>
      </c>
      <c r="R9" s="39" t="str">
        <f t="shared" si="10"/>
        <v>3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0.0</v>
      </c>
      <c r="D10" s="38" t="s">
        <v>31</v>
      </c>
      <c r="E10" s="42">
        <v>2.0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2.0</v>
      </c>
      <c r="D13" s="19" t="s">
        <v>31</v>
      </c>
      <c r="E13" s="23">
        <v>1.0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0.0</v>
      </c>
      <c r="D14" s="19" t="s">
        <v>31</v>
      </c>
      <c r="E14" s="23">
        <v>2.0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3</v>
      </c>
      <c r="M14" s="19" t="str">
        <f t="shared" ref="M14:M17" si="18">N14-O14</f>
        <v>-1</v>
      </c>
      <c r="N14" s="19" t="str">
        <f t="shared" ref="N14:N17" si="19">SUM(INDIRECT($AC14),INDIRECT($AD14),INDIRECT($AE14))</f>
        <v>2</v>
      </c>
      <c r="O14" s="19" t="str">
        <f t="shared" ref="O14:O17" si="20">SUM(INDIRECT($AF14),INDIRECT($AG14),INDIRECT($AH14))</f>
        <v>3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0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2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1.0</v>
      </c>
      <c r="D15" s="19" t="s">
        <v>31</v>
      </c>
      <c r="E15" s="23">
        <v>0.0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9</v>
      </c>
      <c r="M15" s="19" t="str">
        <f t="shared" si="18"/>
        <v>4</v>
      </c>
      <c r="N15" s="19" t="str">
        <f t="shared" si="19"/>
        <v>5</v>
      </c>
      <c r="O15" s="19" t="str">
        <f t="shared" si="20"/>
        <v>1</v>
      </c>
      <c r="P15" s="19" t="str">
        <f t="shared" si="21"/>
        <v>3</v>
      </c>
      <c r="Q15" s="19" t="str">
        <f t="shared" si="22"/>
        <v>0</v>
      </c>
      <c r="R15" s="36" t="str">
        <f t="shared" si="23"/>
        <v>0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2.0</v>
      </c>
      <c r="D16" s="19" t="s">
        <v>31</v>
      </c>
      <c r="E16" s="23">
        <v>0.0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-5</v>
      </c>
      <c r="N16" s="19" t="str">
        <f t="shared" si="19"/>
        <v>0</v>
      </c>
      <c r="O16" s="19" t="str">
        <f t="shared" si="20"/>
        <v>5</v>
      </c>
      <c r="P16" s="19" t="str">
        <f t="shared" si="21"/>
        <v>0</v>
      </c>
      <c r="Q16" s="19" t="str">
        <f t="shared" si="22"/>
        <v>0</v>
      </c>
      <c r="R16" s="36" t="str">
        <f t="shared" si="23"/>
        <v>3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0.0</v>
      </c>
      <c r="D17" s="19" t="s">
        <v>31</v>
      </c>
      <c r="E17" s="23">
        <v>1.0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6</v>
      </c>
      <c r="M17" s="38" t="str">
        <f t="shared" si="18"/>
        <v>2</v>
      </c>
      <c r="N17" s="38" t="str">
        <f t="shared" si="19"/>
        <v>3</v>
      </c>
      <c r="O17" s="38" t="str">
        <f t="shared" si="20"/>
        <v>1</v>
      </c>
      <c r="P17" s="38" t="str">
        <f t="shared" si="21"/>
        <v>2</v>
      </c>
      <c r="Q17" s="38" t="str">
        <f t="shared" si="22"/>
        <v>0</v>
      </c>
      <c r="R17" s="39" t="str">
        <f t="shared" si="23"/>
        <v>1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1.0</v>
      </c>
      <c r="D18" s="38" t="s">
        <v>31</v>
      </c>
      <c r="E18" s="42">
        <v>0.0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2.0</v>
      </c>
      <c r="D21" s="19" t="s">
        <v>31</v>
      </c>
      <c r="E21" s="23">
        <v>1.0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1.0</v>
      </c>
      <c r="D22" s="19" t="s">
        <v>31</v>
      </c>
      <c r="E22" s="23">
        <v>2.0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6</v>
      </c>
      <c r="N22" s="19" t="str">
        <f t="shared" ref="N22:N25" si="32">SUM(INDIRECT($AC22),INDIRECT($AD22),INDIRECT($AE22))</f>
        <v>7</v>
      </c>
      <c r="O22" s="19" t="str">
        <f t="shared" ref="O22:O25" si="33">SUM(INDIRECT($AF22),INDIRECT($AG22),INDIRECT($AH22))</f>
        <v>1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1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2.0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-2</v>
      </c>
      <c r="N23" s="19" t="str">
        <f t="shared" si="32"/>
        <v>3</v>
      </c>
      <c r="O23" s="19" t="str">
        <f t="shared" si="33"/>
        <v>5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3.0</v>
      </c>
      <c r="D24" s="19" t="s">
        <v>31</v>
      </c>
      <c r="E24" s="23">
        <v>0.0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-6</v>
      </c>
      <c r="N24" s="19" t="str">
        <f t="shared" si="32"/>
        <v>1</v>
      </c>
      <c r="O24" s="19" t="str">
        <f t="shared" si="33"/>
        <v>7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2.0</v>
      </c>
      <c r="D25" s="19" t="s">
        <v>31</v>
      </c>
      <c r="E25" s="23">
        <v>0.0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2</v>
      </c>
      <c r="N25" s="38" t="str">
        <f t="shared" si="32"/>
        <v>5</v>
      </c>
      <c r="O25" s="38" t="str">
        <f t="shared" si="33"/>
        <v>3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0.0</v>
      </c>
      <c r="D26" s="38" t="s">
        <v>31</v>
      </c>
      <c r="E26" s="42">
        <v>2.0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2.0</v>
      </c>
      <c r="D29" s="19" t="s">
        <v>31</v>
      </c>
      <c r="E29" s="23">
        <v>1.0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2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1</v>
      </c>
      <c r="AA29" s="33" t="str">
        <f>IF(AND(ISNUMBER(RESULTADOS!C29),ISNUMBER(RESULTADOS!E29),ISNUMBER(C29),ISNUMBER(E29),AND(Z29=1,OR(C29=RESULTADOS!C29,E29=RESULTADOS!E29))),1,0)</f>
        <v>1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1.0</v>
      </c>
      <c r="D30" s="19" t="s">
        <v>31</v>
      </c>
      <c r="E30" s="23">
        <v>1.0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5</v>
      </c>
      <c r="M30" s="19" t="str">
        <f t="shared" ref="M30:M33" si="44">N30-O30</f>
        <v>1</v>
      </c>
      <c r="N30" s="19" t="str">
        <f t="shared" ref="N30:N33" si="45">SUM(INDIRECT($AC30),INDIRECT($AD30),INDIRECT($AE30))</f>
        <v>3</v>
      </c>
      <c r="O30" s="19" t="str">
        <f t="shared" ref="O30:O33" si="46">SUM(INDIRECT($AF30),INDIRECT($AG30),INDIRECT($AH30))</f>
        <v>2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1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2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0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1.0</v>
      </c>
      <c r="D31" s="19" t="s">
        <v>31</v>
      </c>
      <c r="E31" s="23">
        <v>1.0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4</v>
      </c>
      <c r="M31" s="19" t="str">
        <f t="shared" si="44"/>
        <v>0</v>
      </c>
      <c r="N31" s="19" t="str">
        <f t="shared" si="45"/>
        <v>4</v>
      </c>
      <c r="O31" s="19" t="str">
        <f t="shared" si="46"/>
        <v>4</v>
      </c>
      <c r="P31" s="19" t="str">
        <f t="shared" si="47"/>
        <v>1</v>
      </c>
      <c r="Q31" s="19" t="str">
        <f t="shared" si="48"/>
        <v>1</v>
      </c>
      <c r="R31" s="36" t="str">
        <f t="shared" si="49"/>
        <v>1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2.0</v>
      </c>
      <c r="D32" s="19" t="s">
        <v>31</v>
      </c>
      <c r="E32" s="23">
        <v>0.0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3</v>
      </c>
      <c r="M32" s="19" t="str">
        <f t="shared" si="44"/>
        <v>-2</v>
      </c>
      <c r="N32" s="19" t="str">
        <f t="shared" si="45"/>
        <v>2</v>
      </c>
      <c r="O32" s="19" t="str">
        <f t="shared" si="46"/>
        <v>4</v>
      </c>
      <c r="P32" s="19" t="str">
        <f t="shared" si="47"/>
        <v>1</v>
      </c>
      <c r="Q32" s="19" t="str">
        <f t="shared" si="48"/>
        <v>0</v>
      </c>
      <c r="R32" s="36" t="str">
        <f t="shared" si="49"/>
        <v>2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2.0</v>
      </c>
      <c r="D33" s="19" t="s">
        <v>31</v>
      </c>
      <c r="E33" s="23">
        <v>1.0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7</v>
      </c>
      <c r="M33" s="38" t="str">
        <f t="shared" si="44"/>
        <v>3</v>
      </c>
      <c r="N33" s="38" t="str">
        <f t="shared" si="45"/>
        <v>5</v>
      </c>
      <c r="O33" s="38" t="str">
        <f t="shared" si="46"/>
        <v>2</v>
      </c>
      <c r="P33" s="38" t="str">
        <f t="shared" si="47"/>
        <v>2</v>
      </c>
      <c r="Q33" s="38" t="str">
        <f t="shared" si="48"/>
        <v>1</v>
      </c>
      <c r="R33" s="39" t="str">
        <f t="shared" si="49"/>
        <v>0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0.0</v>
      </c>
      <c r="D34" s="38" t="s">
        <v>31</v>
      </c>
      <c r="E34" s="42">
        <v>1.0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4.0</v>
      </c>
      <c r="D37" s="19" t="s">
        <v>31</v>
      </c>
      <c r="E37" s="23">
        <v>0.0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0.0</v>
      </c>
      <c r="D38" s="19" t="s">
        <v>31</v>
      </c>
      <c r="E38" s="23">
        <v>1.0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9</v>
      </c>
      <c r="M38" s="19" t="str">
        <f t="shared" ref="M38:M41" si="57">N38-O38</f>
        <v>7</v>
      </c>
      <c r="N38" s="19" t="str">
        <f t="shared" ref="N38:N41" si="58">SUM(INDIRECT($AC38),INDIRECT($AD38),INDIRECT($AE38))</f>
        <v>8</v>
      </c>
      <c r="O38" s="19" t="str">
        <f t="shared" ref="O38:O41" si="59">SUM(INDIRECT($AF38),INDIRECT($AG38),INDIRECT($AH38))</f>
        <v>1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3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2.0</v>
      </c>
      <c r="D39" s="19" t="s">
        <v>31</v>
      </c>
      <c r="E39" s="23">
        <v>0.0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3</v>
      </c>
      <c r="M39" s="19" t="str">
        <f t="shared" si="57"/>
        <v>-2</v>
      </c>
      <c r="N39" s="19" t="str">
        <f t="shared" si="58"/>
        <v>1</v>
      </c>
      <c r="O39" s="19" t="str">
        <f t="shared" si="59"/>
        <v>3</v>
      </c>
      <c r="P39" s="19" t="str">
        <f t="shared" si="60"/>
        <v>1</v>
      </c>
      <c r="Q39" s="19" t="str">
        <f t="shared" si="61"/>
        <v>0</v>
      </c>
      <c r="R39" s="36" t="str">
        <f t="shared" si="62"/>
        <v>2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2.0</v>
      </c>
      <c r="D40" s="19" t="s">
        <v>31</v>
      </c>
      <c r="E40" s="23">
        <v>0.0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-7</v>
      </c>
      <c r="N40" s="19" t="str">
        <f t="shared" si="58"/>
        <v>0</v>
      </c>
      <c r="O40" s="19" t="str">
        <f t="shared" si="59"/>
        <v>7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1.0</v>
      </c>
      <c r="D41" s="19" t="s">
        <v>31</v>
      </c>
      <c r="E41" s="23">
        <v>2.0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6</v>
      </c>
      <c r="M41" s="38" t="str">
        <f t="shared" si="57"/>
        <v>2</v>
      </c>
      <c r="N41" s="38" t="str">
        <f t="shared" si="58"/>
        <v>4</v>
      </c>
      <c r="O41" s="38" t="str">
        <f t="shared" si="59"/>
        <v>2</v>
      </c>
      <c r="P41" s="38" t="str">
        <f t="shared" si="60"/>
        <v>2</v>
      </c>
      <c r="Q41" s="38" t="str">
        <f t="shared" si="61"/>
        <v>0</v>
      </c>
      <c r="R41" s="39" t="str">
        <f t="shared" si="62"/>
        <v>1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0.0</v>
      </c>
      <c r="D42" s="38" t="s">
        <v>31</v>
      </c>
      <c r="E42" s="42">
        <v>1.0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2.0</v>
      </c>
      <c r="D45" s="19" t="s">
        <v>31</v>
      </c>
      <c r="E45" s="23">
        <v>1.0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1.0</v>
      </c>
      <c r="D46" s="19" t="s">
        <v>31</v>
      </c>
      <c r="E46" s="23">
        <v>0.0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9</v>
      </c>
      <c r="M46" s="19" t="str">
        <f t="shared" ref="M46:M49" si="70">N46-O46</f>
        <v>4</v>
      </c>
      <c r="N46" s="19" t="str">
        <f t="shared" ref="N46:N49" si="71">SUM(INDIRECT($AC46),INDIRECT($AD46),INDIRECT($AE46))</f>
        <v>6</v>
      </c>
      <c r="O46" s="19" t="str">
        <f t="shared" ref="O46:O49" si="72">SUM(INDIRECT($AF46),INDIRECT($AG46),INDIRECT($AH46))</f>
        <v>2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3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1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2.0</v>
      </c>
      <c r="D47" s="19" t="s">
        <v>31</v>
      </c>
      <c r="E47" s="23">
        <v>1.0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6</v>
      </c>
      <c r="M47" s="19" t="str">
        <f t="shared" si="70"/>
        <v>2</v>
      </c>
      <c r="N47" s="19" t="str">
        <f t="shared" si="71"/>
        <v>4</v>
      </c>
      <c r="O47" s="19" t="str">
        <f t="shared" si="72"/>
        <v>2</v>
      </c>
      <c r="P47" s="19" t="str">
        <f t="shared" si="73"/>
        <v>2</v>
      </c>
      <c r="Q47" s="19" t="str">
        <f t="shared" si="74"/>
        <v>0</v>
      </c>
      <c r="R47" s="36" t="str">
        <f t="shared" si="75"/>
        <v>1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0.0</v>
      </c>
      <c r="D48" s="19" t="s">
        <v>31</v>
      </c>
      <c r="E48" s="23">
        <v>2.0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3</v>
      </c>
      <c r="M48" s="19" t="str">
        <f t="shared" si="70"/>
        <v>-1</v>
      </c>
      <c r="N48" s="19" t="str">
        <f t="shared" si="71"/>
        <v>2</v>
      </c>
      <c r="O48" s="19" t="str">
        <f t="shared" si="72"/>
        <v>3</v>
      </c>
      <c r="P48" s="19" t="str">
        <f t="shared" si="73"/>
        <v>1</v>
      </c>
      <c r="Q48" s="19" t="str">
        <f t="shared" si="74"/>
        <v>0</v>
      </c>
      <c r="R48" s="36" t="str">
        <f t="shared" si="75"/>
        <v>2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0.0</v>
      </c>
      <c r="D49" s="19" t="s">
        <v>31</v>
      </c>
      <c r="E49" s="23">
        <v>2.0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-5</v>
      </c>
      <c r="N49" s="38" t="str">
        <f t="shared" si="71"/>
        <v>0</v>
      </c>
      <c r="O49" s="38" t="str">
        <f t="shared" si="72"/>
        <v>5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1.0</v>
      </c>
      <c r="D50" s="38" t="s">
        <v>31</v>
      </c>
      <c r="E50" s="42">
        <v>0.0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2.0</v>
      </c>
      <c r="D53" s="19" t="s">
        <v>31</v>
      </c>
      <c r="E53" s="23">
        <v>0.0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2.0</v>
      </c>
      <c r="D54" s="19" t="s">
        <v>31</v>
      </c>
      <c r="E54" s="23">
        <v>1.0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9</v>
      </c>
      <c r="M54" s="19" t="str">
        <f t="shared" ref="M54:M57" si="83">N54-O54</f>
        <v>5</v>
      </c>
      <c r="N54" s="19" t="str">
        <f t="shared" ref="N54:N57" si="84">SUM(INDIRECT($AC54),INDIRECT($AD54),INDIRECT($AE54))</f>
        <v>5</v>
      </c>
      <c r="O54" s="19" t="str">
        <f t="shared" ref="O54:O57" si="85">SUM(INDIRECT($AF54),INDIRECT($AG54),INDIRECT($AH54))</f>
        <v>0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3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1.0</v>
      </c>
      <c r="D55" s="19" t="s">
        <v>31</v>
      </c>
      <c r="E55" s="23">
        <v>0.0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3</v>
      </c>
      <c r="M55" s="19" t="str">
        <f t="shared" si="83"/>
        <v>-2</v>
      </c>
      <c r="N55" s="19" t="str">
        <f t="shared" si="84"/>
        <v>1</v>
      </c>
      <c r="O55" s="19" t="str">
        <f t="shared" si="85"/>
        <v>3</v>
      </c>
      <c r="P55" s="19" t="str">
        <f t="shared" si="86"/>
        <v>1</v>
      </c>
      <c r="Q55" s="19" t="str">
        <f t="shared" si="87"/>
        <v>0</v>
      </c>
      <c r="R55" s="36" t="str">
        <f t="shared" si="88"/>
        <v>2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1.0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6</v>
      </c>
      <c r="M56" s="19" t="str">
        <f t="shared" si="83"/>
        <v>1</v>
      </c>
      <c r="N56" s="19" t="str">
        <f t="shared" si="84"/>
        <v>3</v>
      </c>
      <c r="O56" s="19" t="str">
        <f t="shared" si="85"/>
        <v>2</v>
      </c>
      <c r="P56" s="19" t="str">
        <f t="shared" si="86"/>
        <v>2</v>
      </c>
      <c r="Q56" s="19" t="str">
        <f t="shared" si="87"/>
        <v>0</v>
      </c>
      <c r="R56" s="36" t="str">
        <f t="shared" si="88"/>
        <v>1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0.0</v>
      </c>
      <c r="D57" s="19" t="s">
        <v>31</v>
      </c>
      <c r="E57" s="23">
        <v>1.0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0</v>
      </c>
      <c r="M57" s="38" t="str">
        <f t="shared" si="83"/>
        <v>-4</v>
      </c>
      <c r="N57" s="38" t="str">
        <f t="shared" si="84"/>
        <v>1</v>
      </c>
      <c r="O57" s="38" t="str">
        <f t="shared" si="85"/>
        <v>5</v>
      </c>
      <c r="P57" s="38" t="str">
        <f t="shared" si="86"/>
        <v>0</v>
      </c>
      <c r="Q57" s="38" t="str">
        <f t="shared" si="87"/>
        <v>0</v>
      </c>
      <c r="R57" s="39" t="str">
        <f t="shared" si="88"/>
        <v>3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0.0</v>
      </c>
      <c r="D58" s="38" t="s">
        <v>31</v>
      </c>
      <c r="E58" s="42">
        <v>2.0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4.0</v>
      </c>
      <c r="D61" s="19" t="s">
        <v>31</v>
      </c>
      <c r="E61" s="23">
        <v>0.0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1.0</v>
      </c>
      <c r="D62" s="19" t="s">
        <v>31</v>
      </c>
      <c r="E62" s="23">
        <v>2.0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3</v>
      </c>
      <c r="M62" s="19" t="str">
        <f t="shared" ref="M62:M65" si="96">N62-O62</f>
        <v>-2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5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2.0</v>
      </c>
      <c r="D63" s="19" t="s">
        <v>31</v>
      </c>
      <c r="E63" s="23">
        <v>0.0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-7</v>
      </c>
      <c r="N63" s="19" t="str">
        <f t="shared" si="97"/>
        <v>1</v>
      </c>
      <c r="O63" s="19" t="str">
        <f t="shared" si="98"/>
        <v>8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3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2.0</v>
      </c>
      <c r="D64" s="19" t="s">
        <v>31</v>
      </c>
      <c r="E64" s="23">
        <v>0.0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7</v>
      </c>
      <c r="N64" s="19" t="str">
        <f t="shared" si="97"/>
        <v>8</v>
      </c>
      <c r="O64" s="19" t="str">
        <f t="shared" si="98"/>
        <v>1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1.0</v>
      </c>
      <c r="D65" s="19" t="s">
        <v>31</v>
      </c>
      <c r="E65" s="23">
        <v>2.0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2</v>
      </c>
      <c r="N65" s="38" t="str">
        <f t="shared" si="97"/>
        <v>5</v>
      </c>
      <c r="O65" s="38" t="str">
        <f t="shared" si="98"/>
        <v>3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1.0</v>
      </c>
      <c r="D66" s="38" t="s">
        <v>31</v>
      </c>
      <c r="E66" s="42">
        <v>2.0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2.0</v>
      </c>
      <c r="D69" s="19" t="s">
        <v>31</v>
      </c>
      <c r="E69" s="23">
        <v>1.0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2.0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5</v>
      </c>
      <c r="N70" s="19" t="str">
        <f t="shared" ref="N70:N73" si="110">SUM(INDIRECT($AC70),INDIRECT($AD70),INDIRECT($AE70))</f>
        <v>7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3.0</v>
      </c>
      <c r="D71" s="19" t="s">
        <v>31</v>
      </c>
      <c r="E71" s="23">
        <v>0.0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-6</v>
      </c>
      <c r="N71" s="19" t="str">
        <f t="shared" si="110"/>
        <v>1</v>
      </c>
      <c r="O71" s="19" t="str">
        <f t="shared" si="111"/>
        <v>7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1.0</v>
      </c>
      <c r="D72" s="19" t="s">
        <v>31</v>
      </c>
      <c r="E72" s="23">
        <v>1.0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4</v>
      </c>
      <c r="M72" s="19" t="str">
        <f t="shared" si="109"/>
        <v>1</v>
      </c>
      <c r="N72" s="19" t="str">
        <f t="shared" si="110"/>
        <v>4</v>
      </c>
      <c r="O72" s="19" t="str">
        <f t="shared" si="111"/>
        <v>3</v>
      </c>
      <c r="P72" s="19" t="str">
        <f t="shared" si="112"/>
        <v>1</v>
      </c>
      <c r="Q72" s="19" t="str">
        <f t="shared" si="113"/>
        <v>1</v>
      </c>
      <c r="R72" s="36" t="str">
        <f t="shared" si="114"/>
        <v>1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1.0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4</v>
      </c>
      <c r="M73" s="38" t="str">
        <f t="shared" si="109"/>
        <v>0</v>
      </c>
      <c r="N73" s="38" t="str">
        <f t="shared" si="110"/>
        <v>4</v>
      </c>
      <c r="O73" s="38" t="str">
        <f t="shared" si="111"/>
        <v>4</v>
      </c>
      <c r="P73" s="38" t="str">
        <f t="shared" si="112"/>
        <v>1</v>
      </c>
      <c r="Q73" s="38" t="str">
        <f t="shared" si="113"/>
        <v>1</v>
      </c>
      <c r="R73" s="39" t="str">
        <f t="shared" si="114"/>
        <v>1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2.0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3.0</v>
      </c>
      <c r="D77" s="19" t="s">
        <v>31</v>
      </c>
      <c r="E77" s="23">
        <v>0.0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4</v>
      </c>
      <c r="Y77" s="33" t="str">
        <f>IF(AND(ISNUMBER(RESULTADOS!C77),ISNUMBER(RESULTADOS!E77),ISNUMBER(C77),ISNUMBER(E77),C77=RESULTADOS!C77,E77=RESULTADOS!E77),2,0)</f>
        <v>2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2.0</v>
      </c>
      <c r="D78" s="19" t="s">
        <v>31</v>
      </c>
      <c r="E78" s="23">
        <v>0.0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7</v>
      </c>
      <c r="N78" s="19" t="str">
        <f t="shared" ref="N78:N81" si="123">SUM(INDIRECT($AC78),INDIRECT($AD78),INDIRECT($AE78))</f>
        <v>8</v>
      </c>
      <c r="O78" s="19" t="str">
        <f t="shared" ref="O78:O81" si="124">SUM(INDIRECT($AF78),INDIRECT($AG78),INDIRECT($AH78))</f>
        <v>1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2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1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2.0</v>
      </c>
      <c r="D79" s="19" t="s">
        <v>31</v>
      </c>
      <c r="E79" s="23">
        <v>1.0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1</v>
      </c>
      <c r="M79" s="19" t="str">
        <f t="shared" si="122"/>
        <v>-4</v>
      </c>
      <c r="N79" s="19" t="str">
        <f t="shared" si="123"/>
        <v>2</v>
      </c>
      <c r="O79" s="19" t="str">
        <f t="shared" si="124"/>
        <v>6</v>
      </c>
      <c r="P79" s="19" t="str">
        <f t="shared" si="125"/>
        <v>0</v>
      </c>
      <c r="Q79" s="19" t="str">
        <f t="shared" si="126"/>
        <v>1</v>
      </c>
      <c r="R79" s="36" t="str">
        <f t="shared" si="127"/>
        <v>2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1.0</v>
      </c>
      <c r="D80" s="19" t="s">
        <v>31</v>
      </c>
      <c r="E80" s="23">
        <v>1.0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1</v>
      </c>
      <c r="M80" s="19" t="str">
        <f t="shared" si="122"/>
        <v>-5</v>
      </c>
      <c r="N80" s="19" t="str">
        <f t="shared" si="123"/>
        <v>1</v>
      </c>
      <c r="O80" s="19" t="str">
        <f t="shared" si="124"/>
        <v>6</v>
      </c>
      <c r="P80" s="19" t="str">
        <f t="shared" si="125"/>
        <v>0</v>
      </c>
      <c r="Q80" s="19" t="str">
        <f t="shared" si="126"/>
        <v>1</v>
      </c>
      <c r="R80" s="36" t="str">
        <f t="shared" si="127"/>
        <v>2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3.0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6</v>
      </c>
      <c r="M81" s="38" t="str">
        <f t="shared" si="122"/>
        <v>2</v>
      </c>
      <c r="N81" s="38" t="str">
        <f t="shared" si="123"/>
        <v>5</v>
      </c>
      <c r="O81" s="38" t="str">
        <f t="shared" si="124"/>
        <v>3</v>
      </c>
      <c r="P81" s="38" t="str">
        <f t="shared" si="125"/>
        <v>2</v>
      </c>
      <c r="Q81" s="38" t="str">
        <f t="shared" si="126"/>
        <v>0</v>
      </c>
      <c r="R81" s="39" t="str">
        <f t="shared" si="127"/>
        <v>1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1.0</v>
      </c>
      <c r="D82" s="38" t="s">
        <v>31</v>
      </c>
      <c r="E82" s="42">
        <v>2.0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3.0</v>
      </c>
      <c r="D85" s="19" t="s">
        <v>31</v>
      </c>
      <c r="E85" s="23">
        <v>0.0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0.0</v>
      </c>
      <c r="D86" s="19" t="s">
        <v>31</v>
      </c>
      <c r="E86" s="23">
        <v>2.0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7</v>
      </c>
      <c r="M86" s="19" t="str">
        <f t="shared" ref="M86:M89" si="135">N86-O86</f>
        <v>4</v>
      </c>
      <c r="N86" s="19" t="str">
        <f t="shared" ref="N86:N89" si="136">SUM(INDIRECT($AC86),INDIRECT($AD86),INDIRECT($AE86))</f>
        <v>5</v>
      </c>
      <c r="O86" s="19" t="str">
        <f t="shared" ref="O86:O89" si="137">SUM(INDIRECT($AF86),INDIRECT($AG86),INDIRECT($AH86))</f>
        <v>1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1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0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1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2.0</v>
      </c>
      <c r="D87" s="19" t="s">
        <v>31</v>
      </c>
      <c r="E87" s="23">
        <v>0.0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7</v>
      </c>
      <c r="M87" s="19" t="str">
        <f t="shared" si="135"/>
        <v>5</v>
      </c>
      <c r="N87" s="19" t="str">
        <f t="shared" si="136"/>
        <v>6</v>
      </c>
      <c r="O87" s="19" t="str">
        <f t="shared" si="137"/>
        <v>1</v>
      </c>
      <c r="P87" s="19" t="str">
        <f t="shared" si="138"/>
        <v>2</v>
      </c>
      <c r="Q87" s="19" t="str">
        <f t="shared" si="139"/>
        <v>1</v>
      </c>
      <c r="R87" s="36" t="str">
        <f t="shared" si="140"/>
        <v>0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2.0</v>
      </c>
      <c r="D88" s="19" t="s">
        <v>31</v>
      </c>
      <c r="E88" s="23">
        <v>0.0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0</v>
      </c>
      <c r="M88" s="19" t="str">
        <f t="shared" si="135"/>
        <v>-6</v>
      </c>
      <c r="N88" s="19" t="str">
        <f t="shared" si="136"/>
        <v>1</v>
      </c>
      <c r="O88" s="19" t="str">
        <f t="shared" si="137"/>
        <v>7</v>
      </c>
      <c r="P88" s="19" t="str">
        <f t="shared" si="138"/>
        <v>0</v>
      </c>
      <c r="Q88" s="19" t="str">
        <f t="shared" si="139"/>
        <v>0</v>
      </c>
      <c r="R88" s="36" t="str">
        <f t="shared" si="140"/>
        <v>3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1.0</v>
      </c>
      <c r="D89" s="19" t="s">
        <v>31</v>
      </c>
      <c r="E89" s="23">
        <v>2.0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3</v>
      </c>
      <c r="M89" s="38" t="str">
        <f t="shared" si="135"/>
        <v>-3</v>
      </c>
      <c r="N89" s="38" t="str">
        <f t="shared" si="136"/>
        <v>2</v>
      </c>
      <c r="O89" s="38" t="str">
        <f t="shared" si="137"/>
        <v>5</v>
      </c>
      <c r="P89" s="38" t="str">
        <f t="shared" si="138"/>
        <v>1</v>
      </c>
      <c r="Q89" s="38" t="str">
        <f t="shared" si="139"/>
        <v>0</v>
      </c>
      <c r="R89" s="39" t="str">
        <f t="shared" si="140"/>
        <v>2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1.0</v>
      </c>
      <c r="D90" s="38" t="s">
        <v>31</v>
      </c>
      <c r="E90" s="42">
        <v>1.0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2.0</v>
      </c>
      <c r="D93" s="19" t="s">
        <v>31</v>
      </c>
      <c r="E93" s="23">
        <v>1.0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1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1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0.0</v>
      </c>
      <c r="D94" s="19" t="s">
        <v>31</v>
      </c>
      <c r="E94" s="23">
        <v>1.0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6</v>
      </c>
      <c r="M94" s="19" t="str">
        <f t="shared" ref="M94:M97" si="148">N94-O94</f>
        <v>3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2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0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1</v>
      </c>
      <c r="S94" s="31"/>
      <c r="T94" s="32" t="str">
        <f t="shared" si="144"/>
        <v/>
      </c>
      <c r="U94" s="19" t="str">
        <f t="shared" si="145"/>
        <v>0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0</v>
      </c>
      <c r="AA94" s="33" t="str">
        <f>IF(AND(ISNUMBER(RESULTADOS!C94),ISNUMBER(RESULTADOS!E94),ISNUMBER(C94),ISNUMBER(E94),AND(Z94=1,OR(C94=RESULTADOS!C94,E94=RESULTADOS!E94))),1,0)</f>
        <v>0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2.0</v>
      </c>
      <c r="D95" s="19" t="s">
        <v>31</v>
      </c>
      <c r="E95" s="23">
        <v>0.0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0</v>
      </c>
      <c r="M95" s="19" t="str">
        <f t="shared" si="148"/>
        <v>-5</v>
      </c>
      <c r="N95" s="19" t="str">
        <f t="shared" si="149"/>
        <v>0</v>
      </c>
      <c r="O95" s="19" t="str">
        <f t="shared" si="150"/>
        <v>5</v>
      </c>
      <c r="P95" s="19" t="str">
        <f t="shared" si="151"/>
        <v>0</v>
      </c>
      <c r="Q95" s="19" t="str">
        <f t="shared" si="152"/>
        <v>0</v>
      </c>
      <c r="R95" s="36" t="str">
        <f t="shared" si="153"/>
        <v>3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0.0</v>
      </c>
      <c r="D96" s="19" t="s">
        <v>31</v>
      </c>
      <c r="E96" s="23">
        <v>2.0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9</v>
      </c>
      <c r="M96" s="19" t="str">
        <f t="shared" si="148"/>
        <v>4</v>
      </c>
      <c r="N96" s="19" t="str">
        <f t="shared" si="149"/>
        <v>6</v>
      </c>
      <c r="O96" s="19" t="str">
        <f t="shared" si="150"/>
        <v>2</v>
      </c>
      <c r="P96" s="19" t="str">
        <f t="shared" si="151"/>
        <v>3</v>
      </c>
      <c r="Q96" s="19" t="str">
        <f t="shared" si="152"/>
        <v>0</v>
      </c>
      <c r="R96" s="36" t="str">
        <f t="shared" si="153"/>
        <v>0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2.0</v>
      </c>
      <c r="D97" s="19" t="s">
        <v>31</v>
      </c>
      <c r="E97" s="23">
        <v>0.0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3</v>
      </c>
      <c r="M97" s="38" t="str">
        <f t="shared" si="148"/>
        <v>-2</v>
      </c>
      <c r="N97" s="38" t="str">
        <f t="shared" si="149"/>
        <v>2</v>
      </c>
      <c r="O97" s="38" t="str">
        <f t="shared" si="150"/>
        <v>4</v>
      </c>
      <c r="P97" s="38" t="str">
        <f t="shared" si="151"/>
        <v>1</v>
      </c>
      <c r="Q97" s="38" t="str">
        <f t="shared" si="152"/>
        <v>0</v>
      </c>
      <c r="R97" s="39" t="str">
        <f t="shared" si="153"/>
        <v>2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1.0</v>
      </c>
      <c r="D98" s="38" t="s">
        <v>31</v>
      </c>
      <c r="E98" s="42">
        <v>2.0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59"/>
      <c r="D1" s="59"/>
      <c r="E1" s="59"/>
      <c r="F1" s="59"/>
      <c r="G1" s="59"/>
      <c r="H1" s="3"/>
      <c r="I1" s="59"/>
      <c r="J1" s="59"/>
      <c r="K1" s="3"/>
      <c r="L1" s="59"/>
      <c r="M1" s="59"/>
      <c r="N1" s="59"/>
      <c r="O1" s="59"/>
      <c r="P1" s="59"/>
      <c r="Q1" s="59"/>
      <c r="R1" s="59"/>
      <c r="S1" s="59"/>
      <c r="T1" s="3"/>
      <c r="U1" s="4"/>
      <c r="V1" s="59"/>
      <c r="W1" s="59"/>
      <c r="X1" s="59"/>
      <c r="Y1" s="6"/>
      <c r="Z1" s="7"/>
      <c r="AA1" s="7"/>
      <c r="AB1" s="7"/>
      <c r="AC1" s="7"/>
      <c r="AD1" s="7"/>
      <c r="AE1" s="7"/>
      <c r="AF1" s="7"/>
      <c r="AG1" s="7"/>
      <c r="AH1" s="7"/>
      <c r="AI1" s="59"/>
      <c r="AJ1" s="59"/>
      <c r="AK1" s="59"/>
      <c r="AL1" s="59"/>
      <c r="AM1" s="59"/>
      <c r="AN1" s="59"/>
      <c r="AO1" s="59"/>
      <c r="AP1" s="59"/>
      <c r="AQ1" s="59"/>
      <c r="AR1" s="59"/>
    </row>
    <row r="2" ht="18.75" customHeight="1">
      <c r="B2" s="8" t="s">
        <v>253</v>
      </c>
      <c r="C2" s="9"/>
      <c r="D2" s="9"/>
      <c r="E2" s="9"/>
      <c r="F2" s="10"/>
      <c r="G2" s="59"/>
      <c r="H2" s="11" t="s">
        <v>23</v>
      </c>
      <c r="I2" s="10"/>
      <c r="J2" s="59"/>
      <c r="K2" s="11" t="s">
        <v>24</v>
      </c>
      <c r="L2" s="9"/>
      <c r="M2" s="9"/>
      <c r="N2" s="9"/>
      <c r="O2" s="9"/>
      <c r="P2" s="9"/>
      <c r="Q2" s="9"/>
      <c r="R2" s="10"/>
      <c r="S2" s="59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59"/>
      <c r="AJ2" s="59"/>
      <c r="AK2" s="59"/>
      <c r="AL2" s="59"/>
      <c r="AM2" s="59"/>
      <c r="AN2" s="59"/>
      <c r="AO2" s="59"/>
      <c r="AP2" s="59"/>
      <c r="AQ2" s="59"/>
      <c r="AR2" s="59"/>
    </row>
    <row r="3" ht="15.0" customHeight="1">
      <c r="C3" s="59"/>
      <c r="D3" s="59"/>
      <c r="E3" s="59"/>
      <c r="F3" s="59"/>
      <c r="G3" s="59"/>
      <c r="H3" s="59"/>
      <c r="I3" s="59"/>
      <c r="J3" s="59"/>
      <c r="K3" s="3"/>
      <c r="L3" s="59"/>
      <c r="M3" s="59"/>
      <c r="N3" s="59"/>
      <c r="O3" s="59"/>
      <c r="P3" s="59"/>
      <c r="Q3" s="59"/>
      <c r="R3" s="59"/>
      <c r="S3" s="59"/>
      <c r="T3" s="13" t="s">
        <v>26</v>
      </c>
      <c r="U3" s="14" t="str">
        <f>SUM(U5:U10,U13:U18,U21:U26,U29:U34,U37:U42,U45:U50,U53:U58,U61:U66)</f>
        <v>16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59"/>
      <c r="H4" s="16" t="s">
        <v>28</v>
      </c>
      <c r="I4" s="17" t="s">
        <v>29</v>
      </c>
      <c r="J4" s="18"/>
      <c r="K4" s="59"/>
      <c r="L4" s="59"/>
      <c r="M4" s="59"/>
      <c r="N4" s="59"/>
      <c r="O4" s="59"/>
      <c r="P4" s="59"/>
      <c r="Q4" s="59"/>
      <c r="R4" s="59"/>
      <c r="S4" s="59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2.0</v>
      </c>
      <c r="D5" s="19" t="s">
        <v>31</v>
      </c>
      <c r="E5" s="23">
        <v>1.0</v>
      </c>
      <c r="F5" s="24" t="s">
        <v>32</v>
      </c>
      <c r="G5" s="59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2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1.0</v>
      </c>
      <c r="D6" s="19" t="s">
        <v>31</v>
      </c>
      <c r="E6" s="23">
        <v>1.0</v>
      </c>
      <c r="F6" s="34" t="s">
        <v>41</v>
      </c>
      <c r="G6" s="59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5</v>
      </c>
      <c r="M6" s="19" t="str">
        <f t="shared" ref="M6:M9" si="5">N6-O6</f>
        <v>2</v>
      </c>
      <c r="N6" s="19" t="str">
        <f t="shared" ref="N6:N9" si="6">SUM(INDIRECT($AC6),INDIRECT($AD6),INDIRECT($AE6))</f>
        <v>5</v>
      </c>
      <c r="O6" s="19" t="str">
        <f t="shared" ref="O6:O9" si="7">SUM(INDIRECT($AF6),INDIRECT($AG6),INDIRECT($AH6))</f>
        <v>3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2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0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1.0</v>
      </c>
      <c r="D7" s="19" t="s">
        <v>31</v>
      </c>
      <c r="E7" s="23">
        <v>2.0</v>
      </c>
      <c r="F7" s="34" t="s">
        <v>32</v>
      </c>
      <c r="G7" s="59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7</v>
      </c>
      <c r="M7" s="19" t="str">
        <f t="shared" si="5"/>
        <v>3</v>
      </c>
      <c r="N7" s="19" t="str">
        <f t="shared" si="6"/>
        <v>7</v>
      </c>
      <c r="O7" s="19" t="str">
        <f t="shared" si="7"/>
        <v>4</v>
      </c>
      <c r="P7" s="19" t="str">
        <f t="shared" si="8"/>
        <v>2</v>
      </c>
      <c r="Q7" s="19" t="str">
        <f t="shared" si="9"/>
        <v>1</v>
      </c>
      <c r="R7" s="36" t="str">
        <f t="shared" si="10"/>
        <v>0</v>
      </c>
      <c r="S7" s="59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2.0</v>
      </c>
      <c r="D8" s="19" t="s">
        <v>31</v>
      </c>
      <c r="E8" s="23">
        <v>2.0</v>
      </c>
      <c r="F8" s="34" t="s">
        <v>40</v>
      </c>
      <c r="G8" s="59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1</v>
      </c>
      <c r="M8" s="19" t="str">
        <f t="shared" si="5"/>
        <v>-3</v>
      </c>
      <c r="N8" s="19" t="str">
        <f t="shared" si="6"/>
        <v>3</v>
      </c>
      <c r="O8" s="19" t="str">
        <f t="shared" si="7"/>
        <v>6</v>
      </c>
      <c r="P8" s="19" t="str">
        <f t="shared" si="8"/>
        <v>0</v>
      </c>
      <c r="Q8" s="19" t="str">
        <f t="shared" si="9"/>
        <v>1</v>
      </c>
      <c r="R8" s="36" t="str">
        <f t="shared" si="10"/>
        <v>2</v>
      </c>
      <c r="S8" s="59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0.0</v>
      </c>
      <c r="D9" s="19" t="s">
        <v>31</v>
      </c>
      <c r="E9" s="23">
        <v>2.0</v>
      </c>
      <c r="F9" s="34" t="s">
        <v>40</v>
      </c>
      <c r="G9" s="59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3</v>
      </c>
      <c r="M9" s="38" t="str">
        <f t="shared" si="5"/>
        <v>-2</v>
      </c>
      <c r="N9" s="38" t="str">
        <f t="shared" si="6"/>
        <v>3</v>
      </c>
      <c r="O9" s="38" t="str">
        <f t="shared" si="7"/>
        <v>5</v>
      </c>
      <c r="P9" s="38" t="str">
        <f t="shared" si="8"/>
        <v>1</v>
      </c>
      <c r="Q9" s="38" t="str">
        <f t="shared" si="9"/>
        <v>0</v>
      </c>
      <c r="R9" s="39" t="str">
        <f t="shared" si="10"/>
        <v>2</v>
      </c>
      <c r="S9" s="59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1.0</v>
      </c>
      <c r="D10" s="38" t="s">
        <v>31</v>
      </c>
      <c r="E10" s="42">
        <v>3.0</v>
      </c>
      <c r="F10" s="43" t="s">
        <v>30</v>
      </c>
      <c r="G10" s="59"/>
      <c r="H10" s="44">
        <v>46197.0</v>
      </c>
      <c r="I10" s="45">
        <v>0.916666666666667</v>
      </c>
      <c r="J10" s="27"/>
      <c r="K10" s="31"/>
      <c r="S10" s="59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59"/>
      <c r="H12" s="16" t="s">
        <v>28</v>
      </c>
      <c r="I12" s="17" t="s">
        <v>29</v>
      </c>
      <c r="J12" s="18"/>
      <c r="K12" s="59"/>
      <c r="L12" s="59"/>
      <c r="M12" s="59"/>
      <c r="N12" s="59"/>
      <c r="O12" s="59"/>
      <c r="P12" s="59"/>
      <c r="Q12" s="59"/>
      <c r="R12" s="59"/>
      <c r="S12" s="59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2.0</v>
      </c>
      <c r="D13" s="19" t="s">
        <v>31</v>
      </c>
      <c r="E13" s="23">
        <v>1.0</v>
      </c>
      <c r="F13" s="24" t="s">
        <v>56</v>
      </c>
      <c r="G13" s="59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0.0</v>
      </c>
      <c r="D14" s="19" t="s">
        <v>31</v>
      </c>
      <c r="E14" s="23">
        <v>3.0</v>
      </c>
      <c r="F14" s="24" t="s">
        <v>58</v>
      </c>
      <c r="G14" s="59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1</v>
      </c>
      <c r="M14" s="19" t="str">
        <f t="shared" ref="M14:M17" si="18">N14-O14</f>
        <v>-3</v>
      </c>
      <c r="N14" s="19" t="str">
        <f t="shared" ref="N14:N17" si="19">SUM(INDIRECT($AC14),INDIRECT($AD14),INDIRECT($AE14))</f>
        <v>3</v>
      </c>
      <c r="O14" s="19" t="str">
        <f t="shared" ref="O14:O17" si="20">SUM(INDIRECT($AF14),INDIRECT($AG14),INDIRECT($AH14))</f>
        <v>6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0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2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2.0</v>
      </c>
      <c r="D15" s="19" t="s">
        <v>31</v>
      </c>
      <c r="E15" s="23">
        <v>0.0</v>
      </c>
      <c r="F15" s="24" t="s">
        <v>56</v>
      </c>
      <c r="G15" s="59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7</v>
      </c>
      <c r="M15" s="19" t="str">
        <f t="shared" si="18"/>
        <v>3</v>
      </c>
      <c r="N15" s="19" t="str">
        <f t="shared" si="19"/>
        <v>5</v>
      </c>
      <c r="O15" s="19" t="str">
        <f t="shared" si="20"/>
        <v>2</v>
      </c>
      <c r="P15" s="19" t="str">
        <f t="shared" si="21"/>
        <v>2</v>
      </c>
      <c r="Q15" s="19" t="str">
        <f t="shared" si="22"/>
        <v>1</v>
      </c>
      <c r="R15" s="36" t="str">
        <f t="shared" si="23"/>
        <v>0</v>
      </c>
      <c r="S15" s="59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3.0</v>
      </c>
      <c r="D16" s="19" t="s">
        <v>31</v>
      </c>
      <c r="E16" s="23">
        <v>1.0</v>
      </c>
      <c r="F16" s="24" t="s">
        <v>57</v>
      </c>
      <c r="G16" s="59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1</v>
      </c>
      <c r="M16" s="19" t="str">
        <f t="shared" si="18"/>
        <v>-5</v>
      </c>
      <c r="N16" s="19" t="str">
        <f t="shared" si="19"/>
        <v>3</v>
      </c>
      <c r="O16" s="19" t="str">
        <f t="shared" si="20"/>
        <v>8</v>
      </c>
      <c r="P16" s="19" t="str">
        <f t="shared" si="21"/>
        <v>0</v>
      </c>
      <c r="Q16" s="19" t="str">
        <f t="shared" si="22"/>
        <v>1</v>
      </c>
      <c r="R16" s="36" t="str">
        <f t="shared" si="23"/>
        <v>2</v>
      </c>
      <c r="S16" s="59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0.0</v>
      </c>
      <c r="D17" s="19" t="s">
        <v>31</v>
      </c>
      <c r="E17" s="23">
        <v>0.0</v>
      </c>
      <c r="F17" s="24" t="s">
        <v>55</v>
      </c>
      <c r="G17" s="59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7</v>
      </c>
      <c r="M17" s="38" t="str">
        <f t="shared" si="18"/>
        <v>5</v>
      </c>
      <c r="N17" s="38" t="str">
        <f t="shared" si="19"/>
        <v>5</v>
      </c>
      <c r="O17" s="38" t="str">
        <f t="shared" si="20"/>
        <v>0</v>
      </c>
      <c r="P17" s="38" t="str">
        <f t="shared" si="21"/>
        <v>2</v>
      </c>
      <c r="Q17" s="38" t="str">
        <f t="shared" si="22"/>
        <v>1</v>
      </c>
      <c r="R17" s="39" t="str">
        <f t="shared" si="23"/>
        <v>0</v>
      </c>
      <c r="S17" s="59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2.0</v>
      </c>
      <c r="D18" s="38" t="s">
        <v>31</v>
      </c>
      <c r="E18" s="42">
        <v>2.0</v>
      </c>
      <c r="F18" s="48" t="s">
        <v>57</v>
      </c>
      <c r="G18" s="59"/>
      <c r="H18" s="44">
        <v>46197.0</v>
      </c>
      <c r="I18" s="45">
        <v>0.666666666666667</v>
      </c>
      <c r="J18" s="27"/>
      <c r="K18" s="31"/>
      <c r="S18" s="59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59"/>
      <c r="H20" s="16" t="s">
        <v>28</v>
      </c>
      <c r="I20" s="17" t="s">
        <v>29</v>
      </c>
      <c r="J20" s="18"/>
      <c r="K20" s="59"/>
      <c r="L20" s="59"/>
      <c r="M20" s="59"/>
      <c r="N20" s="59"/>
      <c r="O20" s="59"/>
      <c r="P20" s="59"/>
      <c r="Q20" s="59"/>
      <c r="R20" s="59"/>
      <c r="S20" s="59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1.0</v>
      </c>
      <c r="D21" s="19" t="s">
        <v>31</v>
      </c>
      <c r="E21" s="23">
        <v>1.0</v>
      </c>
      <c r="F21" s="24" t="s">
        <v>73</v>
      </c>
      <c r="G21" s="59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4</v>
      </c>
      <c r="Y21" s="33" t="str">
        <f>IF(AND(ISNUMBER(RESULTADOS!C21),ISNUMBER(RESULTADOS!E21),ISNUMBER(C21),ISNUMBER(E21),C21=RESULTADOS!C21,E21=RESULTADOS!E21),2,0)</f>
        <v>2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2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2.0</v>
      </c>
      <c r="D22" s="19" t="s">
        <v>31</v>
      </c>
      <c r="E22" s="23">
        <v>1.0</v>
      </c>
      <c r="F22" s="24" t="s">
        <v>75</v>
      </c>
      <c r="G22" s="59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7</v>
      </c>
      <c r="M22" s="19" t="str">
        <f t="shared" ref="M22:M25" si="31">N22-O22</f>
        <v>4</v>
      </c>
      <c r="N22" s="19" t="str">
        <f t="shared" ref="N22:N25" si="32">SUM(INDIRECT($AC22),INDIRECT($AD22),INDIRECT($AE22))</f>
        <v>6</v>
      </c>
      <c r="O22" s="19" t="str">
        <f t="shared" ref="O22:O25" si="33">SUM(INDIRECT($AF22),INDIRECT($AG22),INDIRECT($AH22))</f>
        <v>2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2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1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0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0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3.0</v>
      </c>
      <c r="F23" s="24" t="s">
        <v>73</v>
      </c>
      <c r="G23" s="59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0</v>
      </c>
      <c r="M23" s="19" t="str">
        <f t="shared" si="31"/>
        <v>-5</v>
      </c>
      <c r="N23" s="19" t="str">
        <f t="shared" si="32"/>
        <v>2</v>
      </c>
      <c r="O23" s="19" t="str">
        <f t="shared" si="33"/>
        <v>7</v>
      </c>
      <c r="P23" s="19" t="str">
        <f t="shared" si="34"/>
        <v>0</v>
      </c>
      <c r="Q23" s="19" t="str">
        <f t="shared" si="35"/>
        <v>0</v>
      </c>
      <c r="R23" s="36" t="str">
        <f t="shared" si="36"/>
        <v>3</v>
      </c>
      <c r="S23" s="59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3.0</v>
      </c>
      <c r="D24" s="19" t="s">
        <v>31</v>
      </c>
      <c r="E24" s="23">
        <v>1.0</v>
      </c>
      <c r="F24" s="24" t="s">
        <v>74</v>
      </c>
      <c r="G24" s="59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3</v>
      </c>
      <c r="M24" s="19" t="str">
        <f t="shared" si="31"/>
        <v>-2</v>
      </c>
      <c r="N24" s="19" t="str">
        <f t="shared" si="32"/>
        <v>3</v>
      </c>
      <c r="O24" s="19" t="str">
        <f t="shared" si="33"/>
        <v>5</v>
      </c>
      <c r="P24" s="19" t="str">
        <f t="shared" si="34"/>
        <v>1</v>
      </c>
      <c r="Q24" s="19" t="str">
        <f t="shared" si="35"/>
        <v>0</v>
      </c>
      <c r="R24" s="36" t="str">
        <f t="shared" si="36"/>
        <v>2</v>
      </c>
      <c r="S24" s="59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1.0</v>
      </c>
      <c r="D25" s="19" t="s">
        <v>31</v>
      </c>
      <c r="E25" s="23">
        <v>0.0</v>
      </c>
      <c r="F25" s="24" t="s">
        <v>74</v>
      </c>
      <c r="G25" s="59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7</v>
      </c>
      <c r="M25" s="38" t="str">
        <f t="shared" si="31"/>
        <v>3</v>
      </c>
      <c r="N25" s="38" t="str">
        <f t="shared" si="32"/>
        <v>5</v>
      </c>
      <c r="O25" s="38" t="str">
        <f t="shared" si="33"/>
        <v>2</v>
      </c>
      <c r="P25" s="38" t="str">
        <f t="shared" si="34"/>
        <v>2</v>
      </c>
      <c r="Q25" s="38" t="str">
        <f t="shared" si="35"/>
        <v>1</v>
      </c>
      <c r="R25" s="39" t="str">
        <f t="shared" si="36"/>
        <v>0</v>
      </c>
      <c r="S25" s="59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0.0</v>
      </c>
      <c r="D26" s="38" t="s">
        <v>31</v>
      </c>
      <c r="E26" s="42">
        <v>2.0</v>
      </c>
      <c r="F26" s="48" t="s">
        <v>72</v>
      </c>
      <c r="G26" s="59"/>
      <c r="H26" s="44">
        <v>46197.0</v>
      </c>
      <c r="I26" s="45">
        <v>0.791666666666667</v>
      </c>
      <c r="J26" s="27"/>
      <c r="K26" s="46"/>
      <c r="S26" s="59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59"/>
      <c r="H28" s="16" t="s">
        <v>28</v>
      </c>
      <c r="I28" s="17" t="s">
        <v>29</v>
      </c>
      <c r="J28" s="18"/>
      <c r="K28" s="59"/>
      <c r="L28" s="59"/>
      <c r="M28" s="59"/>
      <c r="N28" s="59"/>
      <c r="O28" s="59"/>
      <c r="P28" s="59"/>
      <c r="Q28" s="59"/>
      <c r="R28" s="59"/>
      <c r="S28" s="59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1.0</v>
      </c>
      <c r="D29" s="19" t="s">
        <v>31</v>
      </c>
      <c r="E29" s="23">
        <v>0.0</v>
      </c>
      <c r="F29" s="24" t="s">
        <v>90</v>
      </c>
      <c r="G29" s="59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1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1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0.0</v>
      </c>
      <c r="D30" s="19" t="s">
        <v>31</v>
      </c>
      <c r="E30" s="23">
        <v>1.0</v>
      </c>
      <c r="F30" s="24" t="s">
        <v>92</v>
      </c>
      <c r="G30" s="59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3</v>
      </c>
      <c r="M30" s="19" t="str">
        <f t="shared" ref="M30:M33" si="44">N30-O30</f>
        <v>-1</v>
      </c>
      <c r="N30" s="19" t="str">
        <f t="shared" ref="N30:N33" si="45">SUM(INDIRECT($AC30),INDIRECT($AD30),INDIRECT($AE30))</f>
        <v>3</v>
      </c>
      <c r="O30" s="19" t="str">
        <f t="shared" ref="O30:O33" si="46">SUM(INDIRECT($AF30),INDIRECT($AG30),INDIRECT($AH30))</f>
        <v>4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1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2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2.0</v>
      </c>
      <c r="D31" s="19" t="s">
        <v>31</v>
      </c>
      <c r="E31" s="23">
        <v>1.0</v>
      </c>
      <c r="F31" s="24" t="s">
        <v>91</v>
      </c>
      <c r="G31" s="59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6</v>
      </c>
      <c r="M31" s="19" t="str">
        <f t="shared" si="44"/>
        <v>1</v>
      </c>
      <c r="N31" s="19" t="str">
        <f t="shared" si="45"/>
        <v>4</v>
      </c>
      <c r="O31" s="19" t="str">
        <f t="shared" si="46"/>
        <v>3</v>
      </c>
      <c r="P31" s="19" t="str">
        <f t="shared" si="47"/>
        <v>2</v>
      </c>
      <c r="Q31" s="19" t="str">
        <f t="shared" si="48"/>
        <v>0</v>
      </c>
      <c r="R31" s="36" t="str">
        <f t="shared" si="49"/>
        <v>1</v>
      </c>
      <c r="S31" s="59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0.0</v>
      </c>
      <c r="D32" s="19" t="s">
        <v>31</v>
      </c>
      <c r="E32" s="23">
        <v>0.0</v>
      </c>
      <c r="F32" s="24" t="s">
        <v>90</v>
      </c>
      <c r="G32" s="59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4</v>
      </c>
      <c r="M32" s="19" t="str">
        <f t="shared" si="44"/>
        <v>0</v>
      </c>
      <c r="N32" s="19" t="str">
        <f t="shared" si="45"/>
        <v>2</v>
      </c>
      <c r="O32" s="19" t="str">
        <f t="shared" si="46"/>
        <v>2</v>
      </c>
      <c r="P32" s="19" t="str">
        <f t="shared" si="47"/>
        <v>1</v>
      </c>
      <c r="Q32" s="19" t="str">
        <f t="shared" si="48"/>
        <v>1</v>
      </c>
      <c r="R32" s="36" t="str">
        <f t="shared" si="49"/>
        <v>1</v>
      </c>
      <c r="S32" s="59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2.0</v>
      </c>
      <c r="D33" s="19" t="s">
        <v>31</v>
      </c>
      <c r="E33" s="23">
        <v>1.0</v>
      </c>
      <c r="F33" s="24" t="s">
        <v>89</v>
      </c>
      <c r="G33" s="59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7</v>
      </c>
      <c r="M33" s="38" t="str">
        <f t="shared" si="44"/>
        <v>2</v>
      </c>
      <c r="N33" s="38" t="str">
        <f t="shared" si="45"/>
        <v>3</v>
      </c>
      <c r="O33" s="38" t="str">
        <f t="shared" si="46"/>
        <v>1</v>
      </c>
      <c r="P33" s="38" t="str">
        <f t="shared" si="47"/>
        <v>2</v>
      </c>
      <c r="Q33" s="38" t="str">
        <f t="shared" si="48"/>
        <v>1</v>
      </c>
      <c r="R33" s="39" t="str">
        <f t="shared" si="49"/>
        <v>0</v>
      </c>
      <c r="S33" s="59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1.0</v>
      </c>
      <c r="D34" s="38" t="s">
        <v>31</v>
      </c>
      <c r="E34" s="42">
        <v>2.0</v>
      </c>
      <c r="F34" s="48" t="s">
        <v>91</v>
      </c>
      <c r="G34" s="59"/>
      <c r="H34" s="44">
        <v>46198.0</v>
      </c>
      <c r="I34" s="45">
        <v>0.958333333333333</v>
      </c>
      <c r="J34" s="27"/>
      <c r="K34" s="46"/>
      <c r="S34" s="59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59"/>
      <c r="H36" s="16" t="s">
        <v>28</v>
      </c>
      <c r="I36" s="17" t="s">
        <v>29</v>
      </c>
      <c r="J36" s="18"/>
      <c r="K36" s="59"/>
      <c r="L36" s="59"/>
      <c r="M36" s="59"/>
      <c r="N36" s="59"/>
      <c r="O36" s="59"/>
      <c r="P36" s="59"/>
      <c r="Q36" s="59"/>
      <c r="R36" s="59"/>
      <c r="S36" s="59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5.0</v>
      </c>
      <c r="D37" s="19" t="s">
        <v>31</v>
      </c>
      <c r="E37" s="23">
        <v>0.0</v>
      </c>
      <c r="F37" s="34" t="s">
        <v>106</v>
      </c>
      <c r="G37" s="59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1.0</v>
      </c>
      <c r="D38" s="19" t="s">
        <v>31</v>
      </c>
      <c r="E38" s="23">
        <v>1.0</v>
      </c>
      <c r="F38" s="34" t="s">
        <v>108</v>
      </c>
      <c r="G38" s="59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4</v>
      </c>
      <c r="M38" s="19" t="str">
        <f t="shared" ref="M38:M41" si="57">N38-O38</f>
        <v>4</v>
      </c>
      <c r="N38" s="19" t="str">
        <f t="shared" ref="N38:N41" si="58">SUM(INDIRECT($AC38),INDIRECT($AD38),INDIRECT($AE38))</f>
        <v>7</v>
      </c>
      <c r="O38" s="19" t="str">
        <f t="shared" ref="O38:O41" si="59">SUM(INDIRECT($AF38),INDIRECT($AG38),INDIRECT($AH38))</f>
        <v>3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1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1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1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0.0</v>
      </c>
      <c r="D39" s="19" t="s">
        <v>31</v>
      </c>
      <c r="E39" s="23">
        <v>1.0</v>
      </c>
      <c r="F39" s="34" t="s">
        <v>107</v>
      </c>
      <c r="G39" s="59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7</v>
      </c>
      <c r="M39" s="19" t="str">
        <f t="shared" si="57"/>
        <v>4</v>
      </c>
      <c r="N39" s="19" t="str">
        <f t="shared" si="58"/>
        <v>5</v>
      </c>
      <c r="O39" s="19" t="str">
        <f t="shared" si="59"/>
        <v>1</v>
      </c>
      <c r="P39" s="19" t="str">
        <f t="shared" si="60"/>
        <v>2</v>
      </c>
      <c r="Q39" s="19" t="str">
        <f t="shared" si="61"/>
        <v>1</v>
      </c>
      <c r="R39" s="36" t="str">
        <f t="shared" si="62"/>
        <v>0</v>
      </c>
      <c r="S39" s="59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3.0</v>
      </c>
      <c r="D40" s="19" t="s">
        <v>31</v>
      </c>
      <c r="E40" s="23">
        <v>1.0</v>
      </c>
      <c r="F40" s="34" t="s">
        <v>106</v>
      </c>
      <c r="G40" s="59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-10</v>
      </c>
      <c r="N40" s="19" t="str">
        <f t="shared" si="58"/>
        <v>1</v>
      </c>
      <c r="O40" s="19" t="str">
        <f t="shared" si="59"/>
        <v>11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59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2.0</v>
      </c>
      <c r="D41" s="19" t="s">
        <v>31</v>
      </c>
      <c r="E41" s="23">
        <v>2.0</v>
      </c>
      <c r="F41" s="34" t="s">
        <v>105</v>
      </c>
      <c r="G41" s="59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5</v>
      </c>
      <c r="M41" s="38" t="str">
        <f t="shared" si="57"/>
        <v>2</v>
      </c>
      <c r="N41" s="38" t="str">
        <f t="shared" si="58"/>
        <v>6</v>
      </c>
      <c r="O41" s="38" t="str">
        <f t="shared" si="59"/>
        <v>4</v>
      </c>
      <c r="P41" s="38" t="str">
        <f t="shared" si="60"/>
        <v>1</v>
      </c>
      <c r="Q41" s="38" t="str">
        <f t="shared" si="61"/>
        <v>2</v>
      </c>
      <c r="R41" s="39" t="str">
        <f t="shared" si="62"/>
        <v>0</v>
      </c>
      <c r="S41" s="59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0.0</v>
      </c>
      <c r="D42" s="38" t="s">
        <v>31</v>
      </c>
      <c r="E42" s="42">
        <v>3.0</v>
      </c>
      <c r="F42" s="43" t="s">
        <v>107</v>
      </c>
      <c r="G42" s="59"/>
      <c r="H42" s="44">
        <v>46198.0</v>
      </c>
      <c r="I42" s="45">
        <v>0.708333333333333</v>
      </c>
      <c r="J42" s="27"/>
      <c r="K42" s="46"/>
      <c r="S42" s="59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59"/>
      <c r="H44" s="16" t="s">
        <v>28</v>
      </c>
      <c r="I44" s="17" t="s">
        <v>29</v>
      </c>
      <c r="J44" s="18"/>
      <c r="K44" s="59"/>
      <c r="L44" s="59"/>
      <c r="M44" s="59"/>
      <c r="N44" s="59"/>
      <c r="O44" s="59"/>
      <c r="P44" s="59"/>
      <c r="Q44" s="59"/>
      <c r="R44" s="59"/>
      <c r="S44" s="59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2.0</v>
      </c>
      <c r="D45" s="19" t="s">
        <v>31</v>
      </c>
      <c r="E45" s="23">
        <v>2.0</v>
      </c>
      <c r="F45" s="34" t="s">
        <v>123</v>
      </c>
      <c r="G45" s="59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4</v>
      </c>
      <c r="Y45" s="33" t="str">
        <f>IF(AND(ISNUMBER(RESULTADOS!C45),ISNUMBER(RESULTADOS!E45),ISNUMBER(C45),ISNUMBER(E45),C45=RESULTADOS!C45,E45=RESULTADOS!E45),2,0)</f>
        <v>2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2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0.0</v>
      </c>
      <c r="D46" s="19" t="s">
        <v>31</v>
      </c>
      <c r="E46" s="23">
        <v>0.0</v>
      </c>
      <c r="F46" s="34" t="s">
        <v>125</v>
      </c>
      <c r="G46" s="59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7</v>
      </c>
      <c r="M46" s="19" t="str">
        <f t="shared" ref="M46:M49" si="70">N46-O46</f>
        <v>4</v>
      </c>
      <c r="N46" s="19" t="str">
        <f t="shared" ref="N46:N49" si="71">SUM(INDIRECT($AC46),INDIRECT($AD46),INDIRECT($AE46))</f>
        <v>6</v>
      </c>
      <c r="O46" s="19" t="str">
        <f t="shared" ref="O46:O49" si="72">SUM(INDIRECT($AF46),INDIRECT($AG46),INDIRECT($AH46))</f>
        <v>2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2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1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0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0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2.0</v>
      </c>
      <c r="D47" s="19" t="s">
        <v>31</v>
      </c>
      <c r="E47" s="23">
        <v>0.0</v>
      </c>
      <c r="F47" s="34" t="s">
        <v>124</v>
      </c>
      <c r="G47" s="59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7</v>
      </c>
      <c r="M47" s="19" t="str">
        <f t="shared" si="70"/>
        <v>3</v>
      </c>
      <c r="N47" s="19" t="str">
        <f t="shared" si="71"/>
        <v>6</v>
      </c>
      <c r="O47" s="19" t="str">
        <f t="shared" si="72"/>
        <v>3</v>
      </c>
      <c r="P47" s="19" t="str">
        <f t="shared" si="73"/>
        <v>2</v>
      </c>
      <c r="Q47" s="19" t="str">
        <f t="shared" si="74"/>
        <v>1</v>
      </c>
      <c r="R47" s="36" t="str">
        <f t="shared" si="75"/>
        <v>0</v>
      </c>
      <c r="S47" s="59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0.0</v>
      </c>
      <c r="D48" s="19" t="s">
        <v>31</v>
      </c>
      <c r="E48" s="23">
        <v>1.0</v>
      </c>
      <c r="F48" s="34" t="s">
        <v>123</v>
      </c>
      <c r="G48" s="59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1</v>
      </c>
      <c r="M48" s="19" t="str">
        <f t="shared" si="70"/>
        <v>-4</v>
      </c>
      <c r="N48" s="19" t="str">
        <f t="shared" si="71"/>
        <v>1</v>
      </c>
      <c r="O48" s="19" t="str">
        <f t="shared" si="72"/>
        <v>5</v>
      </c>
      <c r="P48" s="19" t="str">
        <f t="shared" si="73"/>
        <v>0</v>
      </c>
      <c r="Q48" s="19" t="str">
        <f t="shared" si="74"/>
        <v>1</v>
      </c>
      <c r="R48" s="36" t="str">
        <f t="shared" si="75"/>
        <v>2</v>
      </c>
      <c r="S48" s="59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0.0</v>
      </c>
      <c r="D49" s="19" t="s">
        <v>31</v>
      </c>
      <c r="E49" s="23">
        <v>2.0</v>
      </c>
      <c r="F49" s="34" t="s">
        <v>122</v>
      </c>
      <c r="G49" s="59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1</v>
      </c>
      <c r="M49" s="38" t="str">
        <f t="shared" si="70"/>
        <v>-3</v>
      </c>
      <c r="N49" s="38" t="str">
        <f t="shared" si="71"/>
        <v>0</v>
      </c>
      <c r="O49" s="38" t="str">
        <f t="shared" si="72"/>
        <v>3</v>
      </c>
      <c r="P49" s="38" t="str">
        <f t="shared" si="73"/>
        <v>0</v>
      </c>
      <c r="Q49" s="38" t="str">
        <f t="shared" si="74"/>
        <v>1</v>
      </c>
      <c r="R49" s="39" t="str">
        <f t="shared" si="75"/>
        <v>2</v>
      </c>
      <c r="S49" s="59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3.0</v>
      </c>
      <c r="D50" s="38" t="s">
        <v>31</v>
      </c>
      <c r="E50" s="42">
        <v>1.0</v>
      </c>
      <c r="F50" s="43" t="s">
        <v>124</v>
      </c>
      <c r="G50" s="59"/>
      <c r="H50" s="44">
        <v>46198.0</v>
      </c>
      <c r="I50" s="45">
        <v>0.833333333333333</v>
      </c>
      <c r="J50" s="27"/>
      <c r="K50" s="46"/>
      <c r="S50" s="59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59"/>
      <c r="H52" s="16" t="s">
        <v>28</v>
      </c>
      <c r="I52" s="17" t="s">
        <v>29</v>
      </c>
      <c r="J52" s="18"/>
      <c r="K52" s="59"/>
      <c r="L52" s="59"/>
      <c r="M52" s="59"/>
      <c r="N52" s="59"/>
      <c r="O52" s="59"/>
      <c r="P52" s="59"/>
      <c r="Q52" s="59"/>
      <c r="R52" s="59"/>
      <c r="S52" s="59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2.0</v>
      </c>
      <c r="D53" s="19" t="s">
        <v>31</v>
      </c>
      <c r="E53" s="23">
        <v>0.0</v>
      </c>
      <c r="F53" s="34" t="s">
        <v>140</v>
      </c>
      <c r="G53" s="59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2.0</v>
      </c>
      <c r="D54" s="19" t="s">
        <v>31</v>
      </c>
      <c r="E54" s="23">
        <v>0.0</v>
      </c>
      <c r="F54" s="34" t="s">
        <v>142</v>
      </c>
      <c r="G54" s="59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7</v>
      </c>
      <c r="M54" s="19" t="str">
        <f t="shared" ref="M54:M57" si="83">N54-O54</f>
        <v>6</v>
      </c>
      <c r="N54" s="19" t="str">
        <f t="shared" ref="N54:N57" si="84">SUM(INDIRECT($AC54),INDIRECT($AD54),INDIRECT($AE54))</f>
        <v>7</v>
      </c>
      <c r="O54" s="19" t="str">
        <f t="shared" ref="O54:O57" si="85">SUM(INDIRECT($AF54),INDIRECT($AG54),INDIRECT($AH54))</f>
        <v>1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2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1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1.0</v>
      </c>
      <c r="D55" s="19" t="s">
        <v>31</v>
      </c>
      <c r="E55" s="23">
        <v>1.0</v>
      </c>
      <c r="F55" s="34" t="s">
        <v>141</v>
      </c>
      <c r="G55" s="59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4</v>
      </c>
      <c r="M55" s="19" t="str">
        <f t="shared" si="83"/>
        <v>0</v>
      </c>
      <c r="N55" s="19" t="str">
        <f t="shared" si="84"/>
        <v>3</v>
      </c>
      <c r="O55" s="19" t="str">
        <f t="shared" si="85"/>
        <v>3</v>
      </c>
      <c r="P55" s="19" t="str">
        <f t="shared" si="86"/>
        <v>1</v>
      </c>
      <c r="Q55" s="19" t="str">
        <f t="shared" si="87"/>
        <v>1</v>
      </c>
      <c r="R55" s="36" t="str">
        <f t="shared" si="88"/>
        <v>1</v>
      </c>
      <c r="S55" s="59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2.0</v>
      </c>
      <c r="F56" s="34" t="s">
        <v>140</v>
      </c>
      <c r="G56" s="59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5</v>
      </c>
      <c r="M56" s="19" t="str">
        <f t="shared" si="83"/>
        <v>2</v>
      </c>
      <c r="N56" s="19" t="str">
        <f t="shared" si="84"/>
        <v>4</v>
      </c>
      <c r="O56" s="19" t="str">
        <f t="shared" si="85"/>
        <v>2</v>
      </c>
      <c r="P56" s="19" t="str">
        <f t="shared" si="86"/>
        <v>1</v>
      </c>
      <c r="Q56" s="19" t="str">
        <f t="shared" si="87"/>
        <v>2</v>
      </c>
      <c r="R56" s="36" t="str">
        <f t="shared" si="88"/>
        <v>0</v>
      </c>
      <c r="S56" s="59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1.0</v>
      </c>
      <c r="D57" s="19" t="s">
        <v>31</v>
      </c>
      <c r="E57" s="23">
        <v>1.0</v>
      </c>
      <c r="F57" s="34" t="s">
        <v>141</v>
      </c>
      <c r="G57" s="59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0</v>
      </c>
      <c r="M57" s="38" t="str">
        <f t="shared" si="83"/>
        <v>-8</v>
      </c>
      <c r="N57" s="38" t="str">
        <f t="shared" si="84"/>
        <v>0</v>
      </c>
      <c r="O57" s="38" t="str">
        <f t="shared" si="85"/>
        <v>8</v>
      </c>
      <c r="P57" s="38" t="str">
        <f t="shared" si="86"/>
        <v>0</v>
      </c>
      <c r="Q57" s="38" t="str">
        <f t="shared" si="87"/>
        <v>0</v>
      </c>
      <c r="R57" s="39" t="str">
        <f t="shared" si="88"/>
        <v>3</v>
      </c>
      <c r="S57" s="59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0.0</v>
      </c>
      <c r="D58" s="38" t="s">
        <v>31</v>
      </c>
      <c r="E58" s="42">
        <v>4.0</v>
      </c>
      <c r="F58" s="43" t="s">
        <v>139</v>
      </c>
      <c r="G58" s="59"/>
      <c r="H58" s="44">
        <v>46200.0</v>
      </c>
      <c r="I58" s="45">
        <v>0.0</v>
      </c>
      <c r="J58" s="27"/>
      <c r="K58" s="46"/>
      <c r="S58" s="59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59"/>
      <c r="H60" s="16" t="s">
        <v>28</v>
      </c>
      <c r="I60" s="17" t="s">
        <v>29</v>
      </c>
      <c r="J60" s="18"/>
      <c r="K60" s="59"/>
      <c r="L60" s="59"/>
      <c r="M60" s="59"/>
      <c r="N60" s="59"/>
      <c r="O60" s="59"/>
      <c r="P60" s="59"/>
      <c r="Q60" s="59"/>
      <c r="R60" s="59"/>
      <c r="S60" s="59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5.0</v>
      </c>
      <c r="D61" s="19" t="s">
        <v>31</v>
      </c>
      <c r="E61" s="23">
        <v>0.0</v>
      </c>
      <c r="F61" s="34" t="s">
        <v>157</v>
      </c>
      <c r="G61" s="59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1.0</v>
      </c>
      <c r="D62" s="19" t="s">
        <v>31</v>
      </c>
      <c r="E62" s="23">
        <v>1.0</v>
      </c>
      <c r="F62" s="34" t="s">
        <v>159</v>
      </c>
      <c r="G62" s="59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2</v>
      </c>
      <c r="M62" s="19" t="str">
        <f t="shared" ref="M62:M65" si="96">N62-O62</f>
        <v>-2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5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0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2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1</v>
      </c>
      <c r="S62" s="31"/>
      <c r="T62" s="32" t="str">
        <f t="shared" si="92"/>
        <v/>
      </c>
      <c r="U62" s="19" t="str">
        <f t="shared" si="93"/>
        <v>4</v>
      </c>
      <c r="Y62" s="33" t="str">
        <f>IF(AND(ISNUMBER(RESULTADOS!C62),ISNUMBER(RESULTADOS!E62),ISNUMBER(C62),ISNUMBER(E62),C62=RESULTADOS!C62,E62=RESULTADOS!E62),2,0)</f>
        <v>2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2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2.0</v>
      </c>
      <c r="D63" s="19" t="s">
        <v>31</v>
      </c>
      <c r="E63" s="23">
        <v>0.0</v>
      </c>
      <c r="F63" s="34" t="s">
        <v>158</v>
      </c>
      <c r="G63" s="59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1</v>
      </c>
      <c r="M63" s="19" t="str">
        <f t="shared" si="96"/>
        <v>-6</v>
      </c>
      <c r="N63" s="19" t="str">
        <f t="shared" si="97"/>
        <v>3</v>
      </c>
      <c r="O63" s="19" t="str">
        <f t="shared" si="98"/>
        <v>9</v>
      </c>
      <c r="P63" s="19" t="str">
        <f t="shared" si="99"/>
        <v>0</v>
      </c>
      <c r="Q63" s="19" t="str">
        <f t="shared" si="100"/>
        <v>1</v>
      </c>
      <c r="R63" s="36" t="str">
        <f t="shared" si="101"/>
        <v>2</v>
      </c>
      <c r="S63" s="59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2.0</v>
      </c>
      <c r="D64" s="19" t="s">
        <v>31</v>
      </c>
      <c r="E64" s="23">
        <v>1.0</v>
      </c>
      <c r="F64" s="34" t="s">
        <v>157</v>
      </c>
      <c r="G64" s="59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9</v>
      </c>
      <c r="N64" s="19" t="str">
        <f t="shared" si="97"/>
        <v>10</v>
      </c>
      <c r="O64" s="19" t="str">
        <f t="shared" si="98"/>
        <v>1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59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2.0</v>
      </c>
      <c r="D65" s="19" t="s">
        <v>31</v>
      </c>
      <c r="E65" s="23">
        <v>2.0</v>
      </c>
      <c r="F65" s="34" t="s">
        <v>158</v>
      </c>
      <c r="G65" s="59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4</v>
      </c>
      <c r="M65" s="38" t="str">
        <f t="shared" si="96"/>
        <v>-1</v>
      </c>
      <c r="N65" s="38" t="str">
        <f t="shared" si="97"/>
        <v>4</v>
      </c>
      <c r="O65" s="38" t="str">
        <f t="shared" si="98"/>
        <v>5</v>
      </c>
      <c r="P65" s="38" t="str">
        <f t="shared" si="99"/>
        <v>1</v>
      </c>
      <c r="Q65" s="38" t="str">
        <f t="shared" si="100"/>
        <v>1</v>
      </c>
      <c r="R65" s="39" t="str">
        <f t="shared" si="101"/>
        <v>1</v>
      </c>
      <c r="S65" s="59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1.0</v>
      </c>
      <c r="D66" s="38" t="s">
        <v>31</v>
      </c>
      <c r="E66" s="42">
        <v>3.0</v>
      </c>
      <c r="F66" s="43" t="s">
        <v>156</v>
      </c>
      <c r="G66" s="59"/>
      <c r="H66" s="44">
        <v>46199.0</v>
      </c>
      <c r="I66" s="45">
        <v>0.875</v>
      </c>
      <c r="J66" s="27"/>
      <c r="K66" s="46"/>
      <c r="S66" s="59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59"/>
      <c r="H68" s="16" t="s">
        <v>28</v>
      </c>
      <c r="I68" s="17" t="s">
        <v>29</v>
      </c>
      <c r="J68" s="18"/>
      <c r="K68" s="59"/>
      <c r="L68" s="59"/>
      <c r="M68" s="59"/>
      <c r="N68" s="59"/>
      <c r="O68" s="59"/>
      <c r="P68" s="59"/>
      <c r="Q68" s="59"/>
      <c r="R68" s="59"/>
      <c r="S68" s="59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2.0</v>
      </c>
      <c r="D69" s="19" t="s">
        <v>31</v>
      </c>
      <c r="E69" s="23">
        <v>1.0</v>
      </c>
      <c r="F69" s="34" t="s">
        <v>174</v>
      </c>
      <c r="G69" s="59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2.0</v>
      </c>
      <c r="F70" s="34" t="s">
        <v>176</v>
      </c>
      <c r="G70" s="59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7</v>
      </c>
      <c r="M70" s="19" t="str">
        <f t="shared" ref="M70:M73" si="109">N70-O70</f>
        <v>4</v>
      </c>
      <c r="N70" s="19" t="str">
        <f t="shared" ref="N70:N73" si="110">SUM(INDIRECT($AC70),INDIRECT($AD70),INDIRECT($AE70))</f>
        <v>6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2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1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3.0</v>
      </c>
      <c r="D71" s="19" t="s">
        <v>31</v>
      </c>
      <c r="E71" s="23">
        <v>0.0</v>
      </c>
      <c r="F71" s="34" t="s">
        <v>175</v>
      </c>
      <c r="G71" s="59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-6</v>
      </c>
      <c r="N71" s="19" t="str">
        <f t="shared" si="110"/>
        <v>1</v>
      </c>
      <c r="O71" s="19" t="str">
        <f t="shared" si="111"/>
        <v>7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59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1.0</v>
      </c>
      <c r="D72" s="19" t="s">
        <v>31</v>
      </c>
      <c r="E72" s="23">
        <v>2.0</v>
      </c>
      <c r="F72" s="34" t="s">
        <v>174</v>
      </c>
      <c r="G72" s="59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4</v>
      </c>
      <c r="M72" s="19" t="str">
        <f t="shared" si="109"/>
        <v>1</v>
      </c>
      <c r="N72" s="19" t="str">
        <f t="shared" si="110"/>
        <v>4</v>
      </c>
      <c r="O72" s="19" t="str">
        <f t="shared" si="111"/>
        <v>3</v>
      </c>
      <c r="P72" s="19" t="str">
        <f t="shared" si="112"/>
        <v>1</v>
      </c>
      <c r="Q72" s="19" t="str">
        <f t="shared" si="113"/>
        <v>1</v>
      </c>
      <c r="R72" s="36" t="str">
        <f t="shared" si="114"/>
        <v>1</v>
      </c>
      <c r="S72" s="59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1.0</v>
      </c>
      <c r="F73" s="34" t="s">
        <v>175</v>
      </c>
      <c r="G73" s="59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6</v>
      </c>
      <c r="M73" s="38" t="str">
        <f t="shared" si="109"/>
        <v>1</v>
      </c>
      <c r="N73" s="38" t="str">
        <f t="shared" si="110"/>
        <v>5</v>
      </c>
      <c r="O73" s="38" t="str">
        <f t="shared" si="111"/>
        <v>4</v>
      </c>
      <c r="P73" s="38" t="str">
        <f t="shared" si="112"/>
        <v>2</v>
      </c>
      <c r="Q73" s="38" t="str">
        <f t="shared" si="113"/>
        <v>0</v>
      </c>
      <c r="R73" s="39" t="str">
        <f t="shared" si="114"/>
        <v>1</v>
      </c>
      <c r="S73" s="59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1.0</v>
      </c>
      <c r="F74" s="43" t="s">
        <v>173</v>
      </c>
      <c r="G74" s="59"/>
      <c r="H74" s="44">
        <v>46199.0</v>
      </c>
      <c r="I74" s="45">
        <v>0.666666666666667</v>
      </c>
      <c r="J74" s="27"/>
      <c r="K74" s="46"/>
      <c r="S74" s="59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59"/>
      <c r="H76" s="16" t="s">
        <v>28</v>
      </c>
      <c r="I76" s="17" t="s">
        <v>29</v>
      </c>
      <c r="J76" s="18"/>
      <c r="K76" s="59"/>
      <c r="L76" s="59"/>
      <c r="M76" s="59"/>
      <c r="N76" s="59"/>
      <c r="O76" s="59"/>
      <c r="P76" s="59"/>
      <c r="Q76" s="59"/>
      <c r="R76" s="59"/>
      <c r="S76" s="59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2.0</v>
      </c>
      <c r="D77" s="19" t="s">
        <v>31</v>
      </c>
      <c r="E77" s="23">
        <v>0.0</v>
      </c>
      <c r="F77" s="34" t="s">
        <v>191</v>
      </c>
      <c r="G77" s="59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1.0</v>
      </c>
      <c r="D78" s="19" t="s">
        <v>31</v>
      </c>
      <c r="E78" s="23">
        <v>0.0</v>
      </c>
      <c r="F78" s="34" t="s">
        <v>193</v>
      </c>
      <c r="G78" s="59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8</v>
      </c>
      <c r="N78" s="19" t="str">
        <f t="shared" ref="N78:N81" si="123">SUM(INDIRECT($AC78),INDIRECT($AD78),INDIRECT($AE78))</f>
        <v>8</v>
      </c>
      <c r="O78" s="19" t="str">
        <f t="shared" ref="O78:O81" si="124">SUM(INDIRECT($AF78),INDIRECT($AG78),INDIRECT($AH78))</f>
        <v>0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1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3.0</v>
      </c>
      <c r="D79" s="19" t="s">
        <v>31</v>
      </c>
      <c r="E79" s="23">
        <v>0.0</v>
      </c>
      <c r="F79" s="34" t="s">
        <v>192</v>
      </c>
      <c r="G79" s="59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6</v>
      </c>
      <c r="M79" s="19" t="str">
        <f t="shared" si="122"/>
        <v>1</v>
      </c>
      <c r="N79" s="19" t="str">
        <f t="shared" si="123"/>
        <v>4</v>
      </c>
      <c r="O79" s="19" t="str">
        <f t="shared" si="124"/>
        <v>3</v>
      </c>
      <c r="P79" s="19" t="str">
        <f t="shared" si="125"/>
        <v>2</v>
      </c>
      <c r="Q79" s="19" t="str">
        <f t="shared" si="126"/>
        <v>0</v>
      </c>
      <c r="R79" s="36" t="str">
        <f t="shared" si="127"/>
        <v>1</v>
      </c>
      <c r="S79" s="59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1.0</v>
      </c>
      <c r="D80" s="19" t="s">
        <v>31</v>
      </c>
      <c r="E80" s="23">
        <v>2.0</v>
      </c>
      <c r="F80" s="34" t="s">
        <v>191</v>
      </c>
      <c r="G80" s="59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-5</v>
      </c>
      <c r="N80" s="19" t="str">
        <f t="shared" si="123"/>
        <v>1</v>
      </c>
      <c r="O80" s="19" t="str">
        <f t="shared" si="124"/>
        <v>6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3</v>
      </c>
      <c r="S80" s="59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3.0</v>
      </c>
      <c r="F81" s="34" t="s">
        <v>190</v>
      </c>
      <c r="G81" s="59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3</v>
      </c>
      <c r="M81" s="38" t="str">
        <f t="shared" si="122"/>
        <v>-4</v>
      </c>
      <c r="N81" s="38" t="str">
        <f t="shared" si="123"/>
        <v>1</v>
      </c>
      <c r="O81" s="38" t="str">
        <f t="shared" si="124"/>
        <v>5</v>
      </c>
      <c r="P81" s="38" t="str">
        <f t="shared" si="125"/>
        <v>1</v>
      </c>
      <c r="Q81" s="38" t="str">
        <f t="shared" si="126"/>
        <v>0</v>
      </c>
      <c r="R81" s="39" t="str">
        <f t="shared" si="127"/>
        <v>2</v>
      </c>
      <c r="S81" s="59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2.0</v>
      </c>
      <c r="D82" s="38" t="s">
        <v>31</v>
      </c>
      <c r="E82" s="42">
        <v>0.0</v>
      </c>
      <c r="F82" s="43" t="s">
        <v>192</v>
      </c>
      <c r="G82" s="59"/>
      <c r="H82" s="44">
        <v>46200.0</v>
      </c>
      <c r="I82" s="45">
        <v>0.958333333333333</v>
      </c>
      <c r="J82" s="27"/>
      <c r="K82" s="46"/>
      <c r="S82" s="59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59"/>
      <c r="H84" s="16" t="s">
        <v>28</v>
      </c>
      <c r="I84" s="17" t="s">
        <v>29</v>
      </c>
      <c r="J84" s="18"/>
      <c r="K84" s="59"/>
      <c r="L84" s="59"/>
      <c r="M84" s="59"/>
      <c r="N84" s="59"/>
      <c r="O84" s="59"/>
      <c r="P84" s="59"/>
      <c r="Q84" s="59"/>
      <c r="R84" s="59"/>
      <c r="S84" s="59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3.0</v>
      </c>
      <c r="D85" s="19" t="s">
        <v>31</v>
      </c>
      <c r="E85" s="23">
        <v>1.0</v>
      </c>
      <c r="F85" s="34" t="s">
        <v>208</v>
      </c>
      <c r="G85" s="59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1.0</v>
      </c>
      <c r="D86" s="19" t="s">
        <v>31</v>
      </c>
      <c r="E86" s="23">
        <v>2.0</v>
      </c>
      <c r="F86" s="34" t="s">
        <v>210</v>
      </c>
      <c r="G86" s="59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7</v>
      </c>
      <c r="M86" s="19" t="str">
        <f t="shared" ref="M86:M89" si="135">N86-O86</f>
        <v>4</v>
      </c>
      <c r="N86" s="19" t="str">
        <f t="shared" ref="N86:N89" si="136">SUM(INDIRECT($AC86),INDIRECT($AD86),INDIRECT($AE86))</f>
        <v>6</v>
      </c>
      <c r="O86" s="19" t="str">
        <f t="shared" ref="O86:O89" si="137">SUM(INDIRECT($AF86),INDIRECT($AG86),INDIRECT($AH86))</f>
        <v>2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1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0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4.0</v>
      </c>
      <c r="D87" s="19" t="s">
        <v>31</v>
      </c>
      <c r="E87" s="23">
        <v>1.0</v>
      </c>
      <c r="F87" s="34" t="s">
        <v>209</v>
      </c>
      <c r="G87" s="59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7</v>
      </c>
      <c r="M87" s="19" t="str">
        <f t="shared" si="135"/>
        <v>5</v>
      </c>
      <c r="N87" s="19" t="str">
        <f t="shared" si="136"/>
        <v>8</v>
      </c>
      <c r="O87" s="19" t="str">
        <f t="shared" si="137"/>
        <v>3</v>
      </c>
      <c r="P87" s="19" t="str">
        <f t="shared" si="138"/>
        <v>2</v>
      </c>
      <c r="Q87" s="19" t="str">
        <f t="shared" si="139"/>
        <v>1</v>
      </c>
      <c r="R87" s="36" t="str">
        <f t="shared" si="140"/>
        <v>0</v>
      </c>
      <c r="S87" s="59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3.0</v>
      </c>
      <c r="D88" s="19" t="s">
        <v>31</v>
      </c>
      <c r="E88" s="23">
        <v>0.0</v>
      </c>
      <c r="F88" s="34" t="s">
        <v>208</v>
      </c>
      <c r="G88" s="59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1</v>
      </c>
      <c r="M88" s="19" t="str">
        <f t="shared" si="135"/>
        <v>-5</v>
      </c>
      <c r="N88" s="19" t="str">
        <f t="shared" si="136"/>
        <v>3</v>
      </c>
      <c r="O88" s="19" t="str">
        <f t="shared" si="137"/>
        <v>8</v>
      </c>
      <c r="P88" s="19" t="str">
        <f t="shared" si="138"/>
        <v>0</v>
      </c>
      <c r="Q88" s="19" t="str">
        <f t="shared" si="139"/>
        <v>1</v>
      </c>
      <c r="R88" s="36" t="str">
        <f t="shared" si="140"/>
        <v>2</v>
      </c>
      <c r="S88" s="59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2.0</v>
      </c>
      <c r="D89" s="19" t="s">
        <v>31</v>
      </c>
      <c r="E89" s="23">
        <v>2.0</v>
      </c>
      <c r="F89" s="34" t="s">
        <v>209</v>
      </c>
      <c r="G89" s="59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1</v>
      </c>
      <c r="M89" s="38" t="str">
        <f t="shared" si="135"/>
        <v>-4</v>
      </c>
      <c r="N89" s="38" t="str">
        <f t="shared" si="136"/>
        <v>4</v>
      </c>
      <c r="O89" s="38" t="str">
        <f t="shared" si="137"/>
        <v>8</v>
      </c>
      <c r="P89" s="38" t="str">
        <f t="shared" si="138"/>
        <v>0</v>
      </c>
      <c r="Q89" s="38" t="str">
        <f t="shared" si="139"/>
        <v>1</v>
      </c>
      <c r="R89" s="39" t="str">
        <f t="shared" si="140"/>
        <v>2</v>
      </c>
      <c r="S89" s="59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1.0</v>
      </c>
      <c r="D90" s="38" t="s">
        <v>31</v>
      </c>
      <c r="E90" s="42">
        <v>1.0</v>
      </c>
      <c r="F90" s="43" t="s">
        <v>207</v>
      </c>
      <c r="G90" s="59"/>
      <c r="H90" s="44">
        <v>46200.0</v>
      </c>
      <c r="I90" s="45">
        <v>0.854166666666667</v>
      </c>
      <c r="J90" s="27"/>
      <c r="K90" s="46"/>
      <c r="S90" s="59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59"/>
      <c r="H92" s="16" t="s">
        <v>28</v>
      </c>
      <c r="I92" s="17" t="s">
        <v>29</v>
      </c>
      <c r="J92" s="18"/>
      <c r="K92" s="59"/>
      <c r="L92" s="59"/>
      <c r="M92" s="59"/>
      <c r="N92" s="59"/>
      <c r="O92" s="59"/>
      <c r="P92" s="59"/>
      <c r="Q92" s="59"/>
      <c r="R92" s="59"/>
      <c r="S92" s="59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2.0</v>
      </c>
      <c r="D93" s="19" t="s">
        <v>31</v>
      </c>
      <c r="E93" s="23">
        <v>0.0</v>
      </c>
      <c r="F93" s="34" t="s">
        <v>225</v>
      </c>
      <c r="G93" s="59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2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1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1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3.0</v>
      </c>
      <c r="D94" s="19" t="s">
        <v>31</v>
      </c>
      <c r="E94" s="23">
        <v>1.0</v>
      </c>
      <c r="F94" s="34" t="s">
        <v>227</v>
      </c>
      <c r="G94" s="59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6</v>
      </c>
      <c r="M94" s="19" t="str">
        <f t="shared" ref="M94:M97" si="148">N94-O94</f>
        <v>2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3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0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1</v>
      </c>
      <c r="S94" s="31"/>
      <c r="T94" s="32" t="str">
        <f t="shared" si="144"/>
        <v/>
      </c>
      <c r="U94" s="19" t="str">
        <f t="shared" si="145"/>
        <v>1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0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3.0</v>
      </c>
      <c r="D95" s="19" t="s">
        <v>31</v>
      </c>
      <c r="E95" s="23">
        <v>2.0</v>
      </c>
      <c r="F95" s="34" t="s">
        <v>226</v>
      </c>
      <c r="G95" s="59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-1</v>
      </c>
      <c r="N95" s="19" t="str">
        <f t="shared" si="149"/>
        <v>5</v>
      </c>
      <c r="O95" s="19" t="str">
        <f t="shared" si="150"/>
        <v>6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59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1.0</v>
      </c>
      <c r="D96" s="19" t="s">
        <v>31</v>
      </c>
      <c r="E96" s="23">
        <v>3.0</v>
      </c>
      <c r="F96" s="34" t="s">
        <v>225</v>
      </c>
      <c r="G96" s="59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9</v>
      </c>
      <c r="M96" s="19" t="str">
        <f t="shared" si="148"/>
        <v>7</v>
      </c>
      <c r="N96" s="19" t="str">
        <f t="shared" si="149"/>
        <v>9</v>
      </c>
      <c r="O96" s="19" t="str">
        <f t="shared" si="150"/>
        <v>2</v>
      </c>
      <c r="P96" s="19" t="str">
        <f t="shared" si="151"/>
        <v>3</v>
      </c>
      <c r="Q96" s="19" t="str">
        <f t="shared" si="152"/>
        <v>0</v>
      </c>
      <c r="R96" s="36" t="str">
        <f t="shared" si="153"/>
        <v>0</v>
      </c>
      <c r="S96" s="59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2.0</v>
      </c>
      <c r="D97" s="19" t="s">
        <v>31</v>
      </c>
      <c r="E97" s="23">
        <v>0.0</v>
      </c>
      <c r="F97" s="34" t="s">
        <v>226</v>
      </c>
      <c r="G97" s="59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-8</v>
      </c>
      <c r="N97" s="38" t="str">
        <f t="shared" si="149"/>
        <v>2</v>
      </c>
      <c r="O97" s="38" t="str">
        <f t="shared" si="150"/>
        <v>10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59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4.0</v>
      </c>
      <c r="F98" s="43" t="s">
        <v>224</v>
      </c>
      <c r="G98" s="59"/>
      <c r="H98" s="44">
        <v>46200.0</v>
      </c>
      <c r="I98" s="45">
        <v>0.75</v>
      </c>
      <c r="J98" s="27"/>
      <c r="K98" s="46"/>
      <c r="S98" s="59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43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6"/>
      <c r="Z1" s="7"/>
      <c r="AA1" s="7"/>
      <c r="AB1" s="7"/>
      <c r="AC1" s="7"/>
      <c r="AD1" s="7"/>
      <c r="AE1" s="7"/>
      <c r="AF1" s="7"/>
      <c r="AG1" s="7"/>
      <c r="AH1" s="7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B2" s="8" t="s">
        <v>15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20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3.5" customHeight="1"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3.5" customHeight="1">
      <c r="B5" s="21" t="s">
        <v>30</v>
      </c>
      <c r="C5" s="22">
        <v>2.0</v>
      </c>
      <c r="D5" s="19" t="s">
        <v>31</v>
      </c>
      <c r="E5" s="23">
        <v>0.0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4</v>
      </c>
      <c r="Y5" s="33" t="str">
        <f>IF(AND(ISNUMBER(RESULTADOS!C5),ISNUMBER(RESULTADOS!E5),ISNUMBER(C5),ISNUMBER(E5),C5=RESULTADOS!C5,E5=RESULTADOS!E5),2,0)</f>
        <v>2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</row>
    <row r="6" ht="13.5" customHeight="1">
      <c r="B6" s="21" t="s">
        <v>40</v>
      </c>
      <c r="C6" s="22">
        <v>2.0</v>
      </c>
      <c r="D6" s="19" t="s">
        <v>31</v>
      </c>
      <c r="E6" s="23">
        <v>2.0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4</v>
      </c>
      <c r="M6" s="19" t="str">
        <f t="shared" ref="M6:M9" si="5">N6-O6</f>
        <v>0</v>
      </c>
      <c r="N6" s="19" t="str">
        <f t="shared" ref="N6:N9" si="6">SUM(INDIRECT($AC6),INDIRECT($AD6),INDIRECT($AE6))</f>
        <v>4</v>
      </c>
      <c r="O6" s="19" t="str">
        <f t="shared" ref="O6:O9" si="7">SUM(INDIRECT($AF6),INDIRECT($AG6),INDIRECT($AH6))</f>
        <v>4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1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</row>
    <row r="7" ht="12.75" customHeight="1">
      <c r="B7" s="21" t="s">
        <v>41</v>
      </c>
      <c r="C7" s="22">
        <v>2.0</v>
      </c>
      <c r="D7" s="19" t="s">
        <v>31</v>
      </c>
      <c r="E7" s="23">
        <v>0.0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9</v>
      </c>
      <c r="M7" s="19" t="str">
        <f t="shared" si="5"/>
        <v>4</v>
      </c>
      <c r="N7" s="19" t="str">
        <f t="shared" si="6"/>
        <v>5</v>
      </c>
      <c r="O7" s="19" t="str">
        <f t="shared" si="7"/>
        <v>1</v>
      </c>
      <c r="P7" s="19" t="str">
        <f t="shared" si="8"/>
        <v>3</v>
      </c>
      <c r="Q7" s="19" t="str">
        <f t="shared" si="9"/>
        <v>0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</row>
    <row r="8" ht="12.75" customHeight="1">
      <c r="B8" s="21" t="s">
        <v>30</v>
      </c>
      <c r="C8" s="22">
        <v>2.0</v>
      </c>
      <c r="D8" s="19" t="s">
        <v>31</v>
      </c>
      <c r="E8" s="23">
        <v>1.0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4</v>
      </c>
      <c r="M8" s="19" t="str">
        <f t="shared" si="5"/>
        <v>1</v>
      </c>
      <c r="N8" s="19" t="str">
        <f t="shared" si="6"/>
        <v>4</v>
      </c>
      <c r="O8" s="19" t="str">
        <f t="shared" si="7"/>
        <v>3</v>
      </c>
      <c r="P8" s="19" t="str">
        <f t="shared" si="8"/>
        <v>1</v>
      </c>
      <c r="Q8" s="19" t="str">
        <f t="shared" si="9"/>
        <v>1</v>
      </c>
      <c r="R8" s="36" t="str">
        <f t="shared" si="10"/>
        <v>1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</row>
    <row r="9" ht="12.75" customHeight="1">
      <c r="B9" s="21" t="s">
        <v>32</v>
      </c>
      <c r="C9" s="22">
        <v>0.0</v>
      </c>
      <c r="D9" s="19" t="s">
        <v>31</v>
      </c>
      <c r="E9" s="23">
        <v>1.0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0</v>
      </c>
      <c r="M9" s="38" t="str">
        <f t="shared" si="5"/>
        <v>-5</v>
      </c>
      <c r="N9" s="38" t="str">
        <f t="shared" si="6"/>
        <v>0</v>
      </c>
      <c r="O9" s="38" t="str">
        <f t="shared" si="7"/>
        <v>5</v>
      </c>
      <c r="P9" s="38" t="str">
        <f t="shared" si="8"/>
        <v>0</v>
      </c>
      <c r="Q9" s="38" t="str">
        <f t="shared" si="9"/>
        <v>0</v>
      </c>
      <c r="R9" s="39" t="str">
        <f t="shared" si="10"/>
        <v>3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</row>
    <row r="10" ht="13.5" customHeight="1">
      <c r="B10" s="40" t="s">
        <v>41</v>
      </c>
      <c r="C10" s="41">
        <v>0.0</v>
      </c>
      <c r="D10" s="38" t="s">
        <v>31</v>
      </c>
      <c r="E10" s="42">
        <v>1.0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</row>
    <row r="11" ht="13.5" customHeight="1"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</row>
    <row r="12" ht="13.5" customHeight="1"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</row>
    <row r="13" ht="13.5" customHeight="1">
      <c r="B13" s="21" t="s">
        <v>55</v>
      </c>
      <c r="C13" s="22">
        <v>2.0</v>
      </c>
      <c r="D13" s="19" t="s">
        <v>31</v>
      </c>
      <c r="E13" s="23">
        <v>0.0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</row>
    <row r="14" ht="13.5" customHeight="1">
      <c r="B14" s="21" t="s">
        <v>57</v>
      </c>
      <c r="C14" s="22">
        <v>0.0</v>
      </c>
      <c r="D14" s="19" t="s">
        <v>31</v>
      </c>
      <c r="E14" s="23">
        <v>2.0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3</v>
      </c>
      <c r="M14" s="19" t="str">
        <f t="shared" ref="M14:M17" si="18">N14-O14</f>
        <v>-2</v>
      </c>
      <c r="N14" s="19" t="str">
        <f t="shared" ref="N14:N17" si="19">SUM(INDIRECT($AC14),INDIRECT($AD14),INDIRECT($AE14))</f>
        <v>2</v>
      </c>
      <c r="O14" s="19" t="str">
        <f t="shared" ref="O14:O17" si="20">SUM(INDIRECT($AF14),INDIRECT($AG14),INDIRECT($AH14))</f>
        <v>4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0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2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</row>
    <row r="15" ht="12.75" customHeight="1">
      <c r="B15" s="21" t="s">
        <v>58</v>
      </c>
      <c r="C15" s="22">
        <v>2.0</v>
      </c>
      <c r="D15" s="19" t="s">
        <v>31</v>
      </c>
      <c r="E15" s="23">
        <v>0.0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6</v>
      </c>
      <c r="M15" s="19" t="str">
        <f t="shared" si="18"/>
        <v>3</v>
      </c>
      <c r="N15" s="19" t="str">
        <f t="shared" si="19"/>
        <v>4</v>
      </c>
      <c r="O15" s="19" t="str">
        <f t="shared" si="20"/>
        <v>1</v>
      </c>
      <c r="P15" s="19" t="str">
        <f t="shared" si="21"/>
        <v>2</v>
      </c>
      <c r="Q15" s="19" t="str">
        <f t="shared" si="22"/>
        <v>0</v>
      </c>
      <c r="R15" s="36" t="str">
        <f t="shared" si="23"/>
        <v>1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</row>
    <row r="16" ht="12.75" customHeight="1">
      <c r="B16" s="21" t="s">
        <v>55</v>
      </c>
      <c r="C16" s="22">
        <v>2.0</v>
      </c>
      <c r="D16" s="19" t="s">
        <v>31</v>
      </c>
      <c r="E16" s="23">
        <v>0.0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-6</v>
      </c>
      <c r="N16" s="19" t="str">
        <f t="shared" si="19"/>
        <v>0</v>
      </c>
      <c r="O16" s="19" t="str">
        <f t="shared" si="20"/>
        <v>6</v>
      </c>
      <c r="P16" s="19" t="str">
        <f t="shared" si="21"/>
        <v>0</v>
      </c>
      <c r="Q16" s="19" t="str">
        <f t="shared" si="22"/>
        <v>0</v>
      </c>
      <c r="R16" s="36" t="str">
        <f t="shared" si="23"/>
        <v>3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</row>
    <row r="17" ht="12.75" customHeight="1">
      <c r="B17" s="21" t="s">
        <v>58</v>
      </c>
      <c r="C17" s="22">
        <v>1.0</v>
      </c>
      <c r="D17" s="19" t="s">
        <v>31</v>
      </c>
      <c r="E17" s="23">
        <v>0.0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9</v>
      </c>
      <c r="M17" s="38" t="str">
        <f t="shared" si="18"/>
        <v>5</v>
      </c>
      <c r="N17" s="38" t="str">
        <f t="shared" si="19"/>
        <v>5</v>
      </c>
      <c r="O17" s="38" t="str">
        <f t="shared" si="20"/>
        <v>0</v>
      </c>
      <c r="P17" s="38" t="str">
        <f t="shared" si="21"/>
        <v>3</v>
      </c>
      <c r="Q17" s="38" t="str">
        <f t="shared" si="22"/>
        <v>0</v>
      </c>
      <c r="R17" s="39" t="str">
        <f t="shared" si="23"/>
        <v>0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</row>
    <row r="18" ht="13.5" customHeight="1">
      <c r="B18" s="40" t="s">
        <v>56</v>
      </c>
      <c r="C18" s="41">
        <v>2.0</v>
      </c>
      <c r="D18" s="38" t="s">
        <v>31</v>
      </c>
      <c r="E18" s="42">
        <v>0.0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</row>
    <row r="19" ht="13.5" customHeight="1"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</row>
    <row r="20" ht="13.5" customHeight="1"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</row>
    <row r="21" ht="13.5" customHeight="1">
      <c r="B21" s="21" t="s">
        <v>72</v>
      </c>
      <c r="C21" s="22">
        <v>2.0</v>
      </c>
      <c r="D21" s="19" t="s">
        <v>31</v>
      </c>
      <c r="E21" s="23">
        <v>1.0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</row>
    <row r="22" ht="13.5" customHeight="1">
      <c r="B22" s="21" t="s">
        <v>74</v>
      </c>
      <c r="C22" s="22">
        <v>0.0</v>
      </c>
      <c r="D22" s="19" t="s">
        <v>31</v>
      </c>
      <c r="E22" s="23">
        <v>3.0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6</v>
      </c>
      <c r="M22" s="19" t="str">
        <f t="shared" ref="M22:M25" si="31">N22-O22</f>
        <v>4</v>
      </c>
      <c r="N22" s="19" t="str">
        <f t="shared" ref="N22:N25" si="32">SUM(INDIRECT($AC22),INDIRECT($AD22),INDIRECT($AE22))</f>
        <v>7</v>
      </c>
      <c r="O22" s="19" t="str">
        <f t="shared" ref="O22:O25" si="33">SUM(INDIRECT($AF22),INDIRECT($AG22),INDIRECT($AH22))</f>
        <v>3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2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1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1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</row>
    <row r="23" ht="12.75" customHeight="1">
      <c r="B23" s="21" t="s">
        <v>75</v>
      </c>
      <c r="C23" s="22">
        <v>1.0</v>
      </c>
      <c r="D23" s="19" t="s">
        <v>31</v>
      </c>
      <c r="E23" s="23">
        <v>0.0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9</v>
      </c>
      <c r="M23" s="19" t="str">
        <f t="shared" si="31"/>
        <v>5</v>
      </c>
      <c r="N23" s="19" t="str">
        <f t="shared" si="32"/>
        <v>6</v>
      </c>
      <c r="O23" s="19" t="str">
        <f t="shared" si="33"/>
        <v>1</v>
      </c>
      <c r="P23" s="19" t="str">
        <f t="shared" si="34"/>
        <v>3</v>
      </c>
      <c r="Q23" s="19" t="str">
        <f t="shared" si="35"/>
        <v>0</v>
      </c>
      <c r="R23" s="36" t="str">
        <f t="shared" si="36"/>
        <v>0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</row>
    <row r="24" ht="12.75" customHeight="1">
      <c r="B24" s="21" t="s">
        <v>72</v>
      </c>
      <c r="C24" s="22">
        <v>4.0</v>
      </c>
      <c r="D24" s="19" t="s">
        <v>31</v>
      </c>
      <c r="E24" s="23">
        <v>0.0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-10</v>
      </c>
      <c r="N24" s="19" t="str">
        <f t="shared" si="32"/>
        <v>0</v>
      </c>
      <c r="O24" s="19" t="str">
        <f t="shared" si="33"/>
        <v>10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</row>
    <row r="25" ht="12.75" customHeight="1">
      <c r="B25" s="21" t="s">
        <v>73</v>
      </c>
      <c r="C25" s="22">
        <v>3.0</v>
      </c>
      <c r="D25" s="19" t="s">
        <v>31</v>
      </c>
      <c r="E25" s="23">
        <v>0.0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3</v>
      </c>
      <c r="M25" s="38" t="str">
        <f t="shared" si="31"/>
        <v>1</v>
      </c>
      <c r="N25" s="38" t="str">
        <f t="shared" si="32"/>
        <v>4</v>
      </c>
      <c r="O25" s="38" t="str">
        <f t="shared" si="33"/>
        <v>3</v>
      </c>
      <c r="P25" s="38" t="str">
        <f t="shared" si="34"/>
        <v>1</v>
      </c>
      <c r="Q25" s="38" t="str">
        <f t="shared" si="35"/>
        <v>0</v>
      </c>
      <c r="R25" s="39" t="str">
        <f t="shared" si="36"/>
        <v>2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</row>
    <row r="26" ht="13.5" customHeight="1">
      <c r="B26" s="40" t="s">
        <v>75</v>
      </c>
      <c r="C26" s="41">
        <v>2.0</v>
      </c>
      <c r="D26" s="38" t="s">
        <v>31</v>
      </c>
      <c r="E26" s="42">
        <v>1.0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</row>
    <row r="27" ht="13.5" customHeight="1"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</row>
    <row r="28" ht="13.5" customHeight="1"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</row>
    <row r="29" ht="13.5" customHeight="1">
      <c r="B29" s="21" t="s">
        <v>89</v>
      </c>
      <c r="C29" s="22">
        <v>2.0</v>
      </c>
      <c r="D29" s="19" t="s">
        <v>31</v>
      </c>
      <c r="E29" s="23">
        <v>2.0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</row>
    <row r="30" ht="13.5" customHeight="1">
      <c r="B30" s="21" t="s">
        <v>91</v>
      </c>
      <c r="C30" s="22">
        <v>2.0</v>
      </c>
      <c r="D30" s="19" t="s">
        <v>31</v>
      </c>
      <c r="E30" s="23">
        <v>0.0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3</v>
      </c>
      <c r="M30" s="19" t="str">
        <f t="shared" ref="M30:M33" si="44">N30-O30</f>
        <v>-1</v>
      </c>
      <c r="N30" s="19" t="str">
        <f t="shared" ref="N30:N33" si="45">SUM(INDIRECT($AC30),INDIRECT($AD30),INDIRECT($AE30))</f>
        <v>2</v>
      </c>
      <c r="O30" s="19" t="str">
        <f t="shared" ref="O30:O33" si="46">SUM(INDIRECT($AF30),INDIRECT($AG30),INDIRECT($AH30))</f>
        <v>3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1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2</v>
      </c>
      <c r="S30" s="31"/>
      <c r="T30" s="32" t="str">
        <f t="shared" si="40"/>
        <v/>
      </c>
      <c r="U30" s="19" t="str">
        <f t="shared" si="41"/>
        <v>4</v>
      </c>
      <c r="Y30" s="33" t="str">
        <f>IF(AND(ISNUMBER(RESULTADOS!C30),ISNUMBER(RESULTADOS!E30),ISNUMBER(C30),ISNUMBER(E30),C30=RESULTADOS!C30,E30=RESULTADOS!E30),2,0)</f>
        <v>2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1</v>
      </c>
      <c r="AA30" s="33" t="str">
        <f>IF(AND(ISNUMBER(RESULTADOS!C30),ISNUMBER(RESULTADOS!E30),ISNUMBER(C30),ISNUMBER(E30),AND(Z30=1,OR(C30=RESULTADOS!C30,E30=RESULTADOS!E30))),1,0)</f>
        <v>1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</row>
    <row r="31" ht="12.75" customHeight="1">
      <c r="B31" s="21" t="s">
        <v>89</v>
      </c>
      <c r="C31" s="22">
        <v>2.0</v>
      </c>
      <c r="D31" s="19" t="s">
        <v>31</v>
      </c>
      <c r="E31" s="23">
        <v>0.0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5</v>
      </c>
      <c r="M31" s="19" t="str">
        <f t="shared" si="44"/>
        <v>2</v>
      </c>
      <c r="N31" s="19" t="str">
        <f t="shared" si="45"/>
        <v>5</v>
      </c>
      <c r="O31" s="19" t="str">
        <f t="shared" si="46"/>
        <v>3</v>
      </c>
      <c r="P31" s="19" t="str">
        <f t="shared" si="47"/>
        <v>1</v>
      </c>
      <c r="Q31" s="19" t="str">
        <f t="shared" si="48"/>
        <v>2</v>
      </c>
      <c r="R31" s="36" t="str">
        <f t="shared" si="49"/>
        <v>0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</row>
    <row r="32" ht="12.75" customHeight="1">
      <c r="B32" s="21" t="s">
        <v>92</v>
      </c>
      <c r="C32" s="22">
        <v>1.0</v>
      </c>
      <c r="D32" s="19" t="s">
        <v>31</v>
      </c>
      <c r="E32" s="23">
        <v>1.0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2</v>
      </c>
      <c r="M32" s="19" t="str">
        <f t="shared" si="44"/>
        <v>-1</v>
      </c>
      <c r="N32" s="19" t="str">
        <f t="shared" si="45"/>
        <v>3</v>
      </c>
      <c r="O32" s="19" t="str">
        <f t="shared" si="46"/>
        <v>4</v>
      </c>
      <c r="P32" s="19" t="str">
        <f t="shared" si="47"/>
        <v>0</v>
      </c>
      <c r="Q32" s="19" t="str">
        <f t="shared" si="48"/>
        <v>2</v>
      </c>
      <c r="R32" s="36" t="str">
        <f t="shared" si="49"/>
        <v>1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</row>
    <row r="33" ht="12.75" customHeight="1">
      <c r="B33" s="21" t="s">
        <v>92</v>
      </c>
      <c r="C33" s="22">
        <v>1.0</v>
      </c>
      <c r="D33" s="19" t="s">
        <v>31</v>
      </c>
      <c r="E33" s="23">
        <v>1.0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2</v>
      </c>
      <c r="M33" s="38" t="str">
        <f t="shared" si="44"/>
        <v>-2</v>
      </c>
      <c r="N33" s="38" t="str">
        <f t="shared" si="45"/>
        <v>2</v>
      </c>
      <c r="O33" s="38" t="str">
        <f t="shared" si="46"/>
        <v>4</v>
      </c>
      <c r="P33" s="38" t="str">
        <f t="shared" si="47"/>
        <v>0</v>
      </c>
      <c r="Q33" s="38" t="str">
        <f t="shared" si="48"/>
        <v>2</v>
      </c>
      <c r="R33" s="39" t="str">
        <f t="shared" si="49"/>
        <v>1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</row>
    <row r="34" ht="13.5" customHeight="1">
      <c r="B34" s="40" t="s">
        <v>90</v>
      </c>
      <c r="C34" s="41">
        <v>1.0</v>
      </c>
      <c r="D34" s="38" t="s">
        <v>31</v>
      </c>
      <c r="E34" s="42">
        <v>0.0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</row>
    <row r="35" ht="13.5" customHeight="1"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</row>
    <row r="36" ht="13.5" customHeight="1"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</row>
    <row r="37" ht="13.5" customHeight="1">
      <c r="B37" s="21" t="s">
        <v>105</v>
      </c>
      <c r="C37" s="22">
        <v>4.0</v>
      </c>
      <c r="D37" s="19" t="s">
        <v>31</v>
      </c>
      <c r="E37" s="23">
        <v>0.0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</row>
    <row r="38" ht="13.5" customHeight="1">
      <c r="B38" s="21" t="s">
        <v>107</v>
      </c>
      <c r="C38" s="22">
        <v>0.0</v>
      </c>
      <c r="D38" s="19" t="s">
        <v>31</v>
      </c>
      <c r="E38" s="23">
        <v>2.0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9</v>
      </c>
      <c r="M38" s="19" t="str">
        <f t="shared" ref="M38:M41" si="57">N38-O38</f>
        <v>8</v>
      </c>
      <c r="N38" s="19" t="str">
        <f t="shared" ref="N38:N41" si="58">SUM(INDIRECT($AC38),INDIRECT($AD38),INDIRECT($AE38))</f>
        <v>9</v>
      </c>
      <c r="O38" s="19" t="str">
        <f t="shared" ref="O38:O41" si="59">SUM(INDIRECT($AF38),INDIRECT($AG38),INDIRECT($AH38))</f>
        <v>1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3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</row>
    <row r="39" ht="12.75" customHeight="1">
      <c r="B39" s="21" t="s">
        <v>105</v>
      </c>
      <c r="C39" s="22">
        <v>3.0</v>
      </c>
      <c r="D39" s="19" t="s">
        <v>31</v>
      </c>
      <c r="E39" s="23">
        <v>1.0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3</v>
      </c>
      <c r="M39" s="19" t="str">
        <f t="shared" si="57"/>
        <v>-2</v>
      </c>
      <c r="N39" s="19" t="str">
        <f t="shared" si="58"/>
        <v>3</v>
      </c>
      <c r="O39" s="19" t="str">
        <f t="shared" si="59"/>
        <v>5</v>
      </c>
      <c r="P39" s="19" t="str">
        <f t="shared" si="60"/>
        <v>1</v>
      </c>
      <c r="Q39" s="19" t="str">
        <f t="shared" si="61"/>
        <v>0</v>
      </c>
      <c r="R39" s="36" t="str">
        <f t="shared" si="62"/>
        <v>2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</row>
    <row r="40" ht="12.75" customHeight="1">
      <c r="B40" s="21" t="s">
        <v>108</v>
      </c>
      <c r="C40" s="22">
        <v>3.0</v>
      </c>
      <c r="D40" s="19" t="s">
        <v>31</v>
      </c>
      <c r="E40" s="23">
        <v>1.0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-8</v>
      </c>
      <c r="N40" s="19" t="str">
        <f t="shared" si="58"/>
        <v>1</v>
      </c>
      <c r="O40" s="19" t="str">
        <f t="shared" si="59"/>
        <v>9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</row>
    <row r="41" ht="12.75" customHeight="1">
      <c r="B41" s="21" t="s">
        <v>108</v>
      </c>
      <c r="C41" s="22">
        <v>0.0</v>
      </c>
      <c r="D41" s="19" t="s">
        <v>31</v>
      </c>
      <c r="E41" s="23">
        <v>2.0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6</v>
      </c>
      <c r="M41" s="38" t="str">
        <f t="shared" si="57"/>
        <v>2</v>
      </c>
      <c r="N41" s="38" t="str">
        <f t="shared" si="58"/>
        <v>5</v>
      </c>
      <c r="O41" s="38" t="str">
        <f t="shared" si="59"/>
        <v>3</v>
      </c>
      <c r="P41" s="38" t="str">
        <f t="shared" si="60"/>
        <v>2</v>
      </c>
      <c r="Q41" s="38" t="str">
        <f t="shared" si="61"/>
        <v>0</v>
      </c>
      <c r="R41" s="39" t="str">
        <f t="shared" si="62"/>
        <v>1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</row>
    <row r="42" ht="13.5" customHeight="1">
      <c r="B42" s="40" t="s">
        <v>106</v>
      </c>
      <c r="C42" s="41">
        <v>0.0</v>
      </c>
      <c r="D42" s="38" t="s">
        <v>31</v>
      </c>
      <c r="E42" s="42">
        <v>2.0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</row>
    <row r="43" ht="13.5" customHeight="1"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</row>
    <row r="44" ht="13.5" customHeight="1"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</row>
    <row r="45" ht="13.5" customHeight="1">
      <c r="B45" s="21" t="s">
        <v>122</v>
      </c>
      <c r="C45" s="22">
        <v>1.0</v>
      </c>
      <c r="D45" s="19" t="s">
        <v>31</v>
      </c>
      <c r="E45" s="23">
        <v>1.0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2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2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</row>
    <row r="46" ht="13.5" customHeight="1">
      <c r="B46" s="21" t="s">
        <v>124</v>
      </c>
      <c r="C46" s="22">
        <v>1.0</v>
      </c>
      <c r="D46" s="19" t="s">
        <v>31</v>
      </c>
      <c r="E46" s="23">
        <v>0.0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7</v>
      </c>
      <c r="M46" s="19" t="str">
        <f t="shared" ref="M46:M49" si="70">N46-O46</f>
        <v>3</v>
      </c>
      <c r="N46" s="19" t="str">
        <f t="shared" ref="N46:N49" si="71">SUM(INDIRECT($AC46),INDIRECT($AD46),INDIRECT($AE46))</f>
        <v>5</v>
      </c>
      <c r="O46" s="19" t="str">
        <f t="shared" ref="O46:O49" si="72">SUM(INDIRECT($AF46),INDIRECT($AG46),INDIRECT($AH46))</f>
        <v>2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2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1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1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</row>
    <row r="47" ht="12.75" customHeight="1">
      <c r="B47" s="21" t="s">
        <v>122</v>
      </c>
      <c r="C47" s="22">
        <v>2.0</v>
      </c>
      <c r="D47" s="19" t="s">
        <v>31</v>
      </c>
      <c r="E47" s="23">
        <v>1.0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5</v>
      </c>
      <c r="M47" s="19" t="str">
        <f t="shared" si="70"/>
        <v>3</v>
      </c>
      <c r="N47" s="19" t="str">
        <f t="shared" si="71"/>
        <v>6</v>
      </c>
      <c r="O47" s="19" t="str">
        <f t="shared" si="72"/>
        <v>3</v>
      </c>
      <c r="P47" s="19" t="str">
        <f t="shared" si="73"/>
        <v>1</v>
      </c>
      <c r="Q47" s="19" t="str">
        <f t="shared" si="74"/>
        <v>2</v>
      </c>
      <c r="R47" s="36" t="str">
        <f t="shared" si="75"/>
        <v>0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</row>
    <row r="48" ht="12.75" customHeight="1">
      <c r="B48" s="21" t="s">
        <v>125</v>
      </c>
      <c r="C48" s="22">
        <v>0.0</v>
      </c>
      <c r="D48" s="19" t="s">
        <v>31</v>
      </c>
      <c r="E48" s="23">
        <v>3.0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4</v>
      </c>
      <c r="M48" s="19" t="str">
        <f t="shared" si="70"/>
        <v>0</v>
      </c>
      <c r="N48" s="19" t="str">
        <f t="shared" si="71"/>
        <v>4</v>
      </c>
      <c r="O48" s="19" t="str">
        <f t="shared" si="72"/>
        <v>4</v>
      </c>
      <c r="P48" s="19" t="str">
        <f t="shared" si="73"/>
        <v>1</v>
      </c>
      <c r="Q48" s="19" t="str">
        <f t="shared" si="74"/>
        <v>1</v>
      </c>
      <c r="R48" s="36" t="str">
        <f t="shared" si="75"/>
        <v>1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</row>
    <row r="49" ht="12.75" customHeight="1">
      <c r="B49" s="21" t="s">
        <v>125</v>
      </c>
      <c r="C49" s="22">
        <v>0.0</v>
      </c>
      <c r="D49" s="19" t="s">
        <v>31</v>
      </c>
      <c r="E49" s="23">
        <v>2.0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-6</v>
      </c>
      <c r="N49" s="38" t="str">
        <f t="shared" si="71"/>
        <v>0</v>
      </c>
      <c r="O49" s="38" t="str">
        <f t="shared" si="72"/>
        <v>6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</row>
    <row r="50" ht="13.5" customHeight="1">
      <c r="B50" s="40" t="s">
        <v>123</v>
      </c>
      <c r="C50" s="41">
        <v>2.0</v>
      </c>
      <c r="D50" s="38" t="s">
        <v>31</v>
      </c>
      <c r="E50" s="42">
        <v>2.0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</row>
    <row r="51" ht="13.5" customHeight="1"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</row>
    <row r="52" ht="13.5" customHeight="1"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</row>
    <row r="53" ht="13.5" customHeight="1">
      <c r="B53" s="21" t="s">
        <v>139</v>
      </c>
      <c r="C53" s="22">
        <v>1.0</v>
      </c>
      <c r="D53" s="19" t="s">
        <v>31</v>
      </c>
      <c r="E53" s="23">
        <v>1.0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4</v>
      </c>
      <c r="Y53" s="33" t="str">
        <f>IF(AND(ISNUMBER(RESULTADOS!C53),ISNUMBER(RESULTADOS!E53),ISNUMBER(C53),ISNUMBER(E53),C53=RESULTADOS!C53,E53=RESULTADOS!E53),2,0)</f>
        <v>2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2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</row>
    <row r="54" ht="13.5" customHeight="1">
      <c r="B54" s="21" t="s">
        <v>141</v>
      </c>
      <c r="C54" s="22">
        <v>1.0</v>
      </c>
      <c r="D54" s="19" t="s">
        <v>31</v>
      </c>
      <c r="E54" s="23">
        <v>1.0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7</v>
      </c>
      <c r="M54" s="19" t="str">
        <f t="shared" ref="M54:M57" si="83">N54-O54</f>
        <v>3</v>
      </c>
      <c r="N54" s="19" t="str">
        <f t="shared" ref="N54:N57" si="84">SUM(INDIRECT($AC54),INDIRECT($AD54),INDIRECT($AE54))</f>
        <v>5</v>
      </c>
      <c r="O54" s="19" t="str">
        <f t="shared" ref="O54:O57" si="85">SUM(INDIRECT($AF54),INDIRECT($AG54),INDIRECT($AH54))</f>
        <v>2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2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1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2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2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</row>
    <row r="55" ht="12.75" customHeight="1">
      <c r="B55" s="21" t="s">
        <v>139</v>
      </c>
      <c r="C55" s="22">
        <v>2.0</v>
      </c>
      <c r="D55" s="19" t="s">
        <v>31</v>
      </c>
      <c r="E55" s="23">
        <v>0.0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7</v>
      </c>
      <c r="M55" s="19" t="str">
        <f t="shared" si="83"/>
        <v>4</v>
      </c>
      <c r="N55" s="19" t="str">
        <f t="shared" si="84"/>
        <v>5</v>
      </c>
      <c r="O55" s="19" t="str">
        <f t="shared" si="85"/>
        <v>1</v>
      </c>
      <c r="P55" s="19" t="str">
        <f t="shared" si="86"/>
        <v>2</v>
      </c>
      <c r="Q55" s="19" t="str">
        <f t="shared" si="87"/>
        <v>1</v>
      </c>
      <c r="R55" s="36" t="str">
        <f t="shared" si="88"/>
        <v>0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</row>
    <row r="56" ht="12.75" customHeight="1">
      <c r="B56" s="21" t="s">
        <v>142</v>
      </c>
      <c r="C56" s="22">
        <v>0.0</v>
      </c>
      <c r="D56" s="19" t="s">
        <v>31</v>
      </c>
      <c r="E56" s="23">
        <v>2.0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1</v>
      </c>
      <c r="M56" s="19" t="str">
        <f t="shared" si="83"/>
        <v>-4</v>
      </c>
      <c r="N56" s="19" t="str">
        <f t="shared" si="84"/>
        <v>1</v>
      </c>
      <c r="O56" s="19" t="str">
        <f t="shared" si="85"/>
        <v>5</v>
      </c>
      <c r="P56" s="19" t="str">
        <f t="shared" si="86"/>
        <v>0</v>
      </c>
      <c r="Q56" s="19" t="str">
        <f t="shared" si="87"/>
        <v>1</v>
      </c>
      <c r="R56" s="36" t="str">
        <f t="shared" si="88"/>
        <v>2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</row>
    <row r="57" ht="12.75" customHeight="1">
      <c r="B57" s="21" t="s">
        <v>140</v>
      </c>
      <c r="C57" s="22">
        <v>2.0</v>
      </c>
      <c r="D57" s="19" t="s">
        <v>31</v>
      </c>
      <c r="E57" s="23">
        <v>0.0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1</v>
      </c>
      <c r="M57" s="38" t="str">
        <f t="shared" si="83"/>
        <v>-3</v>
      </c>
      <c r="N57" s="38" t="str">
        <f t="shared" si="84"/>
        <v>2</v>
      </c>
      <c r="O57" s="38" t="str">
        <f t="shared" si="85"/>
        <v>5</v>
      </c>
      <c r="P57" s="38" t="str">
        <f t="shared" si="86"/>
        <v>0</v>
      </c>
      <c r="Q57" s="38" t="str">
        <f t="shared" si="87"/>
        <v>1</v>
      </c>
      <c r="R57" s="39" t="str">
        <f t="shared" si="88"/>
        <v>2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</row>
    <row r="58" ht="13.5" customHeight="1">
      <c r="B58" s="40" t="s">
        <v>142</v>
      </c>
      <c r="C58" s="41">
        <v>1.0</v>
      </c>
      <c r="D58" s="38" t="s">
        <v>31</v>
      </c>
      <c r="E58" s="42">
        <v>2.0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</row>
    <row r="59" ht="13.5" customHeight="1"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</row>
    <row r="60" ht="13.5" customHeight="1"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</row>
    <row r="61" ht="13.5" customHeight="1">
      <c r="B61" s="21" t="s">
        <v>156</v>
      </c>
      <c r="C61" s="22">
        <v>3.0</v>
      </c>
      <c r="D61" s="19" t="s">
        <v>31</v>
      </c>
      <c r="E61" s="23">
        <v>0.0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</row>
    <row r="62" ht="13.5" customHeight="1">
      <c r="B62" s="21" t="s">
        <v>158</v>
      </c>
      <c r="C62" s="22">
        <v>0.0</v>
      </c>
      <c r="D62" s="19" t="s">
        <v>31</v>
      </c>
      <c r="E62" s="23">
        <v>2.0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3</v>
      </c>
      <c r="M62" s="19" t="str">
        <f t="shared" ref="M62:M65" si="96">N62-O62</f>
        <v>-3</v>
      </c>
      <c r="N62" s="19" t="str">
        <f t="shared" ref="N62:N65" si="97">SUM(INDIRECT($AC62),INDIRECT($AD62),INDIRECT($AE62))</f>
        <v>2</v>
      </c>
      <c r="O62" s="19" t="str">
        <f t="shared" ref="O62:O65" si="98">SUM(INDIRECT($AF62),INDIRECT($AG62),INDIRECT($AH62))</f>
        <v>5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</row>
    <row r="63" ht="12.75" customHeight="1">
      <c r="B63" s="21" t="s">
        <v>156</v>
      </c>
      <c r="C63" s="22">
        <v>3.0</v>
      </c>
      <c r="D63" s="19" t="s">
        <v>31</v>
      </c>
      <c r="E63" s="23">
        <v>1.0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-7</v>
      </c>
      <c r="N63" s="19" t="str">
        <f t="shared" si="97"/>
        <v>0</v>
      </c>
      <c r="O63" s="19" t="str">
        <f t="shared" si="98"/>
        <v>7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3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</row>
    <row r="64" ht="12.75" customHeight="1">
      <c r="B64" s="21" t="s">
        <v>159</v>
      </c>
      <c r="C64" s="22">
        <v>3.0</v>
      </c>
      <c r="D64" s="19" t="s">
        <v>31</v>
      </c>
      <c r="E64" s="23">
        <v>0.0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7</v>
      </c>
      <c r="N64" s="19" t="str">
        <f t="shared" si="97"/>
        <v>8</v>
      </c>
      <c r="O64" s="19" t="str">
        <f t="shared" si="98"/>
        <v>1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</row>
    <row r="65" ht="12.75" customHeight="1">
      <c r="B65" s="21" t="s">
        <v>157</v>
      </c>
      <c r="C65" s="22">
        <v>0.0</v>
      </c>
      <c r="D65" s="19" t="s">
        <v>31</v>
      </c>
      <c r="E65" s="23">
        <v>1.0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3</v>
      </c>
      <c r="N65" s="38" t="str">
        <f t="shared" si="97"/>
        <v>5</v>
      </c>
      <c r="O65" s="38" t="str">
        <f t="shared" si="98"/>
        <v>2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</row>
    <row r="66" ht="13.5" customHeight="1">
      <c r="B66" s="40" t="s">
        <v>159</v>
      </c>
      <c r="C66" s="41">
        <v>0.0</v>
      </c>
      <c r="D66" s="38" t="s">
        <v>31</v>
      </c>
      <c r="E66" s="42">
        <v>2.0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</row>
    <row r="67" ht="12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2.75" customHeight="1"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2.75" customHeight="1">
      <c r="B69" s="21" t="s">
        <v>173</v>
      </c>
      <c r="C69" s="22">
        <v>3.0</v>
      </c>
      <c r="D69" s="19" t="s">
        <v>31</v>
      </c>
      <c r="E69" s="23">
        <v>0.0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</row>
    <row r="70" ht="12.75" customHeight="1">
      <c r="B70" s="21" t="s">
        <v>175</v>
      </c>
      <c r="C70" s="22">
        <v>0.0</v>
      </c>
      <c r="D70" s="19" t="s">
        <v>31</v>
      </c>
      <c r="E70" s="23">
        <v>2.0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7</v>
      </c>
      <c r="N70" s="19" t="str">
        <f t="shared" ref="N70:N73" si="110">SUM(INDIRECT($AC70),INDIRECT($AD70),INDIRECT($AE70))</f>
        <v>8</v>
      </c>
      <c r="O70" s="19" t="str">
        <f t="shared" ref="O70:O73" si="111">SUM(INDIRECT($AF70),INDIRECT($AG70),INDIRECT($AH70))</f>
        <v>1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</row>
    <row r="71" ht="12.75" customHeight="1">
      <c r="B71" s="21" t="s">
        <v>173</v>
      </c>
      <c r="C71" s="22">
        <v>3.0</v>
      </c>
      <c r="D71" s="19" t="s">
        <v>31</v>
      </c>
      <c r="E71" s="23">
        <v>0.0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-7</v>
      </c>
      <c r="N71" s="19" t="str">
        <f t="shared" si="110"/>
        <v>0</v>
      </c>
      <c r="O71" s="19" t="str">
        <f t="shared" si="111"/>
        <v>7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</row>
    <row r="72" ht="12.75" customHeight="1">
      <c r="B72" s="21" t="s">
        <v>176</v>
      </c>
      <c r="C72" s="22">
        <v>3.0</v>
      </c>
      <c r="D72" s="19" t="s">
        <v>31</v>
      </c>
      <c r="E72" s="23">
        <v>1.0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6</v>
      </c>
      <c r="M72" s="19" t="str">
        <f t="shared" si="109"/>
        <v>3</v>
      </c>
      <c r="N72" s="19" t="str">
        <f t="shared" si="110"/>
        <v>6</v>
      </c>
      <c r="O72" s="19" t="str">
        <f t="shared" si="111"/>
        <v>3</v>
      </c>
      <c r="P72" s="19" t="str">
        <f t="shared" si="112"/>
        <v>2</v>
      </c>
      <c r="Q72" s="19" t="str">
        <f t="shared" si="113"/>
        <v>0</v>
      </c>
      <c r="R72" s="36" t="str">
        <f t="shared" si="114"/>
        <v>1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</row>
    <row r="73" ht="12.75" customHeight="1"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3</v>
      </c>
      <c r="M73" s="38" t="str">
        <f t="shared" si="109"/>
        <v>-3</v>
      </c>
      <c r="N73" s="38" t="str">
        <f t="shared" si="110"/>
        <v>3</v>
      </c>
      <c r="O73" s="38" t="str">
        <f t="shared" si="111"/>
        <v>6</v>
      </c>
      <c r="P73" s="38" t="str">
        <f t="shared" si="112"/>
        <v>1</v>
      </c>
      <c r="Q73" s="38" t="str">
        <f t="shared" si="113"/>
        <v>0</v>
      </c>
      <c r="R73" s="39" t="str">
        <f t="shared" si="114"/>
        <v>2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</row>
    <row r="74" ht="12.75" customHeight="1">
      <c r="B74" s="40" t="s">
        <v>176</v>
      </c>
      <c r="C74" s="41">
        <v>1.0</v>
      </c>
      <c r="D74" s="38" t="s">
        <v>31</v>
      </c>
      <c r="E74" s="42">
        <v>2.0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</row>
    <row r="75" ht="12.75" customHeight="1"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2.75" customHeight="1"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2.75" customHeight="1">
      <c r="B77" s="21" t="s">
        <v>190</v>
      </c>
      <c r="C77" s="22">
        <v>4.0</v>
      </c>
      <c r="D77" s="19" t="s">
        <v>31</v>
      </c>
      <c r="E77" s="23">
        <v>0.0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</row>
    <row r="78" ht="12.75" customHeight="1">
      <c r="B78" s="21" t="s">
        <v>192</v>
      </c>
      <c r="C78" s="22">
        <v>2.0</v>
      </c>
      <c r="D78" s="19" t="s">
        <v>31</v>
      </c>
      <c r="E78" s="23">
        <v>0.0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9</v>
      </c>
      <c r="N78" s="19" t="str">
        <f t="shared" ref="N78:N81" si="123">SUM(INDIRECT($AC78),INDIRECT($AD78),INDIRECT($AE78))</f>
        <v>9</v>
      </c>
      <c r="O78" s="19" t="str">
        <f t="shared" ref="O78:O81" si="124">SUM(INDIRECT($AF78),INDIRECT($AG78),INDIRECT($AH78))</f>
        <v>0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2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1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</row>
    <row r="79" ht="12.75" customHeight="1">
      <c r="B79" s="21" t="s">
        <v>190</v>
      </c>
      <c r="C79" s="22">
        <v>2.0</v>
      </c>
      <c r="D79" s="19" t="s">
        <v>31</v>
      </c>
      <c r="E79" s="23">
        <v>0.0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4</v>
      </c>
      <c r="M79" s="19" t="str">
        <f t="shared" si="122"/>
        <v>-2</v>
      </c>
      <c r="N79" s="19" t="str">
        <f t="shared" si="123"/>
        <v>3</v>
      </c>
      <c r="O79" s="19" t="str">
        <f t="shared" si="124"/>
        <v>5</v>
      </c>
      <c r="P79" s="19" t="str">
        <f t="shared" si="125"/>
        <v>1</v>
      </c>
      <c r="Q79" s="19" t="str">
        <f t="shared" si="126"/>
        <v>1</v>
      </c>
      <c r="R79" s="36" t="str">
        <f t="shared" si="127"/>
        <v>1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</row>
    <row r="80" ht="12.75" customHeight="1">
      <c r="B80" s="21" t="s">
        <v>193</v>
      </c>
      <c r="C80" s="22">
        <v>0.0</v>
      </c>
      <c r="D80" s="19" t="s">
        <v>31</v>
      </c>
      <c r="E80" s="23">
        <v>2.0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-7</v>
      </c>
      <c r="N80" s="19" t="str">
        <f t="shared" si="123"/>
        <v>0</v>
      </c>
      <c r="O80" s="19" t="str">
        <f t="shared" si="124"/>
        <v>7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3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</row>
    <row r="81" ht="12.75" customHeight="1">
      <c r="B81" s="21" t="s">
        <v>193</v>
      </c>
      <c r="C81" s="22">
        <v>0.0</v>
      </c>
      <c r="D81" s="19" t="s">
        <v>31</v>
      </c>
      <c r="E81" s="23">
        <v>3.0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4</v>
      </c>
      <c r="M81" s="38" t="str">
        <f t="shared" si="122"/>
        <v>0</v>
      </c>
      <c r="N81" s="38" t="str">
        <f t="shared" si="123"/>
        <v>3</v>
      </c>
      <c r="O81" s="38" t="str">
        <f t="shared" si="124"/>
        <v>3</v>
      </c>
      <c r="P81" s="38" t="str">
        <f t="shared" si="125"/>
        <v>1</v>
      </c>
      <c r="Q81" s="38" t="str">
        <f t="shared" si="126"/>
        <v>1</v>
      </c>
      <c r="R81" s="39" t="str">
        <f t="shared" si="127"/>
        <v>1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</row>
    <row r="82" ht="12.75" customHeight="1">
      <c r="B82" s="40" t="s">
        <v>191</v>
      </c>
      <c r="C82" s="41">
        <v>1.0</v>
      </c>
      <c r="D82" s="38" t="s">
        <v>31</v>
      </c>
      <c r="E82" s="42">
        <v>1.0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</row>
    <row r="83" ht="12.75" customHeight="1"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2.75" customHeight="1"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2.75" customHeight="1">
      <c r="B85" s="21" t="s">
        <v>207</v>
      </c>
      <c r="C85" s="22">
        <v>3.0</v>
      </c>
      <c r="D85" s="19" t="s">
        <v>31</v>
      </c>
      <c r="E85" s="23">
        <v>0.0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</row>
    <row r="86" ht="12.75" customHeight="1">
      <c r="B86" s="21" t="s">
        <v>209</v>
      </c>
      <c r="C86" s="22">
        <v>0.0</v>
      </c>
      <c r="D86" s="19" t="s">
        <v>31</v>
      </c>
      <c r="E86" s="23">
        <v>3.0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4</v>
      </c>
      <c r="N86" s="19" t="str">
        <f t="shared" ref="N86:N89" si="136">SUM(INDIRECT($AC86),INDIRECT($AD86),INDIRECT($AE86))</f>
        <v>7</v>
      </c>
      <c r="O86" s="19" t="str">
        <f t="shared" ref="O86:O89" si="137">SUM(INDIRECT($AF86),INDIRECT($AG86),INDIRECT($AH86))</f>
        <v>3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</row>
    <row r="87" ht="12.75" customHeight="1">
      <c r="B87" s="21" t="s">
        <v>207</v>
      </c>
      <c r="C87" s="22">
        <v>4.0</v>
      </c>
      <c r="D87" s="19" t="s">
        <v>31</v>
      </c>
      <c r="E87" s="23">
        <v>0.0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9</v>
      </c>
      <c r="N87" s="19" t="str">
        <f t="shared" si="136"/>
        <v>9</v>
      </c>
      <c r="O87" s="19" t="str">
        <f t="shared" si="137"/>
        <v>0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</row>
    <row r="88" ht="12.75" customHeight="1">
      <c r="B88" s="21" t="s">
        <v>210</v>
      </c>
      <c r="C88" s="22">
        <v>4.0</v>
      </c>
      <c r="D88" s="19" t="s">
        <v>31</v>
      </c>
      <c r="E88" s="23">
        <v>1.0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-4</v>
      </c>
      <c r="N88" s="19" t="str">
        <f t="shared" si="136"/>
        <v>3</v>
      </c>
      <c r="O88" s="19" t="str">
        <f t="shared" si="137"/>
        <v>7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</row>
    <row r="89" ht="12.75" customHeight="1">
      <c r="B89" s="21" t="s">
        <v>208</v>
      </c>
      <c r="C89" s="22">
        <v>2.0</v>
      </c>
      <c r="D89" s="19" t="s">
        <v>31</v>
      </c>
      <c r="E89" s="23">
        <v>0.0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-9</v>
      </c>
      <c r="N89" s="38" t="str">
        <f t="shared" si="136"/>
        <v>0</v>
      </c>
      <c r="O89" s="38" t="str">
        <f t="shared" si="137"/>
        <v>9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</row>
    <row r="90" ht="12.75" customHeight="1">
      <c r="B90" s="40" t="s">
        <v>210</v>
      </c>
      <c r="C90" s="41">
        <v>0.0</v>
      </c>
      <c r="D90" s="38" t="s">
        <v>31</v>
      </c>
      <c r="E90" s="42">
        <v>2.0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</row>
    <row r="91" ht="12.75" customHeight="1"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2.75" customHeight="1"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2.75" customHeight="1">
      <c r="B93" s="21" t="s">
        <v>224</v>
      </c>
      <c r="C93" s="22">
        <v>1.0</v>
      </c>
      <c r="D93" s="19" t="s">
        <v>31</v>
      </c>
      <c r="E93" s="23">
        <v>1.0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</row>
    <row r="94" ht="12.75" customHeight="1">
      <c r="B94" s="21" t="s">
        <v>226</v>
      </c>
      <c r="C94" s="22">
        <v>2.0</v>
      </c>
      <c r="D94" s="19" t="s">
        <v>31</v>
      </c>
      <c r="E94" s="23">
        <v>1.0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7</v>
      </c>
      <c r="M94" s="19" t="str">
        <f t="shared" ref="M94:M97" si="148">N94-O94</f>
        <v>2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3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1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0</v>
      </c>
      <c r="AB94" s="6" t="str">
        <f>IF(
  AND(
    ISNUMBER(RESULTADOS!C94),
    ISNUMBER(RESULTADOS!E94),
    ISNUMBER(C94),
    ISNUMBER(E94),
    AND(Z94=1,AA94=0,(RESULTADOS!C94-RESULTADOS!E94)=(C94-E94))
  ),
  1,
  0
)</f>
        <v>1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</row>
    <row r="95" ht="12.75" customHeight="1">
      <c r="B95" s="21" t="s">
        <v>224</v>
      </c>
      <c r="C95" s="22">
        <v>3.0</v>
      </c>
      <c r="D95" s="19" t="s">
        <v>31</v>
      </c>
      <c r="E95" s="23">
        <v>0.0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-3</v>
      </c>
      <c r="N95" s="19" t="str">
        <f t="shared" si="149"/>
        <v>3</v>
      </c>
      <c r="O95" s="19" t="str">
        <f t="shared" si="150"/>
        <v>6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</row>
    <row r="96" ht="12.75" customHeight="1">
      <c r="B96" s="21" t="s">
        <v>227</v>
      </c>
      <c r="C96" s="22">
        <v>1.0</v>
      </c>
      <c r="D96" s="19" t="s">
        <v>31</v>
      </c>
      <c r="E96" s="23">
        <v>2.0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7</v>
      </c>
      <c r="M96" s="19" t="str">
        <f t="shared" si="148"/>
        <v>5</v>
      </c>
      <c r="N96" s="19" t="str">
        <f t="shared" si="149"/>
        <v>6</v>
      </c>
      <c r="O96" s="19" t="str">
        <f t="shared" si="150"/>
        <v>1</v>
      </c>
      <c r="P96" s="19" t="str">
        <f t="shared" si="151"/>
        <v>2</v>
      </c>
      <c r="Q96" s="19" t="str">
        <f t="shared" si="152"/>
        <v>1</v>
      </c>
      <c r="R96" s="36" t="str">
        <f t="shared" si="153"/>
        <v>0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</row>
    <row r="97" ht="12.75" customHeight="1">
      <c r="B97" s="21" t="s">
        <v>225</v>
      </c>
      <c r="C97" s="22">
        <v>2.0</v>
      </c>
      <c r="D97" s="19" t="s">
        <v>31</v>
      </c>
      <c r="E97" s="23">
        <v>1.0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-4</v>
      </c>
      <c r="N97" s="38" t="str">
        <f t="shared" si="149"/>
        <v>2</v>
      </c>
      <c r="O97" s="38" t="str">
        <f t="shared" si="150"/>
        <v>6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</row>
    <row r="98" ht="12.75" customHeight="1">
      <c r="B98" s="40" t="s">
        <v>227</v>
      </c>
      <c r="C98" s="41">
        <v>0.0</v>
      </c>
      <c r="D98" s="38" t="s">
        <v>31</v>
      </c>
      <c r="E98" s="42">
        <v>2.0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</row>
    <row r="99" ht="12.75" customHeight="1"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2.75" customHeight="1"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H102" s="52"/>
      <c r="I102" s="52"/>
      <c r="J102" s="52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2.75" customHeight="1">
      <c r="H103" s="52"/>
      <c r="I103" s="52"/>
      <c r="J103" s="52"/>
      <c r="L103" s="53"/>
      <c r="M103" s="53"/>
      <c r="N103" s="53"/>
      <c r="O103" s="53"/>
      <c r="P103" s="53"/>
      <c r="Q103" s="53"/>
      <c r="R103" s="53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2.75" customHeight="1">
      <c r="H104" s="52"/>
      <c r="I104" s="52"/>
      <c r="J104" s="52"/>
      <c r="L104" s="53"/>
      <c r="M104" s="53"/>
      <c r="N104" s="53"/>
      <c r="O104" s="53"/>
      <c r="P104" s="53"/>
      <c r="Q104" s="53"/>
      <c r="R104" s="53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2.75" customHeight="1">
      <c r="H105" s="52"/>
      <c r="I105" s="52"/>
      <c r="J105" s="52"/>
      <c r="L105" s="53"/>
      <c r="M105" s="53"/>
      <c r="N105" s="53"/>
      <c r="O105" s="53"/>
      <c r="P105" s="53"/>
      <c r="Q105" s="53"/>
      <c r="R105" s="53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2.75" customHeight="1">
      <c r="H106" s="52"/>
      <c r="I106" s="52"/>
      <c r="J106" s="52"/>
      <c r="L106" s="53"/>
      <c r="M106" s="53"/>
      <c r="N106" s="53"/>
      <c r="O106" s="53"/>
      <c r="P106" s="53"/>
      <c r="Q106" s="53"/>
      <c r="R106" s="53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2.75" customHeight="1">
      <c r="H107" s="52"/>
      <c r="I107" s="52"/>
      <c r="J107" s="52"/>
      <c r="L107" s="53"/>
      <c r="M107" s="53"/>
      <c r="N107" s="53"/>
      <c r="O107" s="53"/>
      <c r="P107" s="53"/>
      <c r="Q107" s="53"/>
      <c r="R107" s="53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2.75" customHeight="1">
      <c r="H108" s="52"/>
      <c r="I108" s="52"/>
      <c r="J108" s="52"/>
      <c r="L108" s="53"/>
      <c r="M108" s="53"/>
      <c r="N108" s="53"/>
      <c r="O108" s="53"/>
      <c r="P108" s="53"/>
      <c r="Q108" s="53"/>
      <c r="R108" s="53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2.75" customHeight="1">
      <c r="H109" s="52"/>
      <c r="I109" s="52"/>
      <c r="J109" s="52"/>
      <c r="L109" s="53"/>
      <c r="M109" s="53"/>
      <c r="N109" s="53"/>
      <c r="O109" s="53"/>
      <c r="P109" s="53"/>
      <c r="Q109" s="53"/>
      <c r="R109" s="53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2.75" customHeight="1">
      <c r="H110" s="52"/>
      <c r="I110" s="52"/>
      <c r="J110" s="52"/>
      <c r="L110" s="53"/>
      <c r="M110" s="53"/>
      <c r="N110" s="53"/>
      <c r="O110" s="53"/>
      <c r="P110" s="53"/>
      <c r="Q110" s="53"/>
      <c r="R110" s="53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2.75" customHeight="1">
      <c r="H111" s="52"/>
      <c r="I111" s="52"/>
      <c r="J111" s="52"/>
      <c r="L111" s="53"/>
      <c r="M111" s="53"/>
      <c r="N111" s="53"/>
      <c r="O111" s="53"/>
      <c r="P111" s="53"/>
      <c r="Q111" s="53"/>
      <c r="R111" s="53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2.75" customHeight="1">
      <c r="H112" s="52"/>
      <c r="I112" s="52"/>
      <c r="J112" s="52"/>
      <c r="L112" s="53"/>
      <c r="M112" s="53"/>
      <c r="N112" s="53"/>
      <c r="O112" s="53"/>
      <c r="P112" s="53"/>
      <c r="Q112" s="53"/>
      <c r="R112" s="53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2.75" customHeight="1">
      <c r="H113" s="52"/>
      <c r="I113" s="52"/>
      <c r="J113" s="52"/>
      <c r="L113" s="53"/>
      <c r="M113" s="53"/>
      <c r="N113" s="53"/>
      <c r="O113" s="53"/>
      <c r="P113" s="53"/>
      <c r="Q113" s="53"/>
      <c r="R113" s="53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2.75" customHeight="1">
      <c r="H114" s="52"/>
      <c r="I114" s="52"/>
      <c r="J114" s="52"/>
      <c r="L114" s="53"/>
      <c r="M114" s="53"/>
      <c r="N114" s="53"/>
      <c r="O114" s="53"/>
      <c r="P114" s="53"/>
      <c r="Q114" s="53"/>
      <c r="R114" s="53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2.75" customHeight="1">
      <c r="H115" s="52"/>
      <c r="I115" s="52"/>
      <c r="J115" s="52"/>
      <c r="L115" s="53"/>
      <c r="M115" s="53"/>
      <c r="N115" s="53"/>
      <c r="O115" s="53"/>
      <c r="P115" s="53"/>
      <c r="Q115" s="53"/>
      <c r="R115" s="53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2.75" customHeight="1">
      <c r="H116" s="52"/>
      <c r="I116" s="52"/>
      <c r="J116" s="52"/>
      <c r="L116" s="53"/>
      <c r="M116" s="53"/>
      <c r="N116" s="53"/>
      <c r="O116" s="53"/>
      <c r="P116" s="53"/>
      <c r="Q116" s="53"/>
      <c r="R116" s="53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2.75" customHeight="1">
      <c r="H117" s="52"/>
      <c r="I117" s="52"/>
      <c r="J117" s="52"/>
      <c r="L117" s="53"/>
      <c r="M117" s="53"/>
      <c r="N117" s="53"/>
      <c r="O117" s="53"/>
      <c r="P117" s="53"/>
      <c r="Q117" s="53"/>
      <c r="R117" s="53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2.75" customHeight="1">
      <c r="H118" s="52"/>
      <c r="I118" s="52"/>
      <c r="J118" s="52"/>
      <c r="L118" s="53"/>
      <c r="M118" s="53"/>
      <c r="N118" s="53"/>
      <c r="O118" s="53"/>
      <c r="P118" s="53"/>
      <c r="Q118" s="53"/>
      <c r="R118" s="53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2.75" customHeight="1">
      <c r="H119" s="52"/>
      <c r="I119" s="52"/>
      <c r="J119" s="52"/>
      <c r="L119" s="53"/>
      <c r="M119" s="53"/>
      <c r="N119" s="53"/>
      <c r="O119" s="53"/>
      <c r="P119" s="53"/>
      <c r="Q119" s="53"/>
      <c r="R119" s="53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2.75" customHeight="1">
      <c r="H120" s="52"/>
      <c r="I120" s="52"/>
      <c r="J120" s="52"/>
      <c r="L120" s="53"/>
      <c r="M120" s="53"/>
      <c r="N120" s="53"/>
      <c r="O120" s="53"/>
      <c r="P120" s="53"/>
      <c r="Q120" s="53"/>
      <c r="R120" s="53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2.75" customHeight="1">
      <c r="H121" s="52"/>
      <c r="I121" s="52"/>
      <c r="J121" s="52"/>
      <c r="L121" s="53"/>
      <c r="M121" s="53"/>
      <c r="N121" s="53"/>
      <c r="O121" s="53"/>
      <c r="P121" s="53"/>
      <c r="Q121" s="53"/>
      <c r="R121" s="53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2.75" customHeight="1">
      <c r="H122" s="52"/>
      <c r="I122" s="52"/>
      <c r="J122" s="52"/>
      <c r="L122" s="53"/>
      <c r="M122" s="53"/>
      <c r="N122" s="53"/>
      <c r="O122" s="53"/>
      <c r="P122" s="53"/>
      <c r="Q122" s="53"/>
      <c r="R122" s="53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2.75" customHeight="1">
      <c r="H123" s="52"/>
      <c r="I123" s="52"/>
      <c r="J123" s="52"/>
      <c r="L123" s="53"/>
      <c r="M123" s="53"/>
      <c r="N123" s="53"/>
      <c r="O123" s="53"/>
      <c r="P123" s="53"/>
      <c r="Q123" s="53"/>
      <c r="R123" s="53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2.75" customHeight="1">
      <c r="H124" s="52"/>
      <c r="I124" s="52"/>
      <c r="J124" s="52"/>
      <c r="L124" s="53"/>
      <c r="M124" s="53"/>
      <c r="N124" s="53"/>
      <c r="O124" s="53"/>
      <c r="P124" s="53"/>
      <c r="Q124" s="53"/>
      <c r="R124" s="53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2.75" customHeight="1">
      <c r="H125" s="52"/>
      <c r="I125" s="52"/>
      <c r="J125" s="52"/>
      <c r="L125" s="53"/>
      <c r="M125" s="53"/>
      <c r="N125" s="53"/>
      <c r="O125" s="53"/>
      <c r="P125" s="53"/>
      <c r="Q125" s="53"/>
      <c r="R125" s="53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2.75" customHeight="1">
      <c r="H126" s="52"/>
      <c r="I126" s="52"/>
      <c r="J126" s="52"/>
      <c r="L126" s="53"/>
      <c r="M126" s="53"/>
      <c r="N126" s="53"/>
      <c r="O126" s="53"/>
      <c r="P126" s="53"/>
      <c r="Q126" s="53"/>
      <c r="R126" s="53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2.75" customHeight="1">
      <c r="H127" s="52"/>
      <c r="I127" s="52"/>
      <c r="J127" s="52"/>
      <c r="L127" s="53"/>
      <c r="M127" s="53"/>
      <c r="N127" s="53"/>
      <c r="O127" s="53"/>
      <c r="P127" s="53"/>
      <c r="Q127" s="53"/>
      <c r="R127" s="53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2.75" customHeight="1">
      <c r="H128" s="52"/>
      <c r="I128" s="52"/>
      <c r="J128" s="52"/>
      <c r="L128" s="53"/>
      <c r="M128" s="53"/>
      <c r="N128" s="53"/>
      <c r="O128" s="53"/>
      <c r="P128" s="53"/>
      <c r="Q128" s="53"/>
      <c r="R128" s="53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2.75" customHeight="1">
      <c r="H129" s="52"/>
      <c r="I129" s="52"/>
      <c r="J129" s="52"/>
      <c r="L129" s="53"/>
      <c r="M129" s="53"/>
      <c r="N129" s="53"/>
      <c r="O129" s="53"/>
      <c r="P129" s="53"/>
      <c r="Q129" s="53"/>
      <c r="R129" s="53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2.75" customHeight="1">
      <c r="H130" s="52"/>
      <c r="I130" s="52"/>
      <c r="J130" s="52"/>
      <c r="L130" s="53"/>
      <c r="M130" s="53"/>
      <c r="N130" s="53"/>
      <c r="O130" s="53"/>
      <c r="P130" s="53"/>
      <c r="Q130" s="53"/>
      <c r="R130" s="53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2.75" customHeight="1">
      <c r="H131" s="52"/>
      <c r="I131" s="52"/>
      <c r="J131" s="52"/>
      <c r="L131" s="53"/>
      <c r="M131" s="53"/>
      <c r="N131" s="53"/>
      <c r="O131" s="53"/>
      <c r="P131" s="53"/>
      <c r="Q131" s="53"/>
      <c r="R131" s="53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2.75" customHeight="1">
      <c r="H132" s="52"/>
      <c r="I132" s="52"/>
      <c r="J132" s="52"/>
      <c r="L132" s="53"/>
      <c r="M132" s="53"/>
      <c r="N132" s="53"/>
      <c r="O132" s="53"/>
      <c r="P132" s="53"/>
      <c r="Q132" s="53"/>
      <c r="R132" s="53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2.75" customHeight="1">
      <c r="H133" s="52"/>
      <c r="I133" s="52"/>
      <c r="J133" s="52"/>
      <c r="L133" s="53"/>
      <c r="M133" s="53"/>
      <c r="N133" s="53"/>
      <c r="O133" s="53"/>
      <c r="P133" s="53"/>
      <c r="Q133" s="53"/>
      <c r="R133" s="53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2.75" customHeight="1">
      <c r="H134" s="52"/>
      <c r="I134" s="52"/>
      <c r="J134" s="52"/>
      <c r="L134" s="53"/>
      <c r="M134" s="53"/>
      <c r="N134" s="53"/>
      <c r="O134" s="53"/>
      <c r="P134" s="53"/>
      <c r="Q134" s="53"/>
      <c r="R134" s="53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2.75" customHeight="1">
      <c r="H135" s="52"/>
      <c r="I135" s="52"/>
      <c r="J135" s="52"/>
      <c r="L135" s="53"/>
      <c r="M135" s="53"/>
      <c r="N135" s="53"/>
      <c r="O135" s="53"/>
      <c r="P135" s="53"/>
      <c r="Q135" s="53"/>
      <c r="R135" s="53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2.75" customHeight="1">
      <c r="H136" s="52"/>
      <c r="I136" s="52"/>
      <c r="J136" s="52"/>
      <c r="L136" s="53"/>
      <c r="M136" s="53"/>
      <c r="N136" s="53"/>
      <c r="O136" s="53"/>
      <c r="P136" s="53"/>
      <c r="Q136" s="53"/>
      <c r="R136" s="53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2.75" customHeight="1">
      <c r="H137" s="52"/>
      <c r="I137" s="52"/>
      <c r="J137" s="52"/>
      <c r="L137" s="53"/>
      <c r="M137" s="53"/>
      <c r="N137" s="53"/>
      <c r="O137" s="53"/>
      <c r="P137" s="53"/>
      <c r="Q137" s="53"/>
      <c r="R137" s="53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2.75" customHeight="1">
      <c r="H138" s="52"/>
      <c r="I138" s="52"/>
      <c r="J138" s="52"/>
      <c r="L138" s="53"/>
      <c r="M138" s="53"/>
      <c r="N138" s="53"/>
      <c r="O138" s="53"/>
      <c r="P138" s="53"/>
      <c r="Q138" s="53"/>
      <c r="R138" s="53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2.75" customHeight="1">
      <c r="H139" s="52"/>
      <c r="I139" s="52"/>
      <c r="J139" s="52"/>
      <c r="L139" s="53"/>
      <c r="M139" s="53"/>
      <c r="N139" s="53"/>
      <c r="O139" s="53"/>
      <c r="P139" s="53"/>
      <c r="Q139" s="53"/>
      <c r="R139" s="53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2.75" customHeight="1">
      <c r="H140" s="52"/>
      <c r="I140" s="52"/>
      <c r="J140" s="52"/>
      <c r="L140" s="53"/>
      <c r="M140" s="53"/>
      <c r="N140" s="53"/>
      <c r="O140" s="53"/>
      <c r="P140" s="53"/>
      <c r="Q140" s="53"/>
      <c r="R140" s="53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2.75" customHeight="1">
      <c r="H141" s="52"/>
      <c r="I141" s="52"/>
      <c r="J141" s="52"/>
      <c r="L141" s="53"/>
      <c r="M141" s="53"/>
      <c r="N141" s="53"/>
      <c r="O141" s="53"/>
      <c r="P141" s="53"/>
      <c r="Q141" s="53"/>
      <c r="R141" s="53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2.75" customHeight="1">
      <c r="H142" s="52"/>
      <c r="I142" s="52"/>
      <c r="J142" s="52"/>
      <c r="L142" s="53"/>
      <c r="M142" s="53"/>
      <c r="N142" s="53"/>
      <c r="O142" s="53"/>
      <c r="P142" s="53"/>
      <c r="Q142" s="53"/>
      <c r="R142" s="53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2.75" customHeight="1">
      <c r="H143" s="52"/>
      <c r="I143" s="52"/>
      <c r="J143" s="52"/>
      <c r="L143" s="53"/>
      <c r="M143" s="53"/>
      <c r="N143" s="53"/>
      <c r="O143" s="53"/>
      <c r="P143" s="53"/>
      <c r="Q143" s="53"/>
      <c r="R143" s="53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2.75" customHeight="1">
      <c r="H144" s="52"/>
      <c r="I144" s="52"/>
      <c r="J144" s="52"/>
      <c r="L144" s="53"/>
      <c r="M144" s="53"/>
      <c r="N144" s="53"/>
      <c r="O144" s="53"/>
      <c r="P144" s="53"/>
      <c r="Q144" s="53"/>
      <c r="R144" s="53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2.75" customHeight="1">
      <c r="H145" s="52"/>
      <c r="I145" s="52"/>
      <c r="J145" s="52"/>
      <c r="L145" s="53"/>
      <c r="M145" s="53"/>
      <c r="N145" s="53"/>
      <c r="O145" s="53"/>
      <c r="P145" s="53"/>
      <c r="Q145" s="53"/>
      <c r="R145" s="53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2.75" customHeight="1">
      <c r="H146" s="52"/>
      <c r="I146" s="52"/>
      <c r="J146" s="52"/>
      <c r="L146" s="53"/>
      <c r="M146" s="53"/>
      <c r="N146" s="53"/>
      <c r="O146" s="53"/>
      <c r="P146" s="53"/>
      <c r="Q146" s="53"/>
      <c r="R146" s="53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2.75" customHeight="1">
      <c r="H147" s="52"/>
      <c r="I147" s="52"/>
      <c r="J147" s="52"/>
      <c r="L147" s="53"/>
      <c r="M147" s="53"/>
      <c r="N147" s="53"/>
      <c r="O147" s="53"/>
      <c r="P147" s="53"/>
      <c r="Q147" s="53"/>
      <c r="R147" s="53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2.75" customHeight="1">
      <c r="H148" s="52"/>
      <c r="I148" s="52"/>
      <c r="J148" s="52"/>
      <c r="L148" s="53"/>
      <c r="M148" s="53"/>
      <c r="N148" s="53"/>
      <c r="O148" s="53"/>
      <c r="P148" s="53"/>
      <c r="Q148" s="53"/>
      <c r="R148" s="53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2.75" customHeight="1">
      <c r="H149" s="52"/>
      <c r="I149" s="52"/>
      <c r="J149" s="52"/>
      <c r="L149" s="53"/>
      <c r="M149" s="53"/>
      <c r="N149" s="53"/>
      <c r="O149" s="53"/>
      <c r="P149" s="53"/>
      <c r="Q149" s="53"/>
      <c r="R149" s="53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2.75" customHeight="1">
      <c r="H150" s="52"/>
      <c r="I150" s="52"/>
      <c r="J150" s="52"/>
      <c r="L150" s="53"/>
      <c r="M150" s="53"/>
      <c r="N150" s="53"/>
      <c r="O150" s="53"/>
      <c r="P150" s="53"/>
      <c r="Q150" s="53"/>
      <c r="R150" s="53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2.75" customHeight="1">
      <c r="H151" s="52"/>
      <c r="I151" s="52"/>
      <c r="J151" s="52"/>
      <c r="L151" s="53"/>
      <c r="M151" s="53"/>
      <c r="N151" s="53"/>
      <c r="O151" s="53"/>
      <c r="P151" s="53"/>
      <c r="Q151" s="53"/>
      <c r="R151" s="53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2.75" customHeight="1">
      <c r="H152" s="52"/>
      <c r="I152" s="52"/>
      <c r="J152" s="52"/>
      <c r="L152" s="53"/>
      <c r="M152" s="53"/>
      <c r="N152" s="53"/>
      <c r="O152" s="53"/>
      <c r="P152" s="53"/>
      <c r="Q152" s="53"/>
      <c r="R152" s="53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2.75" customHeight="1">
      <c r="H153" s="52"/>
      <c r="I153" s="52"/>
      <c r="J153" s="52"/>
      <c r="L153" s="53"/>
      <c r="M153" s="53"/>
      <c r="N153" s="53"/>
      <c r="O153" s="53"/>
      <c r="P153" s="53"/>
      <c r="Q153" s="53"/>
      <c r="R153" s="53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2.75" customHeight="1">
      <c r="H154" s="52"/>
      <c r="I154" s="52"/>
      <c r="J154" s="52"/>
      <c r="L154" s="53"/>
      <c r="M154" s="53"/>
      <c r="N154" s="53"/>
      <c r="O154" s="53"/>
      <c r="P154" s="53"/>
      <c r="Q154" s="53"/>
      <c r="R154" s="53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2.75" customHeight="1">
      <c r="H155" s="52"/>
      <c r="I155" s="52"/>
      <c r="J155" s="52"/>
      <c r="L155" s="53"/>
      <c r="M155" s="53"/>
      <c r="N155" s="53"/>
      <c r="O155" s="53"/>
      <c r="P155" s="53"/>
      <c r="Q155" s="53"/>
      <c r="R155" s="53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2.75" customHeight="1">
      <c r="H156" s="52"/>
      <c r="I156" s="52"/>
      <c r="J156" s="52"/>
      <c r="L156" s="53"/>
      <c r="M156" s="53"/>
      <c r="N156" s="53"/>
      <c r="O156" s="53"/>
      <c r="P156" s="53"/>
      <c r="Q156" s="53"/>
      <c r="R156" s="53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2.75" customHeight="1">
      <c r="H157" s="52"/>
      <c r="I157" s="52"/>
      <c r="J157" s="52"/>
      <c r="L157" s="53"/>
      <c r="M157" s="53"/>
      <c r="N157" s="53"/>
      <c r="O157" s="53"/>
      <c r="P157" s="53"/>
      <c r="Q157" s="53"/>
      <c r="R157" s="53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2.75" customHeight="1">
      <c r="H158" s="52"/>
      <c r="I158" s="52"/>
      <c r="J158" s="52"/>
      <c r="L158" s="53"/>
      <c r="M158" s="53"/>
      <c r="N158" s="53"/>
      <c r="O158" s="53"/>
      <c r="P158" s="53"/>
      <c r="Q158" s="53"/>
      <c r="R158" s="53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2.75" customHeight="1">
      <c r="H159" s="52"/>
      <c r="I159" s="52"/>
      <c r="J159" s="52"/>
      <c r="L159" s="53"/>
      <c r="M159" s="53"/>
      <c r="N159" s="53"/>
      <c r="O159" s="53"/>
      <c r="P159" s="53"/>
      <c r="Q159" s="53"/>
      <c r="R159" s="53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2.75" customHeight="1">
      <c r="H160" s="52"/>
      <c r="I160" s="52"/>
      <c r="J160" s="52"/>
      <c r="L160" s="53"/>
      <c r="M160" s="53"/>
      <c r="N160" s="53"/>
      <c r="O160" s="53"/>
      <c r="P160" s="53"/>
      <c r="Q160" s="53"/>
      <c r="R160" s="53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2.75" customHeight="1">
      <c r="H161" s="52"/>
      <c r="I161" s="52"/>
      <c r="J161" s="52"/>
      <c r="L161" s="53"/>
      <c r="M161" s="53"/>
      <c r="N161" s="53"/>
      <c r="O161" s="53"/>
      <c r="P161" s="53"/>
      <c r="Q161" s="53"/>
      <c r="R161" s="53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2.75" customHeight="1">
      <c r="H162" s="52"/>
      <c r="I162" s="52"/>
      <c r="J162" s="52"/>
      <c r="L162" s="53"/>
      <c r="M162" s="53"/>
      <c r="N162" s="53"/>
      <c r="O162" s="53"/>
      <c r="P162" s="53"/>
      <c r="Q162" s="53"/>
      <c r="R162" s="53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2.75" customHeight="1">
      <c r="H163" s="52"/>
      <c r="I163" s="52"/>
      <c r="J163" s="52"/>
      <c r="L163" s="53"/>
      <c r="M163" s="53"/>
      <c r="N163" s="53"/>
      <c r="O163" s="53"/>
      <c r="P163" s="53"/>
      <c r="Q163" s="53"/>
      <c r="R163" s="53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2.75" customHeight="1">
      <c r="H164" s="52"/>
      <c r="I164" s="52"/>
      <c r="J164" s="52"/>
      <c r="L164" s="53"/>
      <c r="M164" s="53"/>
      <c r="N164" s="53"/>
      <c r="O164" s="53"/>
      <c r="P164" s="53"/>
      <c r="Q164" s="53"/>
      <c r="R164" s="53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2.75" customHeight="1">
      <c r="H165" s="52"/>
      <c r="I165" s="52"/>
      <c r="J165" s="52"/>
      <c r="L165" s="53"/>
      <c r="M165" s="53"/>
      <c r="N165" s="53"/>
      <c r="O165" s="53"/>
      <c r="P165" s="53"/>
      <c r="Q165" s="53"/>
      <c r="R165" s="53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2.75" customHeight="1">
      <c r="H166" s="52"/>
      <c r="I166" s="52"/>
      <c r="J166" s="52"/>
      <c r="L166" s="53"/>
      <c r="M166" s="53"/>
      <c r="N166" s="53"/>
      <c r="O166" s="53"/>
      <c r="P166" s="53"/>
      <c r="Q166" s="53"/>
      <c r="R166" s="53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2.75" customHeight="1">
      <c r="H167" s="52"/>
      <c r="I167" s="52"/>
      <c r="J167" s="52"/>
      <c r="L167" s="53"/>
      <c r="M167" s="53"/>
      <c r="N167" s="53"/>
      <c r="O167" s="53"/>
      <c r="P167" s="53"/>
      <c r="Q167" s="53"/>
      <c r="R167" s="53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2.75" customHeight="1">
      <c r="H168" s="52"/>
      <c r="I168" s="52"/>
      <c r="J168" s="52"/>
      <c r="L168" s="53"/>
      <c r="M168" s="53"/>
      <c r="N168" s="53"/>
      <c r="O168" s="53"/>
      <c r="P168" s="53"/>
      <c r="Q168" s="53"/>
      <c r="R168" s="53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2.75" customHeight="1">
      <c r="H169" s="52"/>
      <c r="I169" s="52"/>
      <c r="J169" s="52"/>
      <c r="L169" s="53"/>
      <c r="M169" s="53"/>
      <c r="N169" s="53"/>
      <c r="O169" s="53"/>
      <c r="P169" s="53"/>
      <c r="Q169" s="53"/>
      <c r="R169" s="53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2.75" customHeight="1">
      <c r="H170" s="52"/>
      <c r="I170" s="52"/>
      <c r="J170" s="52"/>
      <c r="L170" s="53"/>
      <c r="M170" s="53"/>
      <c r="N170" s="53"/>
      <c r="O170" s="53"/>
      <c r="P170" s="53"/>
      <c r="Q170" s="53"/>
      <c r="R170" s="53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2.75" customHeight="1">
      <c r="H171" s="52"/>
      <c r="I171" s="52"/>
      <c r="J171" s="52"/>
      <c r="L171" s="53"/>
      <c r="M171" s="53"/>
      <c r="N171" s="53"/>
      <c r="O171" s="53"/>
      <c r="P171" s="53"/>
      <c r="Q171" s="53"/>
      <c r="R171" s="53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2.75" customHeight="1">
      <c r="H172" s="52"/>
      <c r="I172" s="52"/>
      <c r="J172" s="52"/>
      <c r="L172" s="53"/>
      <c r="M172" s="53"/>
      <c r="N172" s="53"/>
      <c r="O172" s="53"/>
      <c r="P172" s="53"/>
      <c r="Q172" s="53"/>
      <c r="R172" s="53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2.75" customHeight="1">
      <c r="H173" s="52"/>
      <c r="I173" s="52"/>
      <c r="J173" s="52"/>
      <c r="L173" s="53"/>
      <c r="M173" s="53"/>
      <c r="N173" s="53"/>
      <c r="O173" s="53"/>
      <c r="P173" s="53"/>
      <c r="Q173" s="53"/>
      <c r="R173" s="53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2.75" customHeight="1">
      <c r="H174" s="52"/>
      <c r="I174" s="52"/>
      <c r="J174" s="52"/>
      <c r="L174" s="53"/>
      <c r="M174" s="53"/>
      <c r="N174" s="53"/>
      <c r="O174" s="53"/>
      <c r="P174" s="53"/>
      <c r="Q174" s="53"/>
      <c r="R174" s="53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2.75" customHeight="1">
      <c r="H175" s="52"/>
      <c r="I175" s="52"/>
      <c r="J175" s="52"/>
      <c r="L175" s="53"/>
      <c r="M175" s="53"/>
      <c r="N175" s="53"/>
      <c r="O175" s="53"/>
      <c r="P175" s="53"/>
      <c r="Q175" s="53"/>
      <c r="R175" s="53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2.75" customHeight="1">
      <c r="H176" s="52"/>
      <c r="I176" s="52"/>
      <c r="J176" s="52"/>
      <c r="L176" s="53"/>
      <c r="M176" s="53"/>
      <c r="N176" s="53"/>
      <c r="O176" s="53"/>
      <c r="P176" s="53"/>
      <c r="Q176" s="53"/>
      <c r="R176" s="53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2.75" customHeight="1">
      <c r="H177" s="52"/>
      <c r="I177" s="52"/>
      <c r="J177" s="52"/>
      <c r="L177" s="53"/>
      <c r="M177" s="53"/>
      <c r="N177" s="53"/>
      <c r="O177" s="53"/>
      <c r="P177" s="53"/>
      <c r="Q177" s="53"/>
      <c r="R177" s="53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2.75" customHeight="1">
      <c r="H178" s="52"/>
      <c r="I178" s="52"/>
      <c r="J178" s="52"/>
      <c r="L178" s="53"/>
      <c r="M178" s="53"/>
      <c r="N178" s="53"/>
      <c r="O178" s="53"/>
      <c r="P178" s="53"/>
      <c r="Q178" s="53"/>
      <c r="R178" s="53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2.75" customHeight="1">
      <c r="H179" s="52"/>
      <c r="I179" s="52"/>
      <c r="J179" s="52"/>
      <c r="L179" s="53"/>
      <c r="M179" s="53"/>
      <c r="N179" s="53"/>
      <c r="O179" s="53"/>
      <c r="P179" s="53"/>
      <c r="Q179" s="53"/>
      <c r="R179" s="53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2.75" customHeight="1">
      <c r="H180" s="52"/>
      <c r="I180" s="52"/>
      <c r="J180" s="52"/>
      <c r="L180" s="53"/>
      <c r="M180" s="53"/>
      <c r="N180" s="53"/>
      <c r="O180" s="53"/>
      <c r="P180" s="53"/>
      <c r="Q180" s="53"/>
      <c r="R180" s="53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2.75" customHeight="1">
      <c r="H181" s="52"/>
      <c r="I181" s="52"/>
      <c r="J181" s="52"/>
      <c r="L181" s="53"/>
      <c r="M181" s="53"/>
      <c r="N181" s="53"/>
      <c r="O181" s="53"/>
      <c r="P181" s="53"/>
      <c r="Q181" s="53"/>
      <c r="R181" s="53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2.75" customHeight="1">
      <c r="H182" s="52"/>
      <c r="I182" s="52"/>
      <c r="J182" s="52"/>
      <c r="L182" s="53"/>
      <c r="M182" s="53"/>
      <c r="N182" s="53"/>
      <c r="O182" s="53"/>
      <c r="P182" s="53"/>
      <c r="Q182" s="53"/>
      <c r="R182" s="53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2.75" customHeight="1">
      <c r="H183" s="52"/>
      <c r="I183" s="52"/>
      <c r="J183" s="52"/>
      <c r="L183" s="53"/>
      <c r="M183" s="53"/>
      <c r="N183" s="53"/>
      <c r="O183" s="53"/>
      <c r="P183" s="53"/>
      <c r="Q183" s="53"/>
      <c r="R183" s="53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2.75" customHeight="1">
      <c r="H184" s="52"/>
      <c r="I184" s="52"/>
      <c r="J184" s="52"/>
      <c r="L184" s="53"/>
      <c r="M184" s="53"/>
      <c r="N184" s="53"/>
      <c r="O184" s="53"/>
      <c r="P184" s="53"/>
      <c r="Q184" s="53"/>
      <c r="R184" s="53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2.75" customHeight="1">
      <c r="H185" s="52"/>
      <c r="I185" s="52"/>
      <c r="J185" s="52"/>
      <c r="L185" s="53"/>
      <c r="M185" s="53"/>
      <c r="N185" s="53"/>
      <c r="O185" s="53"/>
      <c r="P185" s="53"/>
      <c r="Q185" s="53"/>
      <c r="R185" s="53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2.75" customHeight="1">
      <c r="H186" s="52"/>
      <c r="I186" s="52"/>
      <c r="J186" s="52"/>
      <c r="L186" s="53"/>
      <c r="M186" s="53"/>
      <c r="N186" s="53"/>
      <c r="O186" s="53"/>
      <c r="P186" s="53"/>
      <c r="Q186" s="53"/>
      <c r="R186" s="53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2.75" customHeight="1">
      <c r="H187" s="52"/>
      <c r="I187" s="52"/>
      <c r="J187" s="52"/>
      <c r="L187" s="53"/>
      <c r="M187" s="53"/>
      <c r="N187" s="53"/>
      <c r="O187" s="53"/>
      <c r="P187" s="53"/>
      <c r="Q187" s="53"/>
      <c r="R187" s="53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2.75" customHeight="1">
      <c r="H188" s="52"/>
      <c r="I188" s="52"/>
      <c r="J188" s="52"/>
      <c r="L188" s="53"/>
      <c r="M188" s="53"/>
      <c r="N188" s="53"/>
      <c r="O188" s="53"/>
      <c r="P188" s="53"/>
      <c r="Q188" s="53"/>
      <c r="R188" s="53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2.75" customHeight="1">
      <c r="H189" s="52"/>
      <c r="I189" s="52"/>
      <c r="J189" s="52"/>
      <c r="L189" s="53"/>
      <c r="M189" s="53"/>
      <c r="N189" s="53"/>
      <c r="O189" s="53"/>
      <c r="P189" s="53"/>
      <c r="Q189" s="53"/>
      <c r="R189" s="53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2.75" customHeight="1">
      <c r="H190" s="52"/>
      <c r="I190" s="52"/>
      <c r="J190" s="52"/>
      <c r="L190" s="53"/>
      <c r="M190" s="53"/>
      <c r="N190" s="53"/>
      <c r="O190" s="53"/>
      <c r="P190" s="53"/>
      <c r="Q190" s="53"/>
      <c r="R190" s="53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2.75" customHeight="1">
      <c r="H191" s="52"/>
      <c r="I191" s="52"/>
      <c r="J191" s="52"/>
      <c r="L191" s="53"/>
      <c r="M191" s="53"/>
      <c r="N191" s="53"/>
      <c r="O191" s="53"/>
      <c r="P191" s="53"/>
      <c r="Q191" s="53"/>
      <c r="R191" s="53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2.75" customHeight="1">
      <c r="H192" s="52"/>
      <c r="I192" s="52"/>
      <c r="J192" s="52"/>
      <c r="L192" s="53"/>
      <c r="M192" s="53"/>
      <c r="N192" s="53"/>
      <c r="O192" s="53"/>
      <c r="P192" s="53"/>
      <c r="Q192" s="53"/>
      <c r="R192" s="53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2.75" customHeight="1">
      <c r="H193" s="52"/>
      <c r="I193" s="52"/>
      <c r="J193" s="52"/>
      <c r="L193" s="53"/>
      <c r="M193" s="53"/>
      <c r="N193" s="53"/>
      <c r="O193" s="53"/>
      <c r="P193" s="53"/>
      <c r="Q193" s="53"/>
      <c r="R193" s="53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2.75" customHeight="1">
      <c r="H194" s="52"/>
      <c r="I194" s="52"/>
      <c r="J194" s="52"/>
      <c r="L194" s="53"/>
      <c r="M194" s="53"/>
      <c r="N194" s="53"/>
      <c r="O194" s="53"/>
      <c r="P194" s="53"/>
      <c r="Q194" s="53"/>
      <c r="R194" s="53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2.75" customHeight="1">
      <c r="H195" s="52"/>
      <c r="I195" s="52"/>
      <c r="J195" s="52"/>
      <c r="L195" s="53"/>
      <c r="M195" s="53"/>
      <c r="N195" s="53"/>
      <c r="O195" s="53"/>
      <c r="P195" s="53"/>
      <c r="Q195" s="53"/>
      <c r="R195" s="53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2.75" customHeight="1">
      <c r="H196" s="52"/>
      <c r="I196" s="52"/>
      <c r="J196" s="52"/>
      <c r="L196" s="53"/>
      <c r="M196" s="53"/>
      <c r="N196" s="53"/>
      <c r="O196" s="53"/>
      <c r="P196" s="53"/>
      <c r="Q196" s="53"/>
      <c r="R196" s="53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2.75" customHeight="1">
      <c r="H197" s="52"/>
      <c r="I197" s="52"/>
      <c r="J197" s="52"/>
      <c r="L197" s="53"/>
      <c r="M197" s="53"/>
      <c r="N197" s="53"/>
      <c r="O197" s="53"/>
      <c r="P197" s="53"/>
      <c r="Q197" s="53"/>
      <c r="R197" s="53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2.75" customHeight="1">
      <c r="H198" s="52"/>
      <c r="I198" s="52"/>
      <c r="J198" s="52"/>
      <c r="L198" s="53"/>
      <c r="M198" s="53"/>
      <c r="N198" s="53"/>
      <c r="O198" s="53"/>
      <c r="P198" s="53"/>
      <c r="Q198" s="53"/>
      <c r="R198" s="53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2.75" customHeight="1">
      <c r="H199" s="52"/>
      <c r="I199" s="52"/>
      <c r="J199" s="52"/>
      <c r="L199" s="53"/>
      <c r="M199" s="53"/>
      <c r="N199" s="53"/>
      <c r="O199" s="53"/>
      <c r="P199" s="53"/>
      <c r="Q199" s="53"/>
      <c r="R199" s="53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2.75" customHeight="1">
      <c r="H200" s="52"/>
      <c r="I200" s="52"/>
      <c r="J200" s="52"/>
      <c r="L200" s="53"/>
      <c r="M200" s="53"/>
      <c r="N200" s="53"/>
      <c r="O200" s="53"/>
      <c r="P200" s="53"/>
      <c r="Q200" s="53"/>
      <c r="R200" s="53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2.75" customHeight="1">
      <c r="H201" s="52"/>
      <c r="I201" s="52"/>
      <c r="J201" s="52"/>
      <c r="L201" s="53"/>
      <c r="M201" s="53"/>
      <c r="N201" s="53"/>
      <c r="O201" s="53"/>
      <c r="P201" s="53"/>
      <c r="Q201" s="53"/>
      <c r="R201" s="53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2.75" customHeight="1">
      <c r="H202" s="52"/>
      <c r="I202" s="52"/>
      <c r="J202" s="52"/>
      <c r="L202" s="53"/>
      <c r="M202" s="53"/>
      <c r="N202" s="53"/>
      <c r="O202" s="53"/>
      <c r="P202" s="53"/>
      <c r="Q202" s="53"/>
      <c r="R202" s="53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2.75" customHeight="1">
      <c r="H203" s="52"/>
      <c r="I203" s="52"/>
      <c r="J203" s="52"/>
      <c r="L203" s="53"/>
      <c r="M203" s="53"/>
      <c r="N203" s="53"/>
      <c r="O203" s="53"/>
      <c r="P203" s="53"/>
      <c r="Q203" s="53"/>
      <c r="R203" s="53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2.75" customHeight="1">
      <c r="H204" s="52"/>
      <c r="I204" s="52"/>
      <c r="J204" s="52"/>
      <c r="L204" s="53"/>
      <c r="M204" s="53"/>
      <c r="N204" s="53"/>
      <c r="O204" s="53"/>
      <c r="P204" s="53"/>
      <c r="Q204" s="53"/>
      <c r="R204" s="53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2.75" customHeight="1">
      <c r="H205" s="52"/>
      <c r="I205" s="52"/>
      <c r="J205" s="52"/>
      <c r="L205" s="53"/>
      <c r="M205" s="53"/>
      <c r="N205" s="53"/>
      <c r="O205" s="53"/>
      <c r="P205" s="53"/>
      <c r="Q205" s="53"/>
      <c r="R205" s="53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2.75" customHeight="1">
      <c r="H206" s="52"/>
      <c r="I206" s="52"/>
      <c r="J206" s="52"/>
      <c r="L206" s="53"/>
      <c r="M206" s="53"/>
      <c r="N206" s="53"/>
      <c r="O206" s="53"/>
      <c r="P206" s="53"/>
      <c r="Q206" s="53"/>
      <c r="R206" s="53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2.75" customHeight="1">
      <c r="H207" s="52"/>
      <c r="I207" s="52"/>
      <c r="J207" s="52"/>
      <c r="L207" s="53"/>
      <c r="M207" s="53"/>
      <c r="N207" s="53"/>
      <c r="O207" s="53"/>
      <c r="P207" s="53"/>
      <c r="Q207" s="53"/>
      <c r="R207" s="53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2.75" customHeight="1">
      <c r="H208" s="52"/>
      <c r="I208" s="52"/>
      <c r="J208" s="52"/>
      <c r="L208" s="53"/>
      <c r="M208" s="53"/>
      <c r="N208" s="53"/>
      <c r="O208" s="53"/>
      <c r="P208" s="53"/>
      <c r="Q208" s="53"/>
      <c r="R208" s="53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2.75" customHeight="1">
      <c r="H209" s="52"/>
      <c r="I209" s="52"/>
      <c r="J209" s="52"/>
      <c r="L209" s="53"/>
      <c r="M209" s="53"/>
      <c r="N209" s="53"/>
      <c r="O209" s="53"/>
      <c r="P209" s="53"/>
      <c r="Q209" s="53"/>
      <c r="R209" s="53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2.75" customHeight="1">
      <c r="H210" s="52"/>
      <c r="I210" s="52"/>
      <c r="J210" s="52"/>
      <c r="L210" s="53"/>
      <c r="M210" s="53"/>
      <c r="N210" s="53"/>
      <c r="O210" s="53"/>
      <c r="P210" s="53"/>
      <c r="Q210" s="53"/>
      <c r="R210" s="53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2.75" customHeight="1">
      <c r="H211" s="52"/>
      <c r="I211" s="52"/>
      <c r="J211" s="52"/>
      <c r="L211" s="53"/>
      <c r="M211" s="53"/>
      <c r="N211" s="53"/>
      <c r="O211" s="53"/>
      <c r="P211" s="53"/>
      <c r="Q211" s="53"/>
      <c r="R211" s="53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2.75" customHeight="1">
      <c r="H212" s="52"/>
      <c r="I212" s="52"/>
      <c r="J212" s="52"/>
      <c r="L212" s="53"/>
      <c r="M212" s="53"/>
      <c r="N212" s="53"/>
      <c r="O212" s="53"/>
      <c r="P212" s="53"/>
      <c r="Q212" s="53"/>
      <c r="R212" s="53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2.75" customHeight="1">
      <c r="H213" s="52"/>
      <c r="I213" s="52"/>
      <c r="J213" s="52"/>
      <c r="L213" s="53"/>
      <c r="M213" s="53"/>
      <c r="N213" s="53"/>
      <c r="O213" s="53"/>
      <c r="P213" s="53"/>
      <c r="Q213" s="53"/>
      <c r="R213" s="53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2.75" customHeight="1">
      <c r="H214" s="52"/>
      <c r="I214" s="52"/>
      <c r="J214" s="52"/>
      <c r="L214" s="53"/>
      <c r="M214" s="53"/>
      <c r="N214" s="53"/>
      <c r="O214" s="53"/>
      <c r="P214" s="53"/>
      <c r="Q214" s="53"/>
      <c r="R214" s="53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2.75" customHeight="1">
      <c r="H215" s="52"/>
      <c r="I215" s="52"/>
      <c r="J215" s="52"/>
      <c r="L215" s="53"/>
      <c r="M215" s="53"/>
      <c r="N215" s="53"/>
      <c r="O215" s="53"/>
      <c r="P215" s="53"/>
      <c r="Q215" s="53"/>
      <c r="R215" s="53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2.75" customHeight="1">
      <c r="H216" s="52"/>
      <c r="I216" s="52"/>
      <c r="J216" s="52"/>
      <c r="L216" s="53"/>
      <c r="M216" s="53"/>
      <c r="N216" s="53"/>
      <c r="O216" s="53"/>
      <c r="P216" s="53"/>
      <c r="Q216" s="53"/>
      <c r="R216" s="53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2.75" customHeight="1">
      <c r="H217" s="52"/>
      <c r="I217" s="52"/>
      <c r="J217" s="52"/>
      <c r="L217" s="53"/>
      <c r="M217" s="53"/>
      <c r="N217" s="53"/>
      <c r="O217" s="53"/>
      <c r="P217" s="53"/>
      <c r="Q217" s="53"/>
      <c r="R217" s="53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2.75" customHeight="1">
      <c r="H218" s="52"/>
      <c r="I218" s="52"/>
      <c r="J218" s="52"/>
      <c r="L218" s="53"/>
      <c r="M218" s="53"/>
      <c r="N218" s="53"/>
      <c r="O218" s="53"/>
      <c r="P218" s="53"/>
      <c r="Q218" s="53"/>
      <c r="R218" s="53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2.75" customHeight="1">
      <c r="H219" s="52"/>
      <c r="I219" s="52"/>
      <c r="J219" s="52"/>
      <c r="L219" s="53"/>
      <c r="M219" s="53"/>
      <c r="N219" s="53"/>
      <c r="O219" s="53"/>
      <c r="P219" s="53"/>
      <c r="Q219" s="53"/>
      <c r="R219" s="53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2.75" customHeight="1">
      <c r="H220" s="52"/>
      <c r="I220" s="52"/>
      <c r="J220" s="52"/>
      <c r="L220" s="53"/>
      <c r="M220" s="53"/>
      <c r="N220" s="53"/>
      <c r="O220" s="53"/>
      <c r="P220" s="53"/>
      <c r="Q220" s="53"/>
      <c r="R220" s="53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2.75" customHeight="1">
      <c r="H221" s="52"/>
      <c r="I221" s="52"/>
      <c r="J221" s="52"/>
      <c r="L221" s="53"/>
      <c r="M221" s="53"/>
      <c r="N221" s="53"/>
      <c r="O221" s="53"/>
      <c r="P221" s="53"/>
      <c r="Q221" s="53"/>
      <c r="R221" s="53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2.75" customHeight="1">
      <c r="H222" s="52"/>
      <c r="I222" s="52"/>
      <c r="J222" s="52"/>
      <c r="L222" s="53"/>
      <c r="M222" s="53"/>
      <c r="N222" s="53"/>
      <c r="O222" s="53"/>
      <c r="P222" s="53"/>
      <c r="Q222" s="53"/>
      <c r="R222" s="53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2.75" customHeight="1">
      <c r="H223" s="52"/>
      <c r="I223" s="52"/>
      <c r="J223" s="52"/>
      <c r="L223" s="53"/>
      <c r="M223" s="53"/>
      <c r="N223" s="53"/>
      <c r="O223" s="53"/>
      <c r="P223" s="53"/>
      <c r="Q223" s="53"/>
      <c r="R223" s="53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2.75" customHeight="1">
      <c r="H224" s="52"/>
      <c r="I224" s="52"/>
      <c r="J224" s="52"/>
      <c r="L224" s="53"/>
      <c r="M224" s="53"/>
      <c r="N224" s="53"/>
      <c r="O224" s="53"/>
      <c r="P224" s="53"/>
      <c r="Q224" s="53"/>
      <c r="R224" s="53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2.75" customHeight="1">
      <c r="H225" s="52"/>
      <c r="I225" s="52"/>
      <c r="J225" s="52"/>
      <c r="L225" s="53"/>
      <c r="M225" s="53"/>
      <c r="N225" s="53"/>
      <c r="O225" s="53"/>
      <c r="P225" s="53"/>
      <c r="Q225" s="53"/>
      <c r="R225" s="53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2.75" customHeight="1">
      <c r="H226" s="52"/>
      <c r="I226" s="52"/>
      <c r="J226" s="52"/>
      <c r="L226" s="53"/>
      <c r="M226" s="53"/>
      <c r="N226" s="53"/>
      <c r="O226" s="53"/>
      <c r="P226" s="53"/>
      <c r="Q226" s="53"/>
      <c r="R226" s="53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2.75" customHeight="1">
      <c r="H227" s="52"/>
      <c r="I227" s="52"/>
      <c r="J227" s="52"/>
      <c r="L227" s="53"/>
      <c r="M227" s="53"/>
      <c r="N227" s="53"/>
      <c r="O227" s="53"/>
      <c r="P227" s="53"/>
      <c r="Q227" s="53"/>
      <c r="R227" s="53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2.75" customHeight="1">
      <c r="H228" s="52"/>
      <c r="I228" s="52"/>
      <c r="J228" s="52"/>
      <c r="L228" s="53"/>
      <c r="M228" s="53"/>
      <c r="N228" s="53"/>
      <c r="O228" s="53"/>
      <c r="P228" s="53"/>
      <c r="Q228" s="53"/>
      <c r="R228" s="53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2.75" customHeight="1">
      <c r="H229" s="52"/>
      <c r="I229" s="52"/>
      <c r="J229" s="52"/>
      <c r="L229" s="53"/>
      <c r="M229" s="53"/>
      <c r="N229" s="53"/>
      <c r="O229" s="53"/>
      <c r="P229" s="53"/>
      <c r="Q229" s="53"/>
      <c r="R229" s="53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2.75" customHeight="1">
      <c r="H230" s="52"/>
      <c r="I230" s="52"/>
      <c r="J230" s="52"/>
      <c r="L230" s="53"/>
      <c r="M230" s="53"/>
      <c r="N230" s="53"/>
      <c r="O230" s="53"/>
      <c r="P230" s="53"/>
      <c r="Q230" s="53"/>
      <c r="R230" s="53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2.75" customHeight="1">
      <c r="H231" s="52"/>
      <c r="I231" s="52"/>
      <c r="J231" s="52"/>
      <c r="L231" s="53"/>
      <c r="M231" s="53"/>
      <c r="N231" s="53"/>
      <c r="O231" s="53"/>
      <c r="P231" s="53"/>
      <c r="Q231" s="53"/>
      <c r="R231" s="53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2.75" customHeight="1">
      <c r="H232" s="52"/>
      <c r="I232" s="52"/>
      <c r="J232" s="52"/>
      <c r="L232" s="53"/>
      <c r="M232" s="53"/>
      <c r="N232" s="53"/>
      <c r="O232" s="53"/>
      <c r="P232" s="53"/>
      <c r="Q232" s="53"/>
      <c r="R232" s="53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2.75" customHeight="1">
      <c r="H233" s="52"/>
      <c r="I233" s="52"/>
      <c r="J233" s="52"/>
      <c r="L233" s="53"/>
      <c r="M233" s="53"/>
      <c r="N233" s="53"/>
      <c r="O233" s="53"/>
      <c r="P233" s="53"/>
      <c r="Q233" s="53"/>
      <c r="R233" s="53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2.75" customHeight="1">
      <c r="H234" s="52"/>
      <c r="I234" s="52"/>
      <c r="J234" s="52"/>
      <c r="L234" s="53"/>
      <c r="M234" s="53"/>
      <c r="N234" s="53"/>
      <c r="O234" s="53"/>
      <c r="P234" s="53"/>
      <c r="Q234" s="53"/>
      <c r="R234" s="53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2.75" customHeight="1">
      <c r="H235" s="52"/>
      <c r="I235" s="52"/>
      <c r="J235" s="52"/>
      <c r="L235" s="53"/>
      <c r="M235" s="53"/>
      <c r="N235" s="53"/>
      <c r="O235" s="53"/>
      <c r="P235" s="53"/>
      <c r="Q235" s="53"/>
      <c r="R235" s="53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2.75" customHeight="1">
      <c r="H236" s="52"/>
      <c r="I236" s="52"/>
      <c r="J236" s="52"/>
      <c r="L236" s="53"/>
      <c r="M236" s="53"/>
      <c r="N236" s="53"/>
      <c r="O236" s="53"/>
      <c r="P236" s="53"/>
      <c r="Q236" s="53"/>
      <c r="R236" s="53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2.75" customHeight="1">
      <c r="H237" s="52"/>
      <c r="I237" s="52"/>
      <c r="J237" s="52"/>
      <c r="L237" s="53"/>
      <c r="M237" s="53"/>
      <c r="N237" s="53"/>
      <c r="O237" s="53"/>
      <c r="P237" s="53"/>
      <c r="Q237" s="53"/>
      <c r="R237" s="53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2.75" customHeight="1">
      <c r="H238" s="52"/>
      <c r="I238" s="52"/>
      <c r="J238" s="52"/>
      <c r="L238" s="53"/>
      <c r="M238" s="53"/>
      <c r="N238" s="53"/>
      <c r="O238" s="53"/>
      <c r="P238" s="53"/>
      <c r="Q238" s="53"/>
      <c r="R238" s="53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2.75" customHeight="1">
      <c r="H239" s="52"/>
      <c r="I239" s="52"/>
      <c r="J239" s="52"/>
      <c r="L239" s="53"/>
      <c r="M239" s="53"/>
      <c r="N239" s="53"/>
      <c r="O239" s="53"/>
      <c r="P239" s="53"/>
      <c r="Q239" s="53"/>
      <c r="R239" s="53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2.75" customHeight="1">
      <c r="H240" s="52"/>
      <c r="I240" s="52"/>
      <c r="J240" s="52"/>
      <c r="L240" s="53"/>
      <c r="M240" s="53"/>
      <c r="N240" s="53"/>
      <c r="O240" s="53"/>
      <c r="P240" s="53"/>
      <c r="Q240" s="53"/>
      <c r="R240" s="53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2.75" customHeight="1">
      <c r="H241" s="52"/>
      <c r="I241" s="52"/>
      <c r="J241" s="52"/>
      <c r="L241" s="53"/>
      <c r="M241" s="53"/>
      <c r="N241" s="53"/>
      <c r="O241" s="53"/>
      <c r="P241" s="53"/>
      <c r="Q241" s="53"/>
      <c r="R241" s="53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2.75" customHeight="1">
      <c r="H242" s="52"/>
      <c r="I242" s="52"/>
      <c r="J242" s="52"/>
      <c r="L242" s="53"/>
      <c r="M242" s="53"/>
      <c r="N242" s="53"/>
      <c r="O242" s="53"/>
      <c r="P242" s="53"/>
      <c r="Q242" s="53"/>
      <c r="R242" s="53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2.75" customHeight="1">
      <c r="H243" s="52"/>
      <c r="I243" s="52"/>
      <c r="J243" s="52"/>
      <c r="L243" s="53"/>
      <c r="M243" s="53"/>
      <c r="N243" s="53"/>
      <c r="O243" s="53"/>
      <c r="P243" s="53"/>
      <c r="Q243" s="53"/>
      <c r="R243" s="53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2.75" customHeight="1">
      <c r="H244" s="52"/>
      <c r="I244" s="52"/>
      <c r="J244" s="52"/>
      <c r="L244" s="53"/>
      <c r="M244" s="53"/>
      <c r="N244" s="53"/>
      <c r="O244" s="53"/>
      <c r="P244" s="53"/>
      <c r="Q244" s="53"/>
      <c r="R244" s="53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2.75" customHeight="1">
      <c r="H245" s="52"/>
      <c r="I245" s="52"/>
      <c r="J245" s="52"/>
      <c r="L245" s="53"/>
      <c r="M245" s="53"/>
      <c r="N245" s="53"/>
      <c r="O245" s="53"/>
      <c r="P245" s="53"/>
      <c r="Q245" s="53"/>
      <c r="R245" s="53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2.75" customHeight="1">
      <c r="H246" s="52"/>
      <c r="I246" s="52"/>
      <c r="J246" s="52"/>
      <c r="L246" s="53"/>
      <c r="M246" s="53"/>
      <c r="N246" s="53"/>
      <c r="O246" s="53"/>
      <c r="P246" s="53"/>
      <c r="Q246" s="53"/>
      <c r="R246" s="53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2.75" customHeight="1">
      <c r="H247" s="52"/>
      <c r="I247" s="52"/>
      <c r="J247" s="52"/>
      <c r="L247" s="53"/>
      <c r="M247" s="53"/>
      <c r="N247" s="53"/>
      <c r="O247" s="53"/>
      <c r="P247" s="53"/>
      <c r="Q247" s="53"/>
      <c r="R247" s="53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2.75" customHeight="1">
      <c r="H248" s="52"/>
      <c r="I248" s="52"/>
      <c r="J248" s="52"/>
      <c r="L248" s="53"/>
      <c r="M248" s="53"/>
      <c r="N248" s="53"/>
      <c r="O248" s="53"/>
      <c r="P248" s="53"/>
      <c r="Q248" s="53"/>
      <c r="R248" s="53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2.75" customHeight="1">
      <c r="H249" s="52"/>
      <c r="I249" s="52"/>
      <c r="J249" s="52"/>
      <c r="L249" s="53"/>
      <c r="M249" s="53"/>
      <c r="N249" s="53"/>
      <c r="O249" s="53"/>
      <c r="P249" s="53"/>
      <c r="Q249" s="53"/>
      <c r="R249" s="53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2.75" customHeight="1">
      <c r="H250" s="52"/>
      <c r="I250" s="52"/>
      <c r="J250" s="52"/>
      <c r="L250" s="53"/>
      <c r="M250" s="53"/>
      <c r="N250" s="53"/>
      <c r="O250" s="53"/>
      <c r="P250" s="53"/>
      <c r="Q250" s="53"/>
      <c r="R250" s="53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2.75" customHeight="1">
      <c r="H251" s="52"/>
      <c r="I251" s="52"/>
      <c r="J251" s="52"/>
      <c r="L251" s="53"/>
      <c r="M251" s="53"/>
      <c r="N251" s="53"/>
      <c r="O251" s="53"/>
      <c r="P251" s="53"/>
      <c r="Q251" s="53"/>
      <c r="R251" s="53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2.75" customHeight="1">
      <c r="H252" s="52"/>
      <c r="I252" s="52"/>
      <c r="J252" s="52"/>
      <c r="L252" s="53"/>
      <c r="M252" s="53"/>
      <c r="N252" s="53"/>
      <c r="O252" s="53"/>
      <c r="P252" s="53"/>
      <c r="Q252" s="53"/>
      <c r="R252" s="53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2.75" customHeight="1">
      <c r="H253" s="52"/>
      <c r="I253" s="52"/>
      <c r="J253" s="52"/>
      <c r="L253" s="53"/>
      <c r="M253" s="53"/>
      <c r="N253" s="53"/>
      <c r="O253" s="53"/>
      <c r="P253" s="53"/>
      <c r="Q253" s="53"/>
      <c r="R253" s="53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2.75" customHeight="1">
      <c r="H254" s="52"/>
      <c r="I254" s="52"/>
      <c r="J254" s="52"/>
      <c r="L254" s="53"/>
      <c r="M254" s="53"/>
      <c r="N254" s="53"/>
      <c r="O254" s="53"/>
      <c r="P254" s="53"/>
      <c r="Q254" s="53"/>
      <c r="R254" s="53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2.75" customHeight="1">
      <c r="H255" s="52"/>
      <c r="I255" s="52"/>
      <c r="J255" s="52"/>
      <c r="L255" s="53"/>
      <c r="M255" s="53"/>
      <c r="N255" s="53"/>
      <c r="O255" s="53"/>
      <c r="P255" s="53"/>
      <c r="Q255" s="53"/>
      <c r="R255" s="53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2.75" customHeight="1">
      <c r="H256" s="52"/>
      <c r="I256" s="52"/>
      <c r="J256" s="52"/>
      <c r="L256" s="53"/>
      <c r="M256" s="53"/>
      <c r="N256" s="53"/>
      <c r="O256" s="53"/>
      <c r="P256" s="53"/>
      <c r="Q256" s="53"/>
      <c r="R256" s="53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2.75" customHeight="1">
      <c r="H257" s="52"/>
      <c r="I257" s="52"/>
      <c r="J257" s="52"/>
      <c r="L257" s="53"/>
      <c r="M257" s="53"/>
      <c r="N257" s="53"/>
      <c r="O257" s="53"/>
      <c r="P257" s="53"/>
      <c r="Q257" s="53"/>
      <c r="R257" s="53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2.75" customHeight="1">
      <c r="H258" s="52"/>
      <c r="I258" s="52"/>
      <c r="J258" s="52"/>
      <c r="L258" s="53"/>
      <c r="M258" s="53"/>
      <c r="N258" s="53"/>
      <c r="O258" s="53"/>
      <c r="P258" s="53"/>
      <c r="Q258" s="53"/>
      <c r="R258" s="53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2.75" customHeight="1">
      <c r="H259" s="52"/>
      <c r="I259" s="52"/>
      <c r="J259" s="52"/>
      <c r="L259" s="53"/>
      <c r="M259" s="53"/>
      <c r="N259" s="53"/>
      <c r="O259" s="53"/>
      <c r="P259" s="53"/>
      <c r="Q259" s="53"/>
      <c r="R259" s="53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2.75" customHeight="1">
      <c r="H260" s="52"/>
      <c r="I260" s="52"/>
      <c r="J260" s="52"/>
      <c r="L260" s="53"/>
      <c r="M260" s="53"/>
      <c r="N260" s="53"/>
      <c r="O260" s="53"/>
      <c r="P260" s="53"/>
      <c r="Q260" s="53"/>
      <c r="R260" s="53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2.75" customHeight="1">
      <c r="H261" s="52"/>
      <c r="I261" s="52"/>
      <c r="J261" s="52"/>
      <c r="L261" s="53"/>
      <c r="M261" s="53"/>
      <c r="N261" s="53"/>
      <c r="O261" s="53"/>
      <c r="P261" s="53"/>
      <c r="Q261" s="53"/>
      <c r="R261" s="53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2.75" customHeight="1">
      <c r="H262" s="52"/>
      <c r="I262" s="52"/>
      <c r="J262" s="52"/>
      <c r="L262" s="53"/>
      <c r="M262" s="53"/>
      <c r="N262" s="53"/>
      <c r="O262" s="53"/>
      <c r="P262" s="53"/>
      <c r="Q262" s="53"/>
      <c r="R262" s="53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2.75" customHeight="1">
      <c r="H263" s="52"/>
      <c r="I263" s="52"/>
      <c r="J263" s="52"/>
      <c r="L263" s="53"/>
      <c r="M263" s="53"/>
      <c r="N263" s="53"/>
      <c r="O263" s="53"/>
      <c r="P263" s="53"/>
      <c r="Q263" s="53"/>
      <c r="R263" s="53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2.75" customHeight="1">
      <c r="H264" s="52"/>
      <c r="I264" s="52"/>
      <c r="J264" s="52"/>
      <c r="L264" s="53"/>
      <c r="M264" s="53"/>
      <c r="N264" s="53"/>
      <c r="O264" s="53"/>
      <c r="P264" s="53"/>
      <c r="Q264" s="53"/>
      <c r="R264" s="53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2.75" customHeight="1">
      <c r="H265" s="52"/>
      <c r="I265" s="52"/>
      <c r="J265" s="52"/>
      <c r="L265" s="53"/>
      <c r="M265" s="53"/>
      <c r="N265" s="53"/>
      <c r="O265" s="53"/>
      <c r="P265" s="53"/>
      <c r="Q265" s="53"/>
      <c r="R265" s="53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2.75" customHeight="1">
      <c r="H266" s="52"/>
      <c r="I266" s="52"/>
      <c r="J266" s="52"/>
      <c r="L266" s="53"/>
      <c r="M266" s="53"/>
      <c r="N266" s="53"/>
      <c r="O266" s="53"/>
      <c r="P266" s="53"/>
      <c r="Q266" s="53"/>
      <c r="R266" s="53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2.75" customHeight="1">
      <c r="H267" s="52"/>
      <c r="I267" s="52"/>
      <c r="J267" s="52"/>
      <c r="L267" s="53"/>
      <c r="M267" s="53"/>
      <c r="N267" s="53"/>
      <c r="O267" s="53"/>
      <c r="P267" s="53"/>
      <c r="Q267" s="53"/>
      <c r="R267" s="53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2.75" customHeight="1">
      <c r="H268" s="52"/>
      <c r="I268" s="52"/>
      <c r="J268" s="52"/>
      <c r="L268" s="53"/>
      <c r="M268" s="53"/>
      <c r="N268" s="53"/>
      <c r="O268" s="53"/>
      <c r="P268" s="53"/>
      <c r="Q268" s="53"/>
      <c r="R268" s="53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2.75" customHeight="1">
      <c r="H269" s="52"/>
      <c r="I269" s="52"/>
      <c r="J269" s="52"/>
      <c r="L269" s="53"/>
      <c r="M269" s="53"/>
      <c r="N269" s="53"/>
      <c r="O269" s="53"/>
      <c r="P269" s="53"/>
      <c r="Q269" s="53"/>
      <c r="R269" s="53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2.75" customHeight="1">
      <c r="H270" s="52"/>
      <c r="I270" s="52"/>
      <c r="J270" s="52"/>
      <c r="L270" s="53"/>
      <c r="M270" s="53"/>
      <c r="N270" s="53"/>
      <c r="O270" s="53"/>
      <c r="P270" s="53"/>
      <c r="Q270" s="53"/>
      <c r="R270" s="53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2.75" customHeight="1">
      <c r="H271" s="52"/>
      <c r="I271" s="52"/>
      <c r="J271" s="52"/>
      <c r="L271" s="53"/>
      <c r="M271" s="53"/>
      <c r="N271" s="53"/>
      <c r="O271" s="53"/>
      <c r="P271" s="53"/>
      <c r="Q271" s="53"/>
      <c r="R271" s="53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2.75" customHeight="1">
      <c r="H272" s="52"/>
      <c r="I272" s="52"/>
      <c r="J272" s="52"/>
      <c r="L272" s="53"/>
      <c r="M272" s="53"/>
      <c r="N272" s="53"/>
      <c r="O272" s="53"/>
      <c r="P272" s="53"/>
      <c r="Q272" s="53"/>
      <c r="R272" s="53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2.75" customHeight="1">
      <c r="H273" s="52"/>
      <c r="I273" s="52"/>
      <c r="J273" s="52"/>
      <c r="L273" s="53"/>
      <c r="M273" s="53"/>
      <c r="N273" s="53"/>
      <c r="O273" s="53"/>
      <c r="P273" s="53"/>
      <c r="Q273" s="53"/>
      <c r="R273" s="53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2.75" customHeight="1">
      <c r="H274" s="52"/>
      <c r="I274" s="52"/>
      <c r="J274" s="52"/>
      <c r="L274" s="53"/>
      <c r="M274" s="53"/>
      <c r="N274" s="53"/>
      <c r="O274" s="53"/>
      <c r="P274" s="53"/>
      <c r="Q274" s="53"/>
      <c r="R274" s="53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2.75" customHeight="1">
      <c r="H275" s="52"/>
      <c r="I275" s="52"/>
      <c r="J275" s="52"/>
      <c r="L275" s="53"/>
      <c r="M275" s="53"/>
      <c r="N275" s="53"/>
      <c r="O275" s="53"/>
      <c r="P275" s="53"/>
      <c r="Q275" s="53"/>
      <c r="R275" s="53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2.75" customHeight="1">
      <c r="H276" s="52"/>
      <c r="I276" s="52"/>
      <c r="J276" s="52"/>
      <c r="L276" s="53"/>
      <c r="M276" s="53"/>
      <c r="N276" s="53"/>
      <c r="O276" s="53"/>
      <c r="P276" s="53"/>
      <c r="Q276" s="53"/>
      <c r="R276" s="53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2.75" customHeight="1">
      <c r="H277" s="52"/>
      <c r="I277" s="52"/>
      <c r="J277" s="52"/>
      <c r="L277" s="53"/>
      <c r="M277" s="53"/>
      <c r="N277" s="53"/>
      <c r="O277" s="53"/>
      <c r="P277" s="53"/>
      <c r="Q277" s="53"/>
      <c r="R277" s="53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2.75" customHeight="1">
      <c r="H278" s="52"/>
      <c r="I278" s="52"/>
      <c r="J278" s="52"/>
      <c r="L278" s="53"/>
      <c r="M278" s="53"/>
      <c r="N278" s="53"/>
      <c r="O278" s="53"/>
      <c r="P278" s="53"/>
      <c r="Q278" s="53"/>
      <c r="R278" s="53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2.75" customHeight="1">
      <c r="H279" s="52"/>
      <c r="I279" s="52"/>
      <c r="J279" s="52"/>
      <c r="L279" s="53"/>
      <c r="M279" s="53"/>
      <c r="N279" s="53"/>
      <c r="O279" s="53"/>
      <c r="P279" s="53"/>
      <c r="Q279" s="53"/>
      <c r="R279" s="53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2.75" customHeight="1">
      <c r="H280" s="52"/>
      <c r="I280" s="52"/>
      <c r="J280" s="52"/>
      <c r="L280" s="53"/>
      <c r="M280" s="53"/>
      <c r="N280" s="53"/>
      <c r="O280" s="53"/>
      <c r="P280" s="53"/>
      <c r="Q280" s="53"/>
      <c r="R280" s="53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2.75" customHeight="1">
      <c r="H281" s="52"/>
      <c r="I281" s="52"/>
      <c r="J281" s="52"/>
      <c r="L281" s="53"/>
      <c r="M281" s="53"/>
      <c r="N281" s="53"/>
      <c r="O281" s="53"/>
      <c r="P281" s="53"/>
      <c r="Q281" s="53"/>
      <c r="R281" s="53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2.75" customHeight="1">
      <c r="H282" s="52"/>
      <c r="I282" s="52"/>
      <c r="J282" s="52"/>
      <c r="L282" s="53"/>
      <c r="M282" s="53"/>
      <c r="N282" s="53"/>
      <c r="O282" s="53"/>
      <c r="P282" s="53"/>
      <c r="Q282" s="53"/>
      <c r="R282" s="53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2.75" customHeight="1">
      <c r="H283" s="52"/>
      <c r="I283" s="52"/>
      <c r="J283" s="52"/>
      <c r="L283" s="53"/>
      <c r="M283" s="53"/>
      <c r="N283" s="53"/>
      <c r="O283" s="53"/>
      <c r="P283" s="53"/>
      <c r="Q283" s="53"/>
      <c r="R283" s="53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2.75" customHeight="1">
      <c r="H284" s="52"/>
      <c r="I284" s="52"/>
      <c r="J284" s="52"/>
      <c r="L284" s="53"/>
      <c r="M284" s="53"/>
      <c r="N284" s="53"/>
      <c r="O284" s="53"/>
      <c r="P284" s="53"/>
      <c r="Q284" s="53"/>
      <c r="R284" s="53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2.75" customHeight="1">
      <c r="H285" s="52"/>
      <c r="I285" s="52"/>
      <c r="J285" s="52"/>
      <c r="L285" s="53"/>
      <c r="M285" s="53"/>
      <c r="N285" s="53"/>
      <c r="O285" s="53"/>
      <c r="P285" s="53"/>
      <c r="Q285" s="53"/>
      <c r="R285" s="53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2.75" customHeight="1">
      <c r="H286" s="52"/>
      <c r="I286" s="52"/>
      <c r="J286" s="52"/>
      <c r="L286" s="53"/>
      <c r="M286" s="53"/>
      <c r="N286" s="53"/>
      <c r="O286" s="53"/>
      <c r="P286" s="53"/>
      <c r="Q286" s="53"/>
      <c r="R286" s="53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2.75" customHeight="1">
      <c r="H287" s="52"/>
      <c r="I287" s="52"/>
      <c r="J287" s="52"/>
      <c r="L287" s="53"/>
      <c r="M287" s="53"/>
      <c r="N287" s="53"/>
      <c r="O287" s="53"/>
      <c r="P287" s="53"/>
      <c r="Q287" s="53"/>
      <c r="R287" s="53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2.75" customHeight="1">
      <c r="H288" s="52"/>
      <c r="I288" s="52"/>
      <c r="J288" s="52"/>
      <c r="L288" s="53"/>
      <c r="M288" s="53"/>
      <c r="N288" s="53"/>
      <c r="O288" s="53"/>
      <c r="P288" s="53"/>
      <c r="Q288" s="53"/>
      <c r="R288" s="53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2.75" customHeight="1">
      <c r="H289" s="52"/>
      <c r="I289" s="52"/>
      <c r="J289" s="52"/>
      <c r="L289" s="53"/>
      <c r="M289" s="53"/>
      <c r="N289" s="53"/>
      <c r="O289" s="53"/>
      <c r="P289" s="53"/>
      <c r="Q289" s="53"/>
      <c r="R289" s="53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2.75" customHeight="1">
      <c r="H290" s="52"/>
      <c r="I290" s="52"/>
      <c r="J290" s="52"/>
      <c r="L290" s="53"/>
      <c r="M290" s="53"/>
      <c r="N290" s="53"/>
      <c r="O290" s="53"/>
      <c r="P290" s="53"/>
      <c r="Q290" s="53"/>
      <c r="R290" s="53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2.75" customHeight="1">
      <c r="H291" s="52"/>
      <c r="I291" s="52"/>
      <c r="J291" s="52"/>
      <c r="L291" s="53"/>
      <c r="M291" s="53"/>
      <c r="N291" s="53"/>
      <c r="O291" s="53"/>
      <c r="P291" s="53"/>
      <c r="Q291" s="53"/>
      <c r="R291" s="53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2.75" customHeight="1">
      <c r="H292" s="52"/>
      <c r="I292" s="52"/>
      <c r="J292" s="52"/>
      <c r="L292" s="53"/>
      <c r="M292" s="53"/>
      <c r="N292" s="53"/>
      <c r="O292" s="53"/>
      <c r="P292" s="53"/>
      <c r="Q292" s="53"/>
      <c r="R292" s="53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2.75" customHeight="1">
      <c r="H293" s="52"/>
      <c r="I293" s="52"/>
      <c r="J293" s="52"/>
      <c r="L293" s="53"/>
      <c r="M293" s="53"/>
      <c r="N293" s="53"/>
      <c r="O293" s="53"/>
      <c r="P293" s="53"/>
      <c r="Q293" s="53"/>
      <c r="R293" s="53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2.75" customHeight="1">
      <c r="H294" s="52"/>
      <c r="I294" s="52"/>
      <c r="J294" s="52"/>
      <c r="L294" s="53"/>
      <c r="M294" s="53"/>
      <c r="N294" s="53"/>
      <c r="O294" s="53"/>
      <c r="P294" s="53"/>
      <c r="Q294" s="53"/>
      <c r="R294" s="53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2.75" customHeight="1">
      <c r="H295" s="52"/>
      <c r="I295" s="52"/>
      <c r="J295" s="52"/>
      <c r="L295" s="53"/>
      <c r="M295" s="53"/>
      <c r="N295" s="53"/>
      <c r="O295" s="53"/>
      <c r="P295" s="53"/>
      <c r="Q295" s="53"/>
      <c r="R295" s="53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2.75" customHeight="1">
      <c r="H296" s="52"/>
      <c r="I296" s="52"/>
      <c r="J296" s="52"/>
      <c r="L296" s="53"/>
      <c r="M296" s="53"/>
      <c r="N296" s="53"/>
      <c r="O296" s="53"/>
      <c r="P296" s="53"/>
      <c r="Q296" s="53"/>
      <c r="R296" s="53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2.75" customHeight="1">
      <c r="H297" s="52"/>
      <c r="I297" s="52"/>
      <c r="J297" s="52"/>
      <c r="L297" s="53"/>
      <c r="M297" s="53"/>
      <c r="N297" s="53"/>
      <c r="O297" s="53"/>
      <c r="P297" s="53"/>
      <c r="Q297" s="53"/>
      <c r="R297" s="53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2.75" customHeight="1">
      <c r="H298" s="52"/>
      <c r="I298" s="52"/>
      <c r="J298" s="52"/>
      <c r="L298" s="53"/>
      <c r="M298" s="53"/>
      <c r="N298" s="53"/>
      <c r="O298" s="53"/>
      <c r="P298" s="53"/>
      <c r="Q298" s="53"/>
      <c r="R298" s="53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A1" s="136"/>
      <c r="B1" s="1"/>
      <c r="C1" s="59"/>
      <c r="D1" s="59"/>
      <c r="E1" s="59"/>
      <c r="F1" s="59"/>
      <c r="G1" s="59"/>
      <c r="H1" s="3"/>
      <c r="I1" s="59"/>
      <c r="J1" s="59"/>
      <c r="K1" s="3"/>
      <c r="L1" s="59"/>
      <c r="M1" s="59"/>
      <c r="N1" s="59"/>
      <c r="O1" s="59"/>
      <c r="P1" s="59"/>
      <c r="Q1" s="59"/>
      <c r="R1" s="59"/>
      <c r="S1" s="59"/>
      <c r="T1" s="3"/>
      <c r="U1" s="4"/>
      <c r="V1" s="59"/>
      <c r="W1" s="59"/>
      <c r="X1" s="59"/>
      <c r="Y1" s="6"/>
      <c r="Z1" s="7"/>
      <c r="AA1" s="7"/>
      <c r="AB1" s="7"/>
      <c r="AC1" s="7"/>
      <c r="AD1" s="7"/>
      <c r="AE1" s="7"/>
      <c r="AF1" s="7"/>
      <c r="AG1" s="7"/>
      <c r="AH1" s="7"/>
      <c r="AI1" s="59"/>
      <c r="AJ1" s="59"/>
      <c r="AK1" s="59"/>
      <c r="AL1" s="59"/>
      <c r="AM1" s="59"/>
      <c r="AN1" s="59"/>
      <c r="AO1" s="59"/>
      <c r="AP1" s="59"/>
      <c r="AQ1" s="59"/>
      <c r="AR1" s="59"/>
    </row>
    <row r="2" ht="18.75" customHeight="1">
      <c r="A2" s="136"/>
      <c r="B2" s="8" t="s">
        <v>254</v>
      </c>
      <c r="C2" s="9"/>
      <c r="D2" s="9"/>
      <c r="E2" s="9"/>
      <c r="F2" s="10"/>
      <c r="G2" s="59"/>
      <c r="H2" s="11" t="s">
        <v>23</v>
      </c>
      <c r="I2" s="10"/>
      <c r="J2" s="59"/>
      <c r="K2" s="11" t="s">
        <v>24</v>
      </c>
      <c r="L2" s="9"/>
      <c r="M2" s="9"/>
      <c r="N2" s="9"/>
      <c r="O2" s="9"/>
      <c r="P2" s="9"/>
      <c r="Q2" s="9"/>
      <c r="R2" s="10"/>
      <c r="S2" s="59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59"/>
      <c r="AJ2" s="59"/>
      <c r="AK2" s="59"/>
      <c r="AL2" s="59"/>
      <c r="AM2" s="59"/>
      <c r="AN2" s="59"/>
      <c r="AO2" s="59"/>
      <c r="AP2" s="59"/>
      <c r="AQ2" s="59"/>
      <c r="AR2" s="59"/>
    </row>
    <row r="3" ht="15.0" customHeight="1">
      <c r="A3" s="136"/>
      <c r="B3" s="136"/>
      <c r="C3" s="59"/>
      <c r="D3" s="59"/>
      <c r="E3" s="59"/>
      <c r="F3" s="59"/>
      <c r="G3" s="59"/>
      <c r="H3" s="59"/>
      <c r="I3" s="59"/>
      <c r="J3" s="59"/>
      <c r="K3" s="3"/>
      <c r="L3" s="59"/>
      <c r="M3" s="59"/>
      <c r="N3" s="59"/>
      <c r="O3" s="59"/>
      <c r="P3" s="59"/>
      <c r="Q3" s="59"/>
      <c r="R3" s="59"/>
      <c r="S3" s="59"/>
      <c r="T3" s="13" t="s">
        <v>26</v>
      </c>
      <c r="U3" s="14" t="str">
        <f>SUM(U5:U10,U13:U18,U21:U26,U29:U34,U37:U42,U45:U50,U53:U58,U61:U66)</f>
        <v>13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  <c r="AI3" s="136"/>
      <c r="AJ3" s="136"/>
      <c r="AK3" s="136"/>
      <c r="AL3" s="136"/>
      <c r="AM3" s="136"/>
      <c r="AN3" s="136"/>
      <c r="AO3" s="136"/>
      <c r="AP3" s="136"/>
      <c r="AQ3" s="136"/>
      <c r="AR3" s="136"/>
    </row>
    <row r="4" ht="13.5" customHeight="1">
      <c r="A4" s="136"/>
      <c r="B4" s="15" t="s">
        <v>27</v>
      </c>
      <c r="C4" s="9"/>
      <c r="D4" s="9"/>
      <c r="E4" s="9"/>
      <c r="F4" s="10"/>
      <c r="G4" s="59"/>
      <c r="H4" s="16" t="s">
        <v>28</v>
      </c>
      <c r="I4" s="17" t="s">
        <v>29</v>
      </c>
      <c r="J4" s="18"/>
      <c r="K4" s="59"/>
      <c r="L4" s="59"/>
      <c r="M4" s="59"/>
      <c r="N4" s="59"/>
      <c r="O4" s="59"/>
      <c r="P4" s="59"/>
      <c r="Q4" s="59"/>
      <c r="R4" s="59"/>
      <c r="S4" s="59"/>
      <c r="T4" s="136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  <c r="AI4" s="136"/>
      <c r="AJ4" s="136"/>
      <c r="AK4" s="136"/>
      <c r="AL4" s="136"/>
      <c r="AM4" s="136"/>
      <c r="AN4" s="136"/>
      <c r="AO4" s="136"/>
      <c r="AP4" s="136"/>
      <c r="AQ4" s="136"/>
      <c r="AR4" s="136"/>
    </row>
    <row r="5" ht="13.5" customHeight="1">
      <c r="A5" s="136"/>
      <c r="B5" s="21" t="s">
        <v>30</v>
      </c>
      <c r="C5" s="22">
        <v>3.0</v>
      </c>
      <c r="D5" s="19" t="s">
        <v>31</v>
      </c>
      <c r="E5" s="23">
        <v>1.0</v>
      </c>
      <c r="F5" s="24" t="s">
        <v>32</v>
      </c>
      <c r="G5" s="59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2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0</v>
      </c>
      <c r="AB5" s="6" t="str">
        <f>IF(
  AND(
    ISNUMBER(RESULTADOS!C5),
    ISNUMBER(RESULTADOS!E5),
    ISNUMBER(C5),
    ISNUMBER(E5),
    AND(Z5=1,AA5=0,(RESULTADOS!C5-RESULTADOS!E5)=(C5-E5))
  ),
  1,
  0
)</f>
        <v>1</v>
      </c>
      <c r="AC5" s="6"/>
      <c r="AD5" s="6"/>
      <c r="AE5" s="6"/>
      <c r="AF5" s="6"/>
      <c r="AG5" s="6"/>
      <c r="AH5" s="6"/>
      <c r="AI5" s="136"/>
      <c r="AJ5" s="136"/>
      <c r="AK5" s="136"/>
      <c r="AL5" s="136"/>
      <c r="AM5" s="136"/>
      <c r="AN5" s="136"/>
      <c r="AO5" s="136"/>
      <c r="AP5" s="136"/>
      <c r="AQ5" s="136"/>
      <c r="AR5" s="136"/>
    </row>
    <row r="6" ht="13.5" customHeight="1">
      <c r="A6" s="136"/>
      <c r="B6" s="21" t="s">
        <v>40</v>
      </c>
      <c r="C6" s="22">
        <v>1.0</v>
      </c>
      <c r="D6" s="19" t="s">
        <v>31</v>
      </c>
      <c r="E6" s="23">
        <v>1.0</v>
      </c>
      <c r="F6" s="34" t="s">
        <v>41</v>
      </c>
      <c r="G6" s="59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4</v>
      </c>
      <c r="M6" s="19" t="str">
        <f t="shared" ref="M6:M9" si="5">N6-O6</f>
        <v>-1</v>
      </c>
      <c r="N6" s="19" t="str">
        <f t="shared" ref="N6:N9" si="6">SUM(INDIRECT($AC6),INDIRECT($AD6),INDIRECT($AE6))</f>
        <v>2</v>
      </c>
      <c r="O6" s="19" t="str">
        <f t="shared" ref="O6:O9" si="7">SUM(INDIRECT($AF6),INDIRECT($AG6),INDIRECT($AH6))</f>
        <v>3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1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  <c r="AI6" s="136"/>
      <c r="AJ6" s="136"/>
      <c r="AK6" s="136"/>
      <c r="AL6" s="136"/>
      <c r="AM6" s="136"/>
      <c r="AN6" s="136"/>
      <c r="AO6" s="136"/>
      <c r="AP6" s="136"/>
      <c r="AQ6" s="136"/>
      <c r="AR6" s="136"/>
    </row>
    <row r="7" ht="12.75" customHeight="1">
      <c r="A7" s="136"/>
      <c r="B7" s="21" t="s">
        <v>41</v>
      </c>
      <c r="C7" s="22">
        <v>1.0</v>
      </c>
      <c r="D7" s="19" t="s">
        <v>31</v>
      </c>
      <c r="E7" s="23">
        <v>0.0</v>
      </c>
      <c r="F7" s="34" t="s">
        <v>32</v>
      </c>
      <c r="G7" s="59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9</v>
      </c>
      <c r="M7" s="19" t="str">
        <f t="shared" si="5"/>
        <v>6</v>
      </c>
      <c r="N7" s="19" t="str">
        <f t="shared" si="6"/>
        <v>7</v>
      </c>
      <c r="O7" s="19" t="str">
        <f t="shared" si="7"/>
        <v>1</v>
      </c>
      <c r="P7" s="19" t="str">
        <f t="shared" si="8"/>
        <v>3</v>
      </c>
      <c r="Q7" s="19" t="str">
        <f t="shared" si="9"/>
        <v>0</v>
      </c>
      <c r="R7" s="36" t="str">
        <f t="shared" si="10"/>
        <v>0</v>
      </c>
      <c r="S7" s="59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  <c r="AI7" s="136"/>
      <c r="AJ7" s="136"/>
      <c r="AK7" s="136"/>
      <c r="AL7" s="136"/>
      <c r="AM7" s="136"/>
      <c r="AN7" s="136"/>
      <c r="AO7" s="136"/>
      <c r="AP7" s="136"/>
      <c r="AQ7" s="136"/>
      <c r="AR7" s="136"/>
    </row>
    <row r="8" ht="12.75" customHeight="1">
      <c r="A8" s="136"/>
      <c r="B8" s="21" t="s">
        <v>30</v>
      </c>
      <c r="C8" s="22">
        <v>2.0</v>
      </c>
      <c r="D8" s="19" t="s">
        <v>31</v>
      </c>
      <c r="E8" s="23">
        <v>0.0</v>
      </c>
      <c r="F8" s="34" t="s">
        <v>40</v>
      </c>
      <c r="G8" s="59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4</v>
      </c>
      <c r="M8" s="19" t="str">
        <f t="shared" si="5"/>
        <v>-1</v>
      </c>
      <c r="N8" s="19" t="str">
        <f t="shared" si="6"/>
        <v>2</v>
      </c>
      <c r="O8" s="19" t="str">
        <f t="shared" si="7"/>
        <v>3</v>
      </c>
      <c r="P8" s="19" t="str">
        <f t="shared" si="8"/>
        <v>1</v>
      </c>
      <c r="Q8" s="19" t="str">
        <f t="shared" si="9"/>
        <v>1</v>
      </c>
      <c r="R8" s="36" t="str">
        <f t="shared" si="10"/>
        <v>1</v>
      </c>
      <c r="S8" s="59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  <c r="AI8" s="136"/>
      <c r="AJ8" s="136"/>
      <c r="AK8" s="136"/>
      <c r="AL8" s="136"/>
      <c r="AM8" s="136"/>
      <c r="AN8" s="136"/>
      <c r="AO8" s="136"/>
      <c r="AP8" s="136"/>
      <c r="AQ8" s="136"/>
      <c r="AR8" s="136"/>
    </row>
    <row r="9" ht="12.75" customHeight="1">
      <c r="A9" s="136"/>
      <c r="B9" s="21" t="s">
        <v>32</v>
      </c>
      <c r="C9" s="22">
        <v>0.0</v>
      </c>
      <c r="D9" s="19" t="s">
        <v>31</v>
      </c>
      <c r="E9" s="23">
        <v>1.0</v>
      </c>
      <c r="F9" s="34" t="s">
        <v>40</v>
      </c>
      <c r="G9" s="59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0</v>
      </c>
      <c r="M9" s="38" t="str">
        <f t="shared" si="5"/>
        <v>-4</v>
      </c>
      <c r="N9" s="38" t="str">
        <f t="shared" si="6"/>
        <v>1</v>
      </c>
      <c r="O9" s="38" t="str">
        <f t="shared" si="7"/>
        <v>5</v>
      </c>
      <c r="P9" s="38" t="str">
        <f t="shared" si="8"/>
        <v>0</v>
      </c>
      <c r="Q9" s="38" t="str">
        <f t="shared" si="9"/>
        <v>0</v>
      </c>
      <c r="R9" s="39" t="str">
        <f t="shared" si="10"/>
        <v>3</v>
      </c>
      <c r="S9" s="59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  <c r="AI9" s="136"/>
      <c r="AJ9" s="136"/>
      <c r="AK9" s="136"/>
      <c r="AL9" s="136"/>
      <c r="AM9" s="136"/>
      <c r="AN9" s="136"/>
      <c r="AO9" s="136"/>
      <c r="AP9" s="136"/>
      <c r="AQ9" s="136"/>
      <c r="AR9" s="136"/>
    </row>
    <row r="10" ht="13.5" customHeight="1">
      <c r="A10" s="136"/>
      <c r="B10" s="40" t="s">
        <v>41</v>
      </c>
      <c r="C10" s="41">
        <v>0.0</v>
      </c>
      <c r="D10" s="38" t="s">
        <v>31</v>
      </c>
      <c r="E10" s="42">
        <v>2.0</v>
      </c>
      <c r="F10" s="43" t="s">
        <v>30</v>
      </c>
      <c r="G10" s="59"/>
      <c r="H10" s="44">
        <v>46197.0</v>
      </c>
      <c r="I10" s="45">
        <v>0.916666666666667</v>
      </c>
      <c r="J10" s="27"/>
      <c r="K10" s="31"/>
      <c r="L10" s="136"/>
      <c r="M10" s="136"/>
      <c r="N10" s="136"/>
      <c r="O10" s="136"/>
      <c r="P10" s="136"/>
      <c r="Q10" s="136"/>
      <c r="R10" s="136"/>
      <c r="S10" s="59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</row>
    <row r="11" ht="13.5" customHeight="1">
      <c r="A11" s="136"/>
      <c r="B11" s="4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136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</row>
    <row r="12" ht="13.5" customHeight="1">
      <c r="A12" s="136"/>
      <c r="B12" s="15" t="s">
        <v>54</v>
      </c>
      <c r="C12" s="9"/>
      <c r="D12" s="9"/>
      <c r="E12" s="9"/>
      <c r="F12" s="10"/>
      <c r="G12" s="59"/>
      <c r="H12" s="16" t="s">
        <v>28</v>
      </c>
      <c r="I12" s="17" t="s">
        <v>29</v>
      </c>
      <c r="J12" s="18"/>
      <c r="K12" s="59"/>
      <c r="L12" s="59"/>
      <c r="M12" s="59"/>
      <c r="N12" s="59"/>
      <c r="O12" s="59"/>
      <c r="P12" s="59"/>
      <c r="Q12" s="59"/>
      <c r="R12" s="59"/>
      <c r="S12" s="59"/>
      <c r="T12" s="136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</row>
    <row r="13" ht="13.5" customHeight="1">
      <c r="A13" s="136"/>
      <c r="B13" s="21" t="s">
        <v>55</v>
      </c>
      <c r="C13" s="22">
        <v>1.0</v>
      </c>
      <c r="D13" s="19" t="s">
        <v>31</v>
      </c>
      <c r="E13" s="23">
        <v>0.0</v>
      </c>
      <c r="F13" s="24" t="s">
        <v>56</v>
      </c>
      <c r="G13" s="59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</row>
    <row r="14" ht="13.5" customHeight="1">
      <c r="A14" s="136"/>
      <c r="B14" s="21" t="s">
        <v>57</v>
      </c>
      <c r="C14" s="22">
        <v>0.0</v>
      </c>
      <c r="D14" s="19" t="s">
        <v>31</v>
      </c>
      <c r="E14" s="23">
        <v>2.0</v>
      </c>
      <c r="F14" s="24" t="s">
        <v>58</v>
      </c>
      <c r="G14" s="59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3</v>
      </c>
      <c r="M14" s="19" t="str">
        <f t="shared" ref="M14:M17" si="18">N14-O14</f>
        <v>-1</v>
      </c>
      <c r="N14" s="19" t="str">
        <f t="shared" ref="N14:N17" si="19">SUM(INDIRECT($AC14),INDIRECT($AD14),INDIRECT($AE14))</f>
        <v>2</v>
      </c>
      <c r="O14" s="19" t="str">
        <f t="shared" ref="O14:O17" si="20">SUM(INDIRECT($AF14),INDIRECT($AG14),INDIRECT($AH14))</f>
        <v>3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0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2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</row>
    <row r="15" ht="12.75" customHeight="1">
      <c r="A15" s="136"/>
      <c r="B15" s="21" t="s">
        <v>58</v>
      </c>
      <c r="C15" s="22">
        <v>2.0</v>
      </c>
      <c r="D15" s="19" t="s">
        <v>31</v>
      </c>
      <c r="E15" s="23">
        <v>1.0</v>
      </c>
      <c r="F15" s="24" t="s">
        <v>56</v>
      </c>
      <c r="G15" s="59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6</v>
      </c>
      <c r="M15" s="19" t="str">
        <f t="shared" si="18"/>
        <v>1</v>
      </c>
      <c r="N15" s="19" t="str">
        <f t="shared" si="19"/>
        <v>2</v>
      </c>
      <c r="O15" s="19" t="str">
        <f t="shared" si="20"/>
        <v>1</v>
      </c>
      <c r="P15" s="19" t="str">
        <f t="shared" si="21"/>
        <v>2</v>
      </c>
      <c r="Q15" s="19" t="str">
        <f t="shared" si="22"/>
        <v>0</v>
      </c>
      <c r="R15" s="36" t="str">
        <f t="shared" si="23"/>
        <v>1</v>
      </c>
      <c r="S15" s="59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</row>
    <row r="16" ht="12.75" customHeight="1">
      <c r="A16" s="136"/>
      <c r="B16" s="21" t="s">
        <v>55</v>
      </c>
      <c r="C16" s="22">
        <v>1.0</v>
      </c>
      <c r="D16" s="19" t="s">
        <v>31</v>
      </c>
      <c r="E16" s="23">
        <v>0.0</v>
      </c>
      <c r="F16" s="24" t="s">
        <v>57</v>
      </c>
      <c r="G16" s="59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-4</v>
      </c>
      <c r="N16" s="19" t="str">
        <f t="shared" si="19"/>
        <v>0</v>
      </c>
      <c r="O16" s="19" t="str">
        <f t="shared" si="20"/>
        <v>4</v>
      </c>
      <c r="P16" s="19" t="str">
        <f t="shared" si="21"/>
        <v>0</v>
      </c>
      <c r="Q16" s="19" t="str">
        <f t="shared" si="22"/>
        <v>0</v>
      </c>
      <c r="R16" s="36" t="str">
        <f t="shared" si="23"/>
        <v>3</v>
      </c>
      <c r="S16" s="59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</row>
    <row r="17" ht="12.75" customHeight="1">
      <c r="A17" s="136"/>
      <c r="B17" s="21" t="s">
        <v>58</v>
      </c>
      <c r="C17" s="22">
        <v>1.0</v>
      </c>
      <c r="D17" s="19" t="s">
        <v>31</v>
      </c>
      <c r="E17" s="23">
        <v>0.0</v>
      </c>
      <c r="F17" s="24" t="s">
        <v>55</v>
      </c>
      <c r="G17" s="59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9</v>
      </c>
      <c r="M17" s="38" t="str">
        <f t="shared" si="18"/>
        <v>4</v>
      </c>
      <c r="N17" s="38" t="str">
        <f t="shared" si="19"/>
        <v>5</v>
      </c>
      <c r="O17" s="38" t="str">
        <f t="shared" si="20"/>
        <v>1</v>
      </c>
      <c r="P17" s="38" t="str">
        <f t="shared" si="21"/>
        <v>3</v>
      </c>
      <c r="Q17" s="38" t="str">
        <f t="shared" si="22"/>
        <v>0</v>
      </c>
      <c r="R17" s="39" t="str">
        <f t="shared" si="23"/>
        <v>0</v>
      </c>
      <c r="S17" s="59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</row>
    <row r="18" ht="13.5" customHeight="1">
      <c r="A18" s="136"/>
      <c r="B18" s="40" t="s">
        <v>56</v>
      </c>
      <c r="C18" s="41">
        <v>1.0</v>
      </c>
      <c r="D18" s="38" t="s">
        <v>31</v>
      </c>
      <c r="E18" s="42">
        <v>0.0</v>
      </c>
      <c r="F18" s="48" t="s">
        <v>57</v>
      </c>
      <c r="G18" s="59"/>
      <c r="H18" s="44">
        <v>46197.0</v>
      </c>
      <c r="I18" s="45">
        <v>0.666666666666667</v>
      </c>
      <c r="J18" s="27"/>
      <c r="K18" s="31"/>
      <c r="L18" s="136"/>
      <c r="M18" s="136"/>
      <c r="N18" s="136"/>
      <c r="O18" s="136"/>
      <c r="P18" s="136"/>
      <c r="Q18" s="136"/>
      <c r="R18" s="136"/>
      <c r="S18" s="59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</row>
    <row r="19" ht="13.5" customHeight="1">
      <c r="A19" s="136"/>
      <c r="B19" s="4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136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</row>
    <row r="20" ht="13.5" customHeight="1">
      <c r="A20" s="136"/>
      <c r="B20" s="15" t="s">
        <v>71</v>
      </c>
      <c r="C20" s="9"/>
      <c r="D20" s="9"/>
      <c r="E20" s="9"/>
      <c r="F20" s="10"/>
      <c r="G20" s="59"/>
      <c r="H20" s="16" t="s">
        <v>28</v>
      </c>
      <c r="I20" s="17" t="s">
        <v>29</v>
      </c>
      <c r="J20" s="18"/>
      <c r="K20" s="59"/>
      <c r="L20" s="59"/>
      <c r="M20" s="59"/>
      <c r="N20" s="59"/>
      <c r="O20" s="59"/>
      <c r="P20" s="59"/>
      <c r="Q20" s="59"/>
      <c r="R20" s="59"/>
      <c r="S20" s="59"/>
      <c r="T20" s="136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</row>
    <row r="21" ht="13.5" customHeight="1">
      <c r="A21" s="136"/>
      <c r="B21" s="21" t="s">
        <v>72</v>
      </c>
      <c r="C21" s="22">
        <v>2.0</v>
      </c>
      <c r="D21" s="19" t="s">
        <v>31</v>
      </c>
      <c r="E21" s="23">
        <v>1.0</v>
      </c>
      <c r="F21" s="24" t="s">
        <v>73</v>
      </c>
      <c r="G21" s="59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</row>
    <row r="22" ht="13.5" customHeight="1">
      <c r="A22" s="136"/>
      <c r="B22" s="21" t="s">
        <v>74</v>
      </c>
      <c r="C22" s="22">
        <v>0.0</v>
      </c>
      <c r="D22" s="19" t="s">
        <v>31</v>
      </c>
      <c r="E22" s="23">
        <v>1.0</v>
      </c>
      <c r="F22" s="24" t="s">
        <v>75</v>
      </c>
      <c r="G22" s="59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5</v>
      </c>
      <c r="N22" s="19" t="str">
        <f t="shared" ref="N22:N25" si="32">SUM(INDIRECT($AC22),INDIRECT($AD22),INDIRECT($AE22))</f>
        <v>7</v>
      </c>
      <c r="O22" s="19" t="str">
        <f t="shared" ref="O22:O25" si="33">SUM(INDIRECT($AF22),INDIRECT($AG22),INDIRECT($AH22))</f>
        <v>2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4</v>
      </c>
      <c r="Y22" s="33" t="str">
        <f>IF(AND(ISNUMBER(RESULTADOS!C22),ISNUMBER(RESULTADOS!E22),ISNUMBER(C22),ISNUMBER(E22),C22=RESULTADOS!C22,E22=RESULTADOS!E22),2,0)</f>
        <v>2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1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</row>
    <row r="23" ht="12.75" customHeight="1">
      <c r="A23" s="136"/>
      <c r="B23" s="21" t="s">
        <v>75</v>
      </c>
      <c r="C23" s="22">
        <v>0.0</v>
      </c>
      <c r="D23" s="19" t="s">
        <v>31</v>
      </c>
      <c r="E23" s="23">
        <v>2.0</v>
      </c>
      <c r="F23" s="24" t="s">
        <v>73</v>
      </c>
      <c r="G23" s="59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-3</v>
      </c>
      <c r="N23" s="19" t="str">
        <f t="shared" si="32"/>
        <v>2</v>
      </c>
      <c r="O23" s="19" t="str">
        <f t="shared" si="33"/>
        <v>5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59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</row>
    <row r="24" ht="12.75" customHeight="1">
      <c r="A24" s="136"/>
      <c r="B24" s="21" t="s">
        <v>72</v>
      </c>
      <c r="C24" s="22">
        <v>2.0</v>
      </c>
      <c r="D24" s="19" t="s">
        <v>31</v>
      </c>
      <c r="E24" s="23">
        <v>0.0</v>
      </c>
      <c r="F24" s="24" t="s">
        <v>74</v>
      </c>
      <c r="G24" s="59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-6</v>
      </c>
      <c r="N24" s="19" t="str">
        <f t="shared" si="32"/>
        <v>0</v>
      </c>
      <c r="O24" s="19" t="str">
        <f t="shared" si="33"/>
        <v>6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59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</row>
    <row r="25" ht="12.75" customHeight="1">
      <c r="A25" s="136"/>
      <c r="B25" s="21" t="s">
        <v>73</v>
      </c>
      <c r="C25" s="22">
        <v>3.0</v>
      </c>
      <c r="D25" s="19" t="s">
        <v>31</v>
      </c>
      <c r="E25" s="23">
        <v>0.0</v>
      </c>
      <c r="F25" s="24" t="s">
        <v>74</v>
      </c>
      <c r="G25" s="59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4</v>
      </c>
      <c r="N25" s="38" t="str">
        <f t="shared" si="32"/>
        <v>6</v>
      </c>
      <c r="O25" s="38" t="str">
        <f t="shared" si="33"/>
        <v>2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59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</row>
    <row r="26" ht="13.5" customHeight="1">
      <c r="A26" s="136"/>
      <c r="B26" s="40" t="s">
        <v>75</v>
      </c>
      <c r="C26" s="41">
        <v>1.0</v>
      </c>
      <c r="D26" s="38" t="s">
        <v>31</v>
      </c>
      <c r="E26" s="42">
        <v>3.0</v>
      </c>
      <c r="F26" s="48" t="s">
        <v>72</v>
      </c>
      <c r="G26" s="59"/>
      <c r="H26" s="44">
        <v>46197.0</v>
      </c>
      <c r="I26" s="45">
        <v>0.791666666666667</v>
      </c>
      <c r="J26" s="27"/>
      <c r="K26" s="46"/>
      <c r="L26" s="136"/>
      <c r="M26" s="136"/>
      <c r="N26" s="136"/>
      <c r="O26" s="136"/>
      <c r="P26" s="136"/>
      <c r="Q26" s="136"/>
      <c r="R26" s="136"/>
      <c r="S26" s="59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</row>
    <row r="27" ht="13.5" customHeight="1">
      <c r="A27" s="136"/>
      <c r="B27" s="4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136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</row>
    <row r="28" ht="13.5" customHeight="1">
      <c r="A28" s="136"/>
      <c r="B28" s="15" t="s">
        <v>88</v>
      </c>
      <c r="C28" s="9"/>
      <c r="D28" s="9"/>
      <c r="E28" s="9"/>
      <c r="F28" s="10"/>
      <c r="G28" s="59"/>
      <c r="H28" s="16" t="s">
        <v>28</v>
      </c>
      <c r="I28" s="17" t="s">
        <v>29</v>
      </c>
      <c r="J28" s="18"/>
      <c r="K28" s="59"/>
      <c r="L28" s="59"/>
      <c r="M28" s="59"/>
      <c r="N28" s="59"/>
      <c r="O28" s="59"/>
      <c r="P28" s="59"/>
      <c r="Q28" s="59"/>
      <c r="R28" s="59"/>
      <c r="S28" s="59"/>
      <c r="T28" s="136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</row>
    <row r="29" ht="13.5" customHeight="1">
      <c r="A29" s="136"/>
      <c r="B29" s="21" t="s">
        <v>89</v>
      </c>
      <c r="C29" s="22">
        <v>1.0</v>
      </c>
      <c r="D29" s="19" t="s">
        <v>31</v>
      </c>
      <c r="E29" s="23">
        <v>1.0</v>
      </c>
      <c r="F29" s="24" t="s">
        <v>90</v>
      </c>
      <c r="G29" s="59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0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0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</row>
    <row r="30" ht="13.5" customHeight="1">
      <c r="A30" s="136"/>
      <c r="B30" s="21" t="s">
        <v>91</v>
      </c>
      <c r="C30" s="22">
        <v>0.0</v>
      </c>
      <c r="D30" s="19" t="s">
        <v>31</v>
      </c>
      <c r="E30" s="23">
        <v>2.0</v>
      </c>
      <c r="F30" s="24" t="s">
        <v>92</v>
      </c>
      <c r="G30" s="59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0</v>
      </c>
      <c r="M30" s="19" t="str">
        <f t="shared" ref="M30:M33" si="44">N30-O30</f>
        <v>-4</v>
      </c>
      <c r="N30" s="19" t="str">
        <f t="shared" ref="N30:N33" si="45">SUM(INDIRECT($AC30),INDIRECT($AD30),INDIRECT($AE30))</f>
        <v>0</v>
      </c>
      <c r="O30" s="19" t="str">
        <f t="shared" ref="O30:O33" si="46">SUM(INDIRECT($AF30),INDIRECT($AG30),INDIRECT($AH30))</f>
        <v>4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0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3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</row>
    <row r="31" ht="12.75" customHeight="1">
      <c r="A31" s="136"/>
      <c r="B31" s="21" t="s">
        <v>89</v>
      </c>
      <c r="C31" s="22">
        <v>1.0</v>
      </c>
      <c r="D31" s="19" t="s">
        <v>31</v>
      </c>
      <c r="E31" s="23">
        <v>0.0</v>
      </c>
      <c r="F31" s="24" t="s">
        <v>91</v>
      </c>
      <c r="G31" s="59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4</v>
      </c>
      <c r="M31" s="19" t="str">
        <f t="shared" si="44"/>
        <v>-1</v>
      </c>
      <c r="N31" s="19" t="str">
        <f t="shared" si="45"/>
        <v>2</v>
      </c>
      <c r="O31" s="19" t="str">
        <f t="shared" si="46"/>
        <v>3</v>
      </c>
      <c r="P31" s="19" t="str">
        <f t="shared" si="47"/>
        <v>1</v>
      </c>
      <c r="Q31" s="19" t="str">
        <f t="shared" si="48"/>
        <v>1</v>
      </c>
      <c r="R31" s="36" t="str">
        <f t="shared" si="49"/>
        <v>1</v>
      </c>
      <c r="S31" s="59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</row>
    <row r="32" ht="12.75" customHeight="1">
      <c r="A32" s="136"/>
      <c r="B32" s="21" t="s">
        <v>92</v>
      </c>
      <c r="C32" s="22">
        <v>1.0</v>
      </c>
      <c r="D32" s="19" t="s">
        <v>31</v>
      </c>
      <c r="E32" s="23">
        <v>0.0</v>
      </c>
      <c r="F32" s="24" t="s">
        <v>90</v>
      </c>
      <c r="G32" s="59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1</v>
      </c>
      <c r="M32" s="19" t="str">
        <f t="shared" si="44"/>
        <v>-2</v>
      </c>
      <c r="N32" s="19" t="str">
        <f t="shared" si="45"/>
        <v>1</v>
      </c>
      <c r="O32" s="19" t="str">
        <f t="shared" si="46"/>
        <v>3</v>
      </c>
      <c r="P32" s="19" t="str">
        <f t="shared" si="47"/>
        <v>0</v>
      </c>
      <c r="Q32" s="19" t="str">
        <f t="shared" si="48"/>
        <v>1</v>
      </c>
      <c r="R32" s="36" t="str">
        <f t="shared" si="49"/>
        <v>2</v>
      </c>
      <c r="S32" s="59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</row>
    <row r="33" ht="12.75" customHeight="1">
      <c r="A33" s="136"/>
      <c r="B33" s="21" t="s">
        <v>92</v>
      </c>
      <c r="C33" s="22">
        <v>2.0</v>
      </c>
      <c r="D33" s="19" t="s">
        <v>31</v>
      </c>
      <c r="E33" s="23">
        <v>0.0</v>
      </c>
      <c r="F33" s="24" t="s">
        <v>89</v>
      </c>
      <c r="G33" s="59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9</v>
      </c>
      <c r="M33" s="38" t="str">
        <f t="shared" si="44"/>
        <v>5</v>
      </c>
      <c r="N33" s="38" t="str">
        <f t="shared" si="45"/>
        <v>5</v>
      </c>
      <c r="O33" s="38" t="str">
        <f t="shared" si="46"/>
        <v>0</v>
      </c>
      <c r="P33" s="38" t="str">
        <f t="shared" si="47"/>
        <v>3</v>
      </c>
      <c r="Q33" s="38" t="str">
        <f t="shared" si="48"/>
        <v>0</v>
      </c>
      <c r="R33" s="39" t="str">
        <f t="shared" si="49"/>
        <v>0</v>
      </c>
      <c r="S33" s="59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</row>
    <row r="34" ht="13.5" customHeight="1">
      <c r="A34" s="136"/>
      <c r="B34" s="40" t="s">
        <v>90</v>
      </c>
      <c r="C34" s="41">
        <v>1.0</v>
      </c>
      <c r="D34" s="38" t="s">
        <v>31</v>
      </c>
      <c r="E34" s="42">
        <v>0.0</v>
      </c>
      <c r="F34" s="48" t="s">
        <v>91</v>
      </c>
      <c r="G34" s="59"/>
      <c r="H34" s="44">
        <v>46198.0</v>
      </c>
      <c r="I34" s="45">
        <v>0.958333333333333</v>
      </c>
      <c r="J34" s="27"/>
      <c r="K34" s="46"/>
      <c r="L34" s="136"/>
      <c r="M34" s="136"/>
      <c r="N34" s="136"/>
      <c r="O34" s="136"/>
      <c r="P34" s="136"/>
      <c r="Q34" s="136"/>
      <c r="R34" s="136"/>
      <c r="S34" s="59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</row>
    <row r="35" ht="13.5" customHeight="1">
      <c r="A35" s="136"/>
      <c r="B35" s="4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136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</row>
    <row r="36" ht="13.5" customHeight="1">
      <c r="A36" s="136"/>
      <c r="B36" s="15" t="s">
        <v>104</v>
      </c>
      <c r="C36" s="9"/>
      <c r="D36" s="9"/>
      <c r="E36" s="9"/>
      <c r="F36" s="10"/>
      <c r="G36" s="59"/>
      <c r="H36" s="16" t="s">
        <v>28</v>
      </c>
      <c r="I36" s="17" t="s">
        <v>29</v>
      </c>
      <c r="J36" s="18"/>
      <c r="K36" s="59"/>
      <c r="L36" s="59"/>
      <c r="M36" s="59"/>
      <c r="N36" s="59"/>
      <c r="O36" s="59"/>
      <c r="P36" s="59"/>
      <c r="Q36" s="59"/>
      <c r="R36" s="59"/>
      <c r="S36" s="59"/>
      <c r="T36" s="136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</row>
    <row r="37" ht="13.5" customHeight="1">
      <c r="A37" s="136"/>
      <c r="B37" s="21" t="s">
        <v>105</v>
      </c>
      <c r="C37" s="22">
        <v>4.0</v>
      </c>
      <c r="D37" s="19" t="s">
        <v>31</v>
      </c>
      <c r="E37" s="23">
        <v>0.0</v>
      </c>
      <c r="F37" s="34" t="s">
        <v>106</v>
      </c>
      <c r="G37" s="59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</row>
    <row r="38" ht="13.5" customHeight="1">
      <c r="A38" s="136"/>
      <c r="B38" s="21" t="s">
        <v>107</v>
      </c>
      <c r="C38" s="22">
        <v>2.0</v>
      </c>
      <c r="D38" s="19" t="s">
        <v>31</v>
      </c>
      <c r="E38" s="23">
        <v>0.0</v>
      </c>
      <c r="F38" s="34" t="s">
        <v>108</v>
      </c>
      <c r="G38" s="59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9</v>
      </c>
      <c r="M38" s="19" t="str">
        <f t="shared" ref="M38:M41" si="57">N38-O38</f>
        <v>9</v>
      </c>
      <c r="N38" s="19" t="str">
        <f t="shared" ref="N38:N41" si="58">SUM(INDIRECT($AC38),INDIRECT($AD38),INDIRECT($AE38))</f>
        <v>11</v>
      </c>
      <c r="O38" s="19" t="str">
        <f t="shared" ref="O38:O41" si="59">SUM(INDIRECT($AF38),INDIRECT($AG38),INDIRECT($AH38))</f>
        <v>2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3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2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1</v>
      </c>
      <c r="AA38" s="33" t="str">
        <f>IF(AND(ISNUMBER(RESULTADOS!C38),ISNUMBER(RESULTADOS!E38),ISNUMBER(C38),ISNUMBER(E38),AND(Z38=1,OR(C38=RESULTADOS!C38,E38=RESULTADOS!E38))),1,0)</f>
        <v>1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</row>
    <row r="39" ht="12.75" customHeight="1">
      <c r="A39" s="136"/>
      <c r="B39" s="21" t="s">
        <v>105</v>
      </c>
      <c r="C39" s="22">
        <v>3.0</v>
      </c>
      <c r="D39" s="19" t="s">
        <v>31</v>
      </c>
      <c r="E39" s="23">
        <v>2.0</v>
      </c>
      <c r="F39" s="34" t="s">
        <v>107</v>
      </c>
      <c r="G39" s="59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6</v>
      </c>
      <c r="M39" s="19" t="str">
        <f t="shared" si="57"/>
        <v>3</v>
      </c>
      <c r="N39" s="19" t="str">
        <f t="shared" si="58"/>
        <v>6</v>
      </c>
      <c r="O39" s="19" t="str">
        <f t="shared" si="59"/>
        <v>3</v>
      </c>
      <c r="P39" s="19" t="str">
        <f t="shared" si="60"/>
        <v>2</v>
      </c>
      <c r="Q39" s="19" t="str">
        <f t="shared" si="61"/>
        <v>0</v>
      </c>
      <c r="R39" s="36" t="str">
        <f t="shared" si="62"/>
        <v>1</v>
      </c>
      <c r="S39" s="59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</row>
    <row r="40" ht="12.75" customHeight="1">
      <c r="A40" s="136"/>
      <c r="B40" s="21" t="s">
        <v>108</v>
      </c>
      <c r="C40" s="22">
        <v>2.0</v>
      </c>
      <c r="D40" s="19" t="s">
        <v>31</v>
      </c>
      <c r="E40" s="23">
        <v>0.0</v>
      </c>
      <c r="F40" s="34" t="s">
        <v>106</v>
      </c>
      <c r="G40" s="59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-8</v>
      </c>
      <c r="N40" s="19" t="str">
        <f t="shared" si="58"/>
        <v>0</v>
      </c>
      <c r="O40" s="19" t="str">
        <f t="shared" si="59"/>
        <v>8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59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</row>
    <row r="41" ht="12.75" customHeight="1">
      <c r="A41" s="136"/>
      <c r="B41" s="21" t="s">
        <v>108</v>
      </c>
      <c r="C41" s="22">
        <v>0.0</v>
      </c>
      <c r="D41" s="19" t="s">
        <v>31</v>
      </c>
      <c r="E41" s="23">
        <v>4.0</v>
      </c>
      <c r="F41" s="34" t="s">
        <v>105</v>
      </c>
      <c r="G41" s="59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3</v>
      </c>
      <c r="M41" s="38" t="str">
        <f t="shared" si="57"/>
        <v>-4</v>
      </c>
      <c r="N41" s="38" t="str">
        <f t="shared" si="58"/>
        <v>2</v>
      </c>
      <c r="O41" s="38" t="str">
        <f t="shared" si="59"/>
        <v>6</v>
      </c>
      <c r="P41" s="38" t="str">
        <f t="shared" si="60"/>
        <v>1</v>
      </c>
      <c r="Q41" s="38" t="str">
        <f t="shared" si="61"/>
        <v>0</v>
      </c>
      <c r="R41" s="39" t="str">
        <f t="shared" si="62"/>
        <v>2</v>
      </c>
      <c r="S41" s="59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</row>
    <row r="42" ht="13.5" customHeight="1">
      <c r="A42" s="136"/>
      <c r="B42" s="40" t="s">
        <v>106</v>
      </c>
      <c r="C42" s="41">
        <v>0.0</v>
      </c>
      <c r="D42" s="38" t="s">
        <v>31</v>
      </c>
      <c r="E42" s="42">
        <v>2.0</v>
      </c>
      <c r="F42" s="43" t="s">
        <v>107</v>
      </c>
      <c r="G42" s="59"/>
      <c r="H42" s="44">
        <v>46198.0</v>
      </c>
      <c r="I42" s="45">
        <v>0.708333333333333</v>
      </c>
      <c r="J42" s="27"/>
      <c r="K42" s="46"/>
      <c r="L42" s="136"/>
      <c r="M42" s="136"/>
      <c r="N42" s="136"/>
      <c r="O42" s="136"/>
      <c r="P42" s="136"/>
      <c r="Q42" s="136"/>
      <c r="R42" s="136"/>
      <c r="S42" s="59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</row>
    <row r="43" ht="13.5" customHeight="1">
      <c r="A43" s="136"/>
      <c r="B43" s="4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136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</row>
    <row r="44" ht="13.5" customHeight="1">
      <c r="A44" s="136"/>
      <c r="B44" s="15" t="s">
        <v>121</v>
      </c>
      <c r="C44" s="9"/>
      <c r="D44" s="9"/>
      <c r="E44" s="9"/>
      <c r="F44" s="10"/>
      <c r="G44" s="59"/>
      <c r="H44" s="16" t="s">
        <v>28</v>
      </c>
      <c r="I44" s="17" t="s">
        <v>29</v>
      </c>
      <c r="J44" s="18"/>
      <c r="K44" s="59"/>
      <c r="L44" s="59"/>
      <c r="M44" s="59"/>
      <c r="N44" s="59"/>
      <c r="O44" s="59"/>
      <c r="P44" s="59"/>
      <c r="Q44" s="59"/>
      <c r="R44" s="59"/>
      <c r="S44" s="59"/>
      <c r="T44" s="136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</row>
    <row r="45" ht="13.5" customHeight="1">
      <c r="A45" s="136"/>
      <c r="B45" s="21" t="s">
        <v>122</v>
      </c>
      <c r="C45" s="22">
        <v>1.0</v>
      </c>
      <c r="D45" s="19" t="s">
        <v>31</v>
      </c>
      <c r="E45" s="23">
        <v>1.0</v>
      </c>
      <c r="F45" s="34" t="s">
        <v>123</v>
      </c>
      <c r="G45" s="59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2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2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</row>
    <row r="46" ht="13.5" customHeight="1">
      <c r="A46" s="136"/>
      <c r="B46" s="21" t="s">
        <v>124</v>
      </c>
      <c r="C46" s="22">
        <v>1.0</v>
      </c>
      <c r="D46" s="19" t="s">
        <v>31</v>
      </c>
      <c r="E46" s="23">
        <v>1.0</v>
      </c>
      <c r="F46" s="34" t="s">
        <v>125</v>
      </c>
      <c r="G46" s="59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7</v>
      </c>
      <c r="M46" s="19" t="str">
        <f t="shared" ref="M46:M49" si="70">N46-O46</f>
        <v>3</v>
      </c>
      <c r="N46" s="19" t="str">
        <f t="shared" ref="N46:N49" si="71">SUM(INDIRECT($AC46),INDIRECT($AD46),INDIRECT($AE46))</f>
        <v>5</v>
      </c>
      <c r="O46" s="19" t="str">
        <f t="shared" ref="O46:O49" si="72">SUM(INDIRECT($AF46),INDIRECT($AG46),INDIRECT($AH46))</f>
        <v>2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2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1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0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0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</row>
    <row r="47" ht="12.75" customHeight="1">
      <c r="A47" s="136"/>
      <c r="B47" s="21" t="s">
        <v>122</v>
      </c>
      <c r="C47" s="22">
        <v>2.0</v>
      </c>
      <c r="D47" s="19" t="s">
        <v>31</v>
      </c>
      <c r="E47" s="23">
        <v>1.0</v>
      </c>
      <c r="F47" s="34" t="s">
        <v>124</v>
      </c>
      <c r="G47" s="59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7</v>
      </c>
      <c r="M47" s="19" t="str">
        <f t="shared" si="70"/>
        <v>3</v>
      </c>
      <c r="N47" s="19" t="str">
        <f t="shared" si="71"/>
        <v>4</v>
      </c>
      <c r="O47" s="19" t="str">
        <f t="shared" si="72"/>
        <v>1</v>
      </c>
      <c r="P47" s="19" t="str">
        <f t="shared" si="73"/>
        <v>2</v>
      </c>
      <c r="Q47" s="19" t="str">
        <f t="shared" si="74"/>
        <v>1</v>
      </c>
      <c r="R47" s="36" t="str">
        <f t="shared" si="75"/>
        <v>0</v>
      </c>
      <c r="S47" s="59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</row>
    <row r="48" ht="12.75" customHeight="1">
      <c r="A48" s="136"/>
      <c r="B48" s="21" t="s">
        <v>125</v>
      </c>
      <c r="C48" s="22">
        <v>0.0</v>
      </c>
      <c r="D48" s="19" t="s">
        <v>31</v>
      </c>
      <c r="E48" s="23">
        <v>2.0</v>
      </c>
      <c r="F48" s="34" t="s">
        <v>123</v>
      </c>
      <c r="G48" s="59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1</v>
      </c>
      <c r="M48" s="19" t="str">
        <f t="shared" si="70"/>
        <v>-2</v>
      </c>
      <c r="N48" s="19" t="str">
        <f t="shared" si="71"/>
        <v>2</v>
      </c>
      <c r="O48" s="19" t="str">
        <f t="shared" si="72"/>
        <v>4</v>
      </c>
      <c r="P48" s="19" t="str">
        <f t="shared" si="73"/>
        <v>0</v>
      </c>
      <c r="Q48" s="19" t="str">
        <f t="shared" si="74"/>
        <v>1</v>
      </c>
      <c r="R48" s="36" t="str">
        <f t="shared" si="75"/>
        <v>2</v>
      </c>
      <c r="S48" s="59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</row>
    <row r="49" ht="12.75" customHeight="1">
      <c r="A49" s="136"/>
      <c r="B49" s="21" t="s">
        <v>125</v>
      </c>
      <c r="C49" s="22">
        <v>0.0</v>
      </c>
      <c r="D49" s="19" t="s">
        <v>31</v>
      </c>
      <c r="E49" s="23">
        <v>2.0</v>
      </c>
      <c r="F49" s="34" t="s">
        <v>122</v>
      </c>
      <c r="G49" s="59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1</v>
      </c>
      <c r="M49" s="38" t="str">
        <f t="shared" si="70"/>
        <v>-4</v>
      </c>
      <c r="N49" s="38" t="str">
        <f t="shared" si="71"/>
        <v>1</v>
      </c>
      <c r="O49" s="38" t="str">
        <f t="shared" si="72"/>
        <v>5</v>
      </c>
      <c r="P49" s="38" t="str">
        <f t="shared" si="73"/>
        <v>0</v>
      </c>
      <c r="Q49" s="38" t="str">
        <f t="shared" si="74"/>
        <v>1</v>
      </c>
      <c r="R49" s="39" t="str">
        <f t="shared" si="75"/>
        <v>2</v>
      </c>
      <c r="S49" s="59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</row>
    <row r="50" ht="13.5" customHeight="1">
      <c r="A50" s="136"/>
      <c r="B50" s="40" t="s">
        <v>123</v>
      </c>
      <c r="C50" s="41">
        <v>1.0</v>
      </c>
      <c r="D50" s="38" t="s">
        <v>31</v>
      </c>
      <c r="E50" s="42">
        <v>0.0</v>
      </c>
      <c r="F50" s="43" t="s">
        <v>124</v>
      </c>
      <c r="G50" s="59"/>
      <c r="H50" s="44">
        <v>46198.0</v>
      </c>
      <c r="I50" s="45">
        <v>0.833333333333333</v>
      </c>
      <c r="J50" s="27"/>
      <c r="K50" s="46"/>
      <c r="L50" s="136"/>
      <c r="M50" s="136"/>
      <c r="N50" s="136"/>
      <c r="O50" s="136"/>
      <c r="P50" s="136"/>
      <c r="Q50" s="136"/>
      <c r="R50" s="136"/>
      <c r="S50" s="59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</row>
    <row r="51" ht="13.5" customHeight="1">
      <c r="A51" s="136"/>
      <c r="B51" s="4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136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</row>
    <row r="52" ht="13.5" customHeight="1">
      <c r="A52" s="136"/>
      <c r="B52" s="15" t="s">
        <v>138</v>
      </c>
      <c r="C52" s="9"/>
      <c r="D52" s="9"/>
      <c r="E52" s="9"/>
      <c r="F52" s="10"/>
      <c r="G52" s="59"/>
      <c r="H52" s="16" t="s">
        <v>28</v>
      </c>
      <c r="I52" s="17" t="s">
        <v>29</v>
      </c>
      <c r="J52" s="18"/>
      <c r="K52" s="59"/>
      <c r="L52" s="59"/>
      <c r="M52" s="59"/>
      <c r="N52" s="59"/>
      <c r="O52" s="59"/>
      <c r="P52" s="59"/>
      <c r="Q52" s="59"/>
      <c r="R52" s="59"/>
      <c r="S52" s="59"/>
      <c r="T52" s="136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</row>
    <row r="53" ht="13.5" customHeight="1">
      <c r="A53" s="136"/>
      <c r="B53" s="21" t="s">
        <v>139</v>
      </c>
      <c r="C53" s="22">
        <v>2.0</v>
      </c>
      <c r="D53" s="19" t="s">
        <v>31</v>
      </c>
      <c r="E53" s="23">
        <v>2.0</v>
      </c>
      <c r="F53" s="34" t="s">
        <v>140</v>
      </c>
      <c r="G53" s="59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2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2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</row>
    <row r="54" ht="13.5" customHeight="1">
      <c r="A54" s="136"/>
      <c r="B54" s="21" t="s">
        <v>141</v>
      </c>
      <c r="C54" s="22">
        <v>1.0</v>
      </c>
      <c r="D54" s="19" t="s">
        <v>31</v>
      </c>
      <c r="E54" s="23">
        <v>0.0</v>
      </c>
      <c r="F54" s="34" t="s">
        <v>142</v>
      </c>
      <c r="G54" s="59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7</v>
      </c>
      <c r="M54" s="19" t="str">
        <f t="shared" ref="M54:M57" si="83">N54-O54</f>
        <v>4</v>
      </c>
      <c r="N54" s="19" t="str">
        <f t="shared" ref="N54:N57" si="84">SUM(INDIRECT($AC54),INDIRECT($AD54),INDIRECT($AE54))</f>
        <v>6</v>
      </c>
      <c r="O54" s="19" t="str">
        <f t="shared" ref="O54:O57" si="85">SUM(INDIRECT($AF54),INDIRECT($AG54),INDIRECT($AH54))</f>
        <v>2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2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1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</row>
    <row r="55" ht="12.75" customHeight="1">
      <c r="A55" s="136"/>
      <c r="B55" s="21" t="s">
        <v>139</v>
      </c>
      <c r="C55" s="22">
        <v>2.0</v>
      </c>
      <c r="D55" s="19" t="s">
        <v>31</v>
      </c>
      <c r="E55" s="23">
        <v>0.0</v>
      </c>
      <c r="F55" s="34" t="s">
        <v>141</v>
      </c>
      <c r="G55" s="59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5</v>
      </c>
      <c r="M55" s="19" t="str">
        <f t="shared" si="83"/>
        <v>1</v>
      </c>
      <c r="N55" s="19" t="str">
        <f t="shared" si="84"/>
        <v>4</v>
      </c>
      <c r="O55" s="19" t="str">
        <f t="shared" si="85"/>
        <v>3</v>
      </c>
      <c r="P55" s="19" t="str">
        <f t="shared" si="86"/>
        <v>1</v>
      </c>
      <c r="Q55" s="19" t="str">
        <f t="shared" si="87"/>
        <v>2</v>
      </c>
      <c r="R55" s="36" t="str">
        <f t="shared" si="88"/>
        <v>0</v>
      </c>
      <c r="S55" s="59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</row>
    <row r="56" ht="12.75" customHeight="1">
      <c r="A56" s="136"/>
      <c r="B56" s="21" t="s">
        <v>142</v>
      </c>
      <c r="C56" s="22">
        <v>0.0</v>
      </c>
      <c r="D56" s="19" t="s">
        <v>31</v>
      </c>
      <c r="E56" s="23">
        <v>1.0</v>
      </c>
      <c r="F56" s="34" t="s">
        <v>140</v>
      </c>
      <c r="G56" s="59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4</v>
      </c>
      <c r="M56" s="19" t="str">
        <f t="shared" si="83"/>
        <v>-1</v>
      </c>
      <c r="N56" s="19" t="str">
        <f t="shared" si="84"/>
        <v>2</v>
      </c>
      <c r="O56" s="19" t="str">
        <f t="shared" si="85"/>
        <v>3</v>
      </c>
      <c r="P56" s="19" t="str">
        <f t="shared" si="86"/>
        <v>1</v>
      </c>
      <c r="Q56" s="19" t="str">
        <f t="shared" si="87"/>
        <v>1</v>
      </c>
      <c r="R56" s="36" t="str">
        <f t="shared" si="88"/>
        <v>1</v>
      </c>
      <c r="S56" s="59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</row>
    <row r="57" ht="12.75" customHeight="1">
      <c r="A57" s="136"/>
      <c r="B57" s="21" t="s">
        <v>140</v>
      </c>
      <c r="C57" s="22">
        <v>1.0</v>
      </c>
      <c r="D57" s="19" t="s">
        <v>31</v>
      </c>
      <c r="E57" s="23">
        <v>1.0</v>
      </c>
      <c r="F57" s="34" t="s">
        <v>141</v>
      </c>
      <c r="G57" s="59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0</v>
      </c>
      <c r="M57" s="38" t="str">
        <f t="shared" si="83"/>
        <v>-4</v>
      </c>
      <c r="N57" s="38" t="str">
        <f t="shared" si="84"/>
        <v>0</v>
      </c>
      <c r="O57" s="38" t="str">
        <f t="shared" si="85"/>
        <v>4</v>
      </c>
      <c r="P57" s="38" t="str">
        <f t="shared" si="86"/>
        <v>0</v>
      </c>
      <c r="Q57" s="38" t="str">
        <f t="shared" si="87"/>
        <v>0</v>
      </c>
      <c r="R57" s="39" t="str">
        <f t="shared" si="88"/>
        <v>3</v>
      </c>
      <c r="S57" s="59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</row>
    <row r="58" ht="13.5" customHeight="1">
      <c r="A58" s="136"/>
      <c r="B58" s="40" t="s">
        <v>142</v>
      </c>
      <c r="C58" s="41">
        <v>0.0</v>
      </c>
      <c r="D58" s="38" t="s">
        <v>31</v>
      </c>
      <c r="E58" s="42">
        <v>2.0</v>
      </c>
      <c r="F58" s="43" t="s">
        <v>139</v>
      </c>
      <c r="G58" s="59"/>
      <c r="H58" s="44">
        <v>46200.0</v>
      </c>
      <c r="I58" s="45">
        <v>0.0</v>
      </c>
      <c r="J58" s="27"/>
      <c r="K58" s="46"/>
      <c r="L58" s="136"/>
      <c r="M58" s="136"/>
      <c r="N58" s="136"/>
      <c r="O58" s="136"/>
      <c r="P58" s="136"/>
      <c r="Q58" s="136"/>
      <c r="R58" s="136"/>
      <c r="S58" s="59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</row>
    <row r="59" ht="13.5" customHeight="1">
      <c r="A59" s="136"/>
      <c r="B59" s="4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136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</row>
    <row r="60" ht="13.5" customHeight="1">
      <c r="A60" s="136"/>
      <c r="B60" s="15" t="s">
        <v>155</v>
      </c>
      <c r="C60" s="9"/>
      <c r="D60" s="9"/>
      <c r="E60" s="9"/>
      <c r="F60" s="10"/>
      <c r="G60" s="59"/>
      <c r="H60" s="16" t="s">
        <v>28</v>
      </c>
      <c r="I60" s="17" t="s">
        <v>29</v>
      </c>
      <c r="J60" s="18"/>
      <c r="K60" s="59"/>
      <c r="L60" s="59"/>
      <c r="M60" s="59"/>
      <c r="N60" s="59"/>
      <c r="O60" s="59"/>
      <c r="P60" s="59"/>
      <c r="Q60" s="59"/>
      <c r="R60" s="59"/>
      <c r="S60" s="59"/>
      <c r="T60" s="136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</row>
    <row r="61" ht="13.5" customHeight="1">
      <c r="A61" s="136"/>
      <c r="B61" s="21" t="s">
        <v>156</v>
      </c>
      <c r="C61" s="22">
        <v>4.0</v>
      </c>
      <c r="D61" s="19" t="s">
        <v>31</v>
      </c>
      <c r="E61" s="23">
        <v>0.0</v>
      </c>
      <c r="F61" s="34" t="s">
        <v>157</v>
      </c>
      <c r="G61" s="59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</row>
    <row r="62" ht="13.5" customHeight="1">
      <c r="A62" s="136"/>
      <c r="B62" s="21" t="s">
        <v>158</v>
      </c>
      <c r="C62" s="22">
        <v>1.0</v>
      </c>
      <c r="D62" s="19" t="s">
        <v>31</v>
      </c>
      <c r="E62" s="23">
        <v>3.0</v>
      </c>
      <c r="F62" s="34" t="s">
        <v>159</v>
      </c>
      <c r="G62" s="59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3</v>
      </c>
      <c r="M62" s="19" t="str">
        <f t="shared" ref="M62:M65" si="96">N62-O62</f>
        <v>-4</v>
      </c>
      <c r="N62" s="19" t="str">
        <f t="shared" ref="N62:N65" si="97">SUM(INDIRECT($AC62),INDIRECT($AD62),INDIRECT($AE62))</f>
        <v>2</v>
      </c>
      <c r="O62" s="19" t="str">
        <f t="shared" ref="O62:O65" si="98">SUM(INDIRECT($AF62),INDIRECT($AG62),INDIRECT($AH62))</f>
        <v>6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</row>
    <row r="63" ht="12.75" customHeight="1">
      <c r="A63" s="136"/>
      <c r="B63" s="21" t="s">
        <v>156</v>
      </c>
      <c r="C63" s="22">
        <v>3.0</v>
      </c>
      <c r="D63" s="19" t="s">
        <v>31</v>
      </c>
      <c r="E63" s="23">
        <v>0.0</v>
      </c>
      <c r="F63" s="34" t="s">
        <v>158</v>
      </c>
      <c r="G63" s="59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-7</v>
      </c>
      <c r="N63" s="19" t="str">
        <f t="shared" si="97"/>
        <v>0</v>
      </c>
      <c r="O63" s="19" t="str">
        <f t="shared" si="98"/>
        <v>7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3</v>
      </c>
      <c r="S63" s="59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</row>
    <row r="64" ht="12.75" customHeight="1">
      <c r="A64" s="136"/>
      <c r="B64" s="21" t="s">
        <v>159</v>
      </c>
      <c r="C64" s="22">
        <v>2.0</v>
      </c>
      <c r="D64" s="19" t="s">
        <v>31</v>
      </c>
      <c r="E64" s="23">
        <v>0.0</v>
      </c>
      <c r="F64" s="34" t="s">
        <v>157</v>
      </c>
      <c r="G64" s="59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8</v>
      </c>
      <c r="N64" s="19" t="str">
        <f t="shared" si="97"/>
        <v>10</v>
      </c>
      <c r="O64" s="19" t="str">
        <f t="shared" si="98"/>
        <v>2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59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</row>
    <row r="65" ht="12.75" customHeight="1">
      <c r="A65" s="136"/>
      <c r="B65" s="21" t="s">
        <v>157</v>
      </c>
      <c r="C65" s="22">
        <v>0.0</v>
      </c>
      <c r="D65" s="19" t="s">
        <v>31</v>
      </c>
      <c r="E65" s="23">
        <v>1.0</v>
      </c>
      <c r="F65" s="34" t="s">
        <v>158</v>
      </c>
      <c r="G65" s="59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3</v>
      </c>
      <c r="N65" s="38" t="str">
        <f t="shared" si="97"/>
        <v>7</v>
      </c>
      <c r="O65" s="38" t="str">
        <f t="shared" si="98"/>
        <v>4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59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</row>
    <row r="66" ht="13.5" customHeight="1">
      <c r="A66" s="136"/>
      <c r="B66" s="40" t="s">
        <v>159</v>
      </c>
      <c r="C66" s="41">
        <v>2.0</v>
      </c>
      <c r="D66" s="38" t="s">
        <v>31</v>
      </c>
      <c r="E66" s="42">
        <v>3.0</v>
      </c>
      <c r="F66" s="43" t="s">
        <v>156</v>
      </c>
      <c r="G66" s="59"/>
      <c r="H66" s="44">
        <v>46199.0</v>
      </c>
      <c r="I66" s="45">
        <v>0.875</v>
      </c>
      <c r="J66" s="27"/>
      <c r="K66" s="46"/>
      <c r="L66" s="136"/>
      <c r="M66" s="136"/>
      <c r="N66" s="136"/>
      <c r="O66" s="136"/>
      <c r="P66" s="136"/>
      <c r="Q66" s="136"/>
      <c r="R66" s="136"/>
      <c r="S66" s="59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</row>
    <row r="67" ht="12.75" customHeight="1">
      <c r="A67" s="136"/>
      <c r="B67" s="13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</row>
    <row r="68" ht="12.75" customHeight="1">
      <c r="A68" s="136"/>
      <c r="B68" s="15" t="s">
        <v>172</v>
      </c>
      <c r="C68" s="9"/>
      <c r="D68" s="9"/>
      <c r="E68" s="9"/>
      <c r="F68" s="10"/>
      <c r="G68" s="59"/>
      <c r="H68" s="16" t="s">
        <v>28</v>
      </c>
      <c r="I68" s="17" t="s">
        <v>29</v>
      </c>
      <c r="J68" s="18"/>
      <c r="K68" s="59"/>
      <c r="L68" s="59"/>
      <c r="M68" s="59"/>
      <c r="N68" s="59"/>
      <c r="O68" s="59"/>
      <c r="P68" s="59"/>
      <c r="Q68" s="59"/>
      <c r="R68" s="59"/>
      <c r="S68" s="59"/>
      <c r="T68" s="136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</row>
    <row r="69" ht="12.75" customHeight="1">
      <c r="A69" s="136"/>
      <c r="B69" s="21" t="s">
        <v>173</v>
      </c>
      <c r="C69" s="22">
        <v>3.0</v>
      </c>
      <c r="D69" s="19" t="s">
        <v>31</v>
      </c>
      <c r="E69" s="23">
        <v>1.0</v>
      </c>
      <c r="F69" s="34" t="s">
        <v>174</v>
      </c>
      <c r="G69" s="59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4</v>
      </c>
      <c r="Y69" s="33" t="str">
        <f>IF(AND(ISNUMBER(RESULTADOS!C69),ISNUMBER(RESULTADOS!E69),ISNUMBER(C69),ISNUMBER(E69),C69=RESULTADOS!C69,E69=RESULTADOS!E69),2,0)</f>
        <v>2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</row>
    <row r="70" ht="12.75" customHeight="1">
      <c r="A70" s="136"/>
      <c r="B70" s="21" t="s">
        <v>175</v>
      </c>
      <c r="C70" s="22">
        <v>0.0</v>
      </c>
      <c r="D70" s="19" t="s">
        <v>31</v>
      </c>
      <c r="E70" s="23">
        <v>1.0</v>
      </c>
      <c r="F70" s="34" t="s">
        <v>176</v>
      </c>
      <c r="G70" s="59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7</v>
      </c>
      <c r="N70" s="19" t="str">
        <f t="shared" ref="N70:N73" si="110">SUM(INDIRECT($AC70),INDIRECT($AD70),INDIRECT($AE70))</f>
        <v>9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</row>
    <row r="71" ht="12.75" customHeight="1">
      <c r="A71" s="136"/>
      <c r="B71" s="21" t="s">
        <v>173</v>
      </c>
      <c r="C71" s="22">
        <v>3.0</v>
      </c>
      <c r="D71" s="19" t="s">
        <v>31</v>
      </c>
      <c r="E71" s="23">
        <v>0.0</v>
      </c>
      <c r="F71" s="34" t="s">
        <v>175</v>
      </c>
      <c r="G71" s="59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-6</v>
      </c>
      <c r="N71" s="19" t="str">
        <f t="shared" si="110"/>
        <v>0</v>
      </c>
      <c r="O71" s="19" t="str">
        <f t="shared" si="111"/>
        <v>6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59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</row>
    <row r="72" ht="12.75" customHeight="1">
      <c r="A72" s="136"/>
      <c r="B72" s="21" t="s">
        <v>176</v>
      </c>
      <c r="C72" s="22">
        <v>2.0</v>
      </c>
      <c r="D72" s="19" t="s">
        <v>31</v>
      </c>
      <c r="E72" s="23">
        <v>1.0</v>
      </c>
      <c r="F72" s="34" t="s">
        <v>174</v>
      </c>
      <c r="G72" s="59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6</v>
      </c>
      <c r="M72" s="19" t="str">
        <f t="shared" si="109"/>
        <v>0</v>
      </c>
      <c r="N72" s="19" t="str">
        <f t="shared" si="110"/>
        <v>4</v>
      </c>
      <c r="O72" s="19" t="str">
        <f t="shared" si="111"/>
        <v>4</v>
      </c>
      <c r="P72" s="19" t="str">
        <f t="shared" si="112"/>
        <v>2</v>
      </c>
      <c r="Q72" s="19" t="str">
        <f t="shared" si="113"/>
        <v>0</v>
      </c>
      <c r="R72" s="36" t="str">
        <f t="shared" si="114"/>
        <v>1</v>
      </c>
      <c r="S72" s="59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</row>
    <row r="73" ht="12.75" customHeight="1">
      <c r="A73" s="136"/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59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3</v>
      </c>
      <c r="M73" s="38" t="str">
        <f t="shared" si="109"/>
        <v>-1</v>
      </c>
      <c r="N73" s="38" t="str">
        <f t="shared" si="110"/>
        <v>4</v>
      </c>
      <c r="O73" s="38" t="str">
        <f t="shared" si="111"/>
        <v>5</v>
      </c>
      <c r="P73" s="38" t="str">
        <f t="shared" si="112"/>
        <v>1</v>
      </c>
      <c r="Q73" s="38" t="str">
        <f t="shared" si="113"/>
        <v>0</v>
      </c>
      <c r="R73" s="39" t="str">
        <f t="shared" si="114"/>
        <v>2</v>
      </c>
      <c r="S73" s="59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</row>
    <row r="74" ht="12.75" customHeight="1">
      <c r="A74" s="136"/>
      <c r="B74" s="40" t="s">
        <v>176</v>
      </c>
      <c r="C74" s="41">
        <v>1.0</v>
      </c>
      <c r="D74" s="38" t="s">
        <v>31</v>
      </c>
      <c r="E74" s="42">
        <v>3.0</v>
      </c>
      <c r="F74" s="43" t="s">
        <v>173</v>
      </c>
      <c r="G74" s="59"/>
      <c r="H74" s="44">
        <v>46199.0</v>
      </c>
      <c r="I74" s="45">
        <v>0.666666666666667</v>
      </c>
      <c r="J74" s="27"/>
      <c r="K74" s="46"/>
      <c r="L74" s="136"/>
      <c r="M74" s="136"/>
      <c r="N74" s="136"/>
      <c r="O74" s="136"/>
      <c r="P74" s="136"/>
      <c r="Q74" s="136"/>
      <c r="R74" s="136"/>
      <c r="S74" s="59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</row>
    <row r="75" ht="12.75" customHeight="1">
      <c r="A75" s="136"/>
      <c r="B75" s="4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136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</row>
    <row r="76" ht="12.75" customHeight="1">
      <c r="A76" s="136"/>
      <c r="B76" s="15" t="s">
        <v>189</v>
      </c>
      <c r="C76" s="9"/>
      <c r="D76" s="9"/>
      <c r="E76" s="9"/>
      <c r="F76" s="10"/>
      <c r="G76" s="59"/>
      <c r="H76" s="16" t="s">
        <v>28</v>
      </c>
      <c r="I76" s="17" t="s">
        <v>29</v>
      </c>
      <c r="J76" s="18"/>
      <c r="K76" s="59"/>
      <c r="L76" s="59"/>
      <c r="M76" s="59"/>
      <c r="N76" s="59"/>
      <c r="O76" s="59"/>
      <c r="P76" s="59"/>
      <c r="Q76" s="59"/>
      <c r="R76" s="59"/>
      <c r="S76" s="59"/>
      <c r="T76" s="136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</row>
    <row r="77" ht="12.75" customHeight="1">
      <c r="A77" s="136"/>
      <c r="B77" s="21" t="s">
        <v>190</v>
      </c>
      <c r="C77" s="22">
        <v>3.0</v>
      </c>
      <c r="D77" s="19" t="s">
        <v>31</v>
      </c>
      <c r="E77" s="23">
        <v>0.0</v>
      </c>
      <c r="F77" s="34" t="s">
        <v>191</v>
      </c>
      <c r="G77" s="59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4</v>
      </c>
      <c r="Y77" s="33" t="str">
        <f>IF(AND(ISNUMBER(RESULTADOS!C77),ISNUMBER(RESULTADOS!E77),ISNUMBER(C77),ISNUMBER(E77),C77=RESULTADOS!C77,E77=RESULTADOS!E77),2,0)</f>
        <v>2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</row>
    <row r="78" ht="12.75" customHeight="1">
      <c r="A78" s="136"/>
      <c r="B78" s="21" t="s">
        <v>192</v>
      </c>
      <c r="C78" s="22">
        <v>1.0</v>
      </c>
      <c r="D78" s="19" t="s">
        <v>31</v>
      </c>
      <c r="E78" s="23">
        <v>0.0</v>
      </c>
      <c r="F78" s="34" t="s">
        <v>193</v>
      </c>
      <c r="G78" s="59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8</v>
      </c>
      <c r="N78" s="19" t="str">
        <f t="shared" ref="N78:N81" si="123">SUM(INDIRECT($AC78),INDIRECT($AD78),INDIRECT($AE78))</f>
        <v>8</v>
      </c>
      <c r="O78" s="19" t="str">
        <f t="shared" ref="O78:O81" si="124">SUM(INDIRECT($AF78),INDIRECT($AG78),INDIRECT($AH78))</f>
        <v>0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1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</row>
    <row r="79" ht="12.75" customHeight="1">
      <c r="A79" s="136"/>
      <c r="B79" s="21" t="s">
        <v>190</v>
      </c>
      <c r="C79" s="22">
        <v>2.0</v>
      </c>
      <c r="D79" s="19" t="s">
        <v>31</v>
      </c>
      <c r="E79" s="23">
        <v>0.0</v>
      </c>
      <c r="F79" s="34" t="s">
        <v>192</v>
      </c>
      <c r="G79" s="59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1</v>
      </c>
      <c r="M79" s="19" t="str">
        <f t="shared" si="122"/>
        <v>-6</v>
      </c>
      <c r="N79" s="19" t="str">
        <f t="shared" si="123"/>
        <v>0</v>
      </c>
      <c r="O79" s="19" t="str">
        <f t="shared" si="124"/>
        <v>6</v>
      </c>
      <c r="P79" s="19" t="str">
        <f t="shared" si="125"/>
        <v>0</v>
      </c>
      <c r="Q79" s="19" t="str">
        <f t="shared" si="126"/>
        <v>1</v>
      </c>
      <c r="R79" s="36" t="str">
        <f t="shared" si="127"/>
        <v>2</v>
      </c>
      <c r="S79" s="59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</row>
    <row r="80" ht="12.75" customHeight="1">
      <c r="A80" s="136"/>
      <c r="B80" s="21" t="s">
        <v>193</v>
      </c>
      <c r="C80" s="22">
        <v>0.0</v>
      </c>
      <c r="D80" s="19" t="s">
        <v>31</v>
      </c>
      <c r="E80" s="23">
        <v>0.0</v>
      </c>
      <c r="F80" s="34" t="s">
        <v>191</v>
      </c>
      <c r="G80" s="59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1</v>
      </c>
      <c r="M80" s="19" t="str">
        <f t="shared" si="122"/>
        <v>-4</v>
      </c>
      <c r="N80" s="19" t="str">
        <f t="shared" si="123"/>
        <v>0</v>
      </c>
      <c r="O80" s="19" t="str">
        <f t="shared" si="124"/>
        <v>4</v>
      </c>
      <c r="P80" s="19" t="str">
        <f t="shared" si="125"/>
        <v>0</v>
      </c>
      <c r="Q80" s="19" t="str">
        <f t="shared" si="126"/>
        <v>1</v>
      </c>
      <c r="R80" s="36" t="str">
        <f t="shared" si="127"/>
        <v>2</v>
      </c>
      <c r="S80" s="59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</row>
    <row r="81" ht="12.75" customHeight="1">
      <c r="A81" s="136"/>
      <c r="B81" s="21" t="s">
        <v>193</v>
      </c>
      <c r="C81" s="22">
        <v>0.0</v>
      </c>
      <c r="D81" s="19" t="s">
        <v>31</v>
      </c>
      <c r="E81" s="23">
        <v>3.0</v>
      </c>
      <c r="F81" s="34" t="s">
        <v>190</v>
      </c>
      <c r="G81" s="59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6</v>
      </c>
      <c r="M81" s="38" t="str">
        <f t="shared" si="122"/>
        <v>2</v>
      </c>
      <c r="N81" s="38" t="str">
        <f t="shared" si="123"/>
        <v>4</v>
      </c>
      <c r="O81" s="38" t="str">
        <f t="shared" si="124"/>
        <v>2</v>
      </c>
      <c r="P81" s="38" t="str">
        <f t="shared" si="125"/>
        <v>2</v>
      </c>
      <c r="Q81" s="38" t="str">
        <f t="shared" si="126"/>
        <v>0</v>
      </c>
      <c r="R81" s="39" t="str">
        <f t="shared" si="127"/>
        <v>1</v>
      </c>
      <c r="S81" s="59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</row>
    <row r="82" ht="12.75" customHeight="1">
      <c r="A82" s="136"/>
      <c r="B82" s="40" t="s">
        <v>191</v>
      </c>
      <c r="C82" s="41">
        <v>0.0</v>
      </c>
      <c r="D82" s="38" t="s">
        <v>31</v>
      </c>
      <c r="E82" s="42">
        <v>3.0</v>
      </c>
      <c r="F82" s="43" t="s">
        <v>192</v>
      </c>
      <c r="G82" s="59"/>
      <c r="H82" s="44">
        <v>46200.0</v>
      </c>
      <c r="I82" s="45">
        <v>0.958333333333333</v>
      </c>
      <c r="J82" s="27"/>
      <c r="K82" s="46"/>
      <c r="L82" s="136"/>
      <c r="M82" s="136"/>
      <c r="N82" s="136"/>
      <c r="O82" s="136"/>
      <c r="P82" s="136"/>
      <c r="Q82" s="136"/>
      <c r="R82" s="136"/>
      <c r="S82" s="59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</row>
    <row r="83" ht="12.75" customHeight="1">
      <c r="A83" s="136"/>
      <c r="B83" s="4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136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</row>
    <row r="84" ht="12.75" customHeight="1">
      <c r="A84" s="136"/>
      <c r="B84" s="15" t="s">
        <v>206</v>
      </c>
      <c r="C84" s="9"/>
      <c r="D84" s="9"/>
      <c r="E84" s="9"/>
      <c r="F84" s="10"/>
      <c r="G84" s="59"/>
      <c r="H84" s="16" t="s">
        <v>28</v>
      </c>
      <c r="I84" s="17" t="s">
        <v>29</v>
      </c>
      <c r="J84" s="18"/>
      <c r="K84" s="59"/>
      <c r="L84" s="59"/>
      <c r="M84" s="59"/>
      <c r="N84" s="59"/>
      <c r="O84" s="59"/>
      <c r="P84" s="59"/>
      <c r="Q84" s="59"/>
      <c r="R84" s="59"/>
      <c r="S84" s="59"/>
      <c r="T84" s="136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</row>
    <row r="85" ht="12.75" customHeight="1">
      <c r="A85" s="136"/>
      <c r="B85" s="21" t="s">
        <v>207</v>
      </c>
      <c r="C85" s="22">
        <v>2.0</v>
      </c>
      <c r="D85" s="19" t="s">
        <v>31</v>
      </c>
      <c r="E85" s="23">
        <v>0.0</v>
      </c>
      <c r="F85" s="34" t="s">
        <v>208</v>
      </c>
      <c r="G85" s="59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</row>
    <row r="86" ht="12.75" customHeight="1">
      <c r="A86" s="136"/>
      <c r="B86" s="21" t="s">
        <v>209</v>
      </c>
      <c r="C86" s="22">
        <v>0.0</v>
      </c>
      <c r="D86" s="19" t="s">
        <v>31</v>
      </c>
      <c r="E86" s="23">
        <v>3.0</v>
      </c>
      <c r="F86" s="34" t="s">
        <v>210</v>
      </c>
      <c r="G86" s="59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7</v>
      </c>
      <c r="M86" s="19" t="str">
        <f t="shared" ref="M86:M89" si="135">N86-O86</f>
        <v>5</v>
      </c>
      <c r="N86" s="19" t="str">
        <f t="shared" ref="N86:N89" si="136">SUM(INDIRECT($AC86),INDIRECT($AD86),INDIRECT($AE86))</f>
        <v>7</v>
      </c>
      <c r="O86" s="19" t="str">
        <f t="shared" ref="O86:O89" si="137">SUM(INDIRECT($AF86),INDIRECT($AG86),INDIRECT($AH86))</f>
        <v>2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1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0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1</v>
      </c>
      <c r="AB86" s="6" t="str">
        <f>IF(
  AND(
    ISNUMBER(RESULTADOS!C86),
    ISNUMBER(RESULTADOS!E86),
    ISNUMBER(C86),
    ISNUMBER(E86),
    AND(Z86=1,AA86=0,(RESULTADOS!C86-RESULTADOS!E86)=(C86-E86))
  ),
  1,
  0
)</f>
        <v>0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</row>
    <row r="87" ht="12.75" customHeight="1">
      <c r="A87" s="136"/>
      <c r="B87" s="21" t="s">
        <v>207</v>
      </c>
      <c r="C87" s="22">
        <v>3.0</v>
      </c>
      <c r="D87" s="19" t="s">
        <v>31</v>
      </c>
      <c r="E87" s="23">
        <v>0.0</v>
      </c>
      <c r="F87" s="34" t="s">
        <v>209</v>
      </c>
      <c r="G87" s="59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7</v>
      </c>
      <c r="M87" s="19" t="str">
        <f t="shared" si="135"/>
        <v>5</v>
      </c>
      <c r="N87" s="19" t="str">
        <f t="shared" si="136"/>
        <v>7</v>
      </c>
      <c r="O87" s="19" t="str">
        <f t="shared" si="137"/>
        <v>2</v>
      </c>
      <c r="P87" s="19" t="str">
        <f t="shared" si="138"/>
        <v>2</v>
      </c>
      <c r="Q87" s="19" t="str">
        <f t="shared" si="139"/>
        <v>1</v>
      </c>
      <c r="R87" s="36" t="str">
        <f t="shared" si="140"/>
        <v>0</v>
      </c>
      <c r="S87" s="59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</row>
    <row r="88" ht="12.75" customHeight="1">
      <c r="A88" s="136"/>
      <c r="B88" s="21" t="s">
        <v>210</v>
      </c>
      <c r="C88" s="22">
        <v>2.0</v>
      </c>
      <c r="D88" s="19" t="s">
        <v>31</v>
      </c>
      <c r="E88" s="23">
        <v>0.0</v>
      </c>
      <c r="F88" s="34" t="s">
        <v>208</v>
      </c>
      <c r="G88" s="59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1</v>
      </c>
      <c r="M88" s="19" t="str">
        <f t="shared" si="135"/>
        <v>-4</v>
      </c>
      <c r="N88" s="19" t="str">
        <f t="shared" si="136"/>
        <v>0</v>
      </c>
      <c r="O88" s="19" t="str">
        <f t="shared" si="137"/>
        <v>4</v>
      </c>
      <c r="P88" s="19" t="str">
        <f t="shared" si="138"/>
        <v>0</v>
      </c>
      <c r="Q88" s="19" t="str">
        <f t="shared" si="139"/>
        <v>1</v>
      </c>
      <c r="R88" s="36" t="str">
        <f t="shared" si="140"/>
        <v>2</v>
      </c>
      <c r="S88" s="59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</row>
    <row r="89" ht="12.75" customHeight="1">
      <c r="A89" s="136"/>
      <c r="B89" s="21" t="s">
        <v>208</v>
      </c>
      <c r="C89" s="22">
        <v>0.0</v>
      </c>
      <c r="D89" s="19" t="s">
        <v>31</v>
      </c>
      <c r="E89" s="23">
        <v>0.0</v>
      </c>
      <c r="F89" s="34" t="s">
        <v>209</v>
      </c>
      <c r="G89" s="59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1</v>
      </c>
      <c r="M89" s="38" t="str">
        <f t="shared" si="135"/>
        <v>-6</v>
      </c>
      <c r="N89" s="38" t="str">
        <f t="shared" si="136"/>
        <v>0</v>
      </c>
      <c r="O89" s="38" t="str">
        <f t="shared" si="137"/>
        <v>6</v>
      </c>
      <c r="P89" s="38" t="str">
        <f t="shared" si="138"/>
        <v>0</v>
      </c>
      <c r="Q89" s="38" t="str">
        <f t="shared" si="139"/>
        <v>1</v>
      </c>
      <c r="R89" s="39" t="str">
        <f t="shared" si="140"/>
        <v>2</v>
      </c>
      <c r="S89" s="59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</row>
    <row r="90" ht="12.75" customHeight="1">
      <c r="A90" s="136"/>
      <c r="B90" s="40" t="s">
        <v>210</v>
      </c>
      <c r="C90" s="41">
        <v>2.0</v>
      </c>
      <c r="D90" s="38" t="s">
        <v>31</v>
      </c>
      <c r="E90" s="42">
        <v>2.0</v>
      </c>
      <c r="F90" s="43" t="s">
        <v>207</v>
      </c>
      <c r="G90" s="59"/>
      <c r="H90" s="44">
        <v>46200.0</v>
      </c>
      <c r="I90" s="45">
        <v>0.854166666666667</v>
      </c>
      <c r="J90" s="27"/>
      <c r="K90" s="46"/>
      <c r="L90" s="136"/>
      <c r="M90" s="136"/>
      <c r="N90" s="136"/>
      <c r="O90" s="136"/>
      <c r="P90" s="136"/>
      <c r="Q90" s="136"/>
      <c r="R90" s="136"/>
      <c r="S90" s="59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</row>
    <row r="91" ht="12.75" customHeight="1">
      <c r="A91" s="136"/>
      <c r="B91" s="4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136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</row>
    <row r="92" ht="12.75" customHeight="1">
      <c r="A92" s="136"/>
      <c r="B92" s="15" t="s">
        <v>223</v>
      </c>
      <c r="C92" s="9"/>
      <c r="D92" s="9"/>
      <c r="E92" s="9"/>
      <c r="F92" s="10"/>
      <c r="G92" s="59"/>
      <c r="H92" s="16" t="s">
        <v>28</v>
      </c>
      <c r="I92" s="17" t="s">
        <v>29</v>
      </c>
      <c r="J92" s="18"/>
      <c r="K92" s="59"/>
      <c r="L92" s="59"/>
      <c r="M92" s="59"/>
      <c r="N92" s="59"/>
      <c r="O92" s="59"/>
      <c r="P92" s="59"/>
      <c r="Q92" s="59"/>
      <c r="R92" s="59"/>
      <c r="S92" s="59"/>
      <c r="T92" s="136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</row>
    <row r="93" ht="12.75" customHeight="1">
      <c r="A93" s="136"/>
      <c r="B93" s="21" t="s">
        <v>224</v>
      </c>
      <c r="C93" s="22">
        <v>1.0</v>
      </c>
      <c r="D93" s="19" t="s">
        <v>31</v>
      </c>
      <c r="E93" s="23">
        <v>1.0</v>
      </c>
      <c r="F93" s="34" t="s">
        <v>225</v>
      </c>
      <c r="G93" s="59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</row>
    <row r="94" ht="12.75" customHeight="1">
      <c r="A94" s="136"/>
      <c r="B94" s="21" t="s">
        <v>226</v>
      </c>
      <c r="C94" s="22">
        <v>1.0</v>
      </c>
      <c r="D94" s="19" t="s">
        <v>31</v>
      </c>
      <c r="E94" s="23">
        <v>0.0</v>
      </c>
      <c r="F94" s="34" t="s">
        <v>227</v>
      </c>
      <c r="G94" s="59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7</v>
      </c>
      <c r="M94" s="19" t="str">
        <f t="shared" ref="M94:M97" si="148">N94-O94</f>
        <v>3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2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1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/>
      </c>
      <c r="U94" s="19" t="str">
        <f t="shared" si="145"/>
        <v>4</v>
      </c>
      <c r="Y94" s="33" t="str">
        <f>IF(AND(ISNUMBER(RESULTADOS!C94),ISNUMBER(RESULTADOS!E94),ISNUMBER(C94),ISNUMBER(E94),C94=RESULTADOS!C94,E94=RESULTADOS!E94),2,0)</f>
        <v>2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</row>
    <row r="95" ht="12.75" customHeight="1">
      <c r="A95" s="136"/>
      <c r="B95" s="21" t="s">
        <v>224</v>
      </c>
      <c r="C95" s="22">
        <v>3.0</v>
      </c>
      <c r="D95" s="19" t="s">
        <v>31</v>
      </c>
      <c r="E95" s="23">
        <v>0.0</v>
      </c>
      <c r="F95" s="34" t="s">
        <v>226</v>
      </c>
      <c r="G95" s="59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-3</v>
      </c>
      <c r="N95" s="19" t="str">
        <f t="shared" si="149"/>
        <v>2</v>
      </c>
      <c r="O95" s="19" t="str">
        <f t="shared" si="150"/>
        <v>5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59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</row>
    <row r="96" ht="12.75" customHeight="1">
      <c r="A96" s="136"/>
      <c r="B96" s="21" t="s">
        <v>227</v>
      </c>
      <c r="C96" s="22">
        <v>0.0</v>
      </c>
      <c r="D96" s="19" t="s">
        <v>31</v>
      </c>
      <c r="E96" s="23">
        <v>2.0</v>
      </c>
      <c r="F96" s="34" t="s">
        <v>225</v>
      </c>
      <c r="G96" s="59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7</v>
      </c>
      <c r="M96" s="19" t="str">
        <f t="shared" si="148"/>
        <v>7</v>
      </c>
      <c r="N96" s="19" t="str">
        <f t="shared" si="149"/>
        <v>8</v>
      </c>
      <c r="O96" s="19" t="str">
        <f t="shared" si="150"/>
        <v>1</v>
      </c>
      <c r="P96" s="19" t="str">
        <f t="shared" si="151"/>
        <v>2</v>
      </c>
      <c r="Q96" s="19" t="str">
        <f t="shared" si="152"/>
        <v>1</v>
      </c>
      <c r="R96" s="36" t="str">
        <f t="shared" si="153"/>
        <v>0</v>
      </c>
      <c r="S96" s="59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</row>
    <row r="97" ht="12.75" customHeight="1">
      <c r="A97" s="136"/>
      <c r="B97" s="21" t="s">
        <v>225</v>
      </c>
      <c r="C97" s="22">
        <v>2.0</v>
      </c>
      <c r="D97" s="19" t="s">
        <v>31</v>
      </c>
      <c r="E97" s="23">
        <v>1.0</v>
      </c>
      <c r="F97" s="34" t="s">
        <v>226</v>
      </c>
      <c r="G97" s="59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-7</v>
      </c>
      <c r="N97" s="38" t="str">
        <f t="shared" si="149"/>
        <v>0</v>
      </c>
      <c r="O97" s="38" t="str">
        <f t="shared" si="150"/>
        <v>7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59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</row>
    <row r="98" ht="12.75" customHeight="1">
      <c r="A98" s="136"/>
      <c r="B98" s="40" t="s">
        <v>227</v>
      </c>
      <c r="C98" s="41">
        <v>0.0</v>
      </c>
      <c r="D98" s="38" t="s">
        <v>31</v>
      </c>
      <c r="E98" s="42">
        <v>4.0</v>
      </c>
      <c r="F98" s="43" t="s">
        <v>224</v>
      </c>
      <c r="G98" s="59"/>
      <c r="H98" s="44">
        <v>46200.0</v>
      </c>
      <c r="I98" s="45">
        <v>0.75</v>
      </c>
      <c r="J98" s="27"/>
      <c r="K98" s="46"/>
      <c r="L98" s="136"/>
      <c r="M98" s="136"/>
      <c r="N98" s="136"/>
      <c r="O98" s="136"/>
      <c r="P98" s="136"/>
      <c r="Q98" s="136"/>
      <c r="R98" s="136"/>
      <c r="S98" s="59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</row>
    <row r="99" ht="12.75" customHeight="1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</row>
    <row r="100" ht="12.75" customHeight="1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</row>
    <row r="101" ht="13.5" customHeight="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</row>
    <row r="102" ht="12.75" customHeight="1">
      <c r="A102" s="136"/>
      <c r="B102" s="136"/>
      <c r="C102" s="136"/>
      <c r="D102" s="136"/>
      <c r="E102" s="136"/>
      <c r="F102" s="136"/>
      <c r="G102" s="136"/>
      <c r="H102" s="52"/>
      <c r="I102" s="52"/>
      <c r="J102" s="52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</row>
    <row r="103" ht="12.75" customHeight="1">
      <c r="A103" s="136"/>
      <c r="B103" s="136"/>
      <c r="C103" s="136"/>
      <c r="D103" s="136"/>
      <c r="E103" s="136"/>
      <c r="F103" s="136"/>
      <c r="G103" s="136"/>
      <c r="H103" s="52"/>
      <c r="I103" s="52"/>
      <c r="J103" s="52"/>
      <c r="K103" s="136"/>
      <c r="L103" s="53"/>
      <c r="M103" s="53"/>
      <c r="N103" s="53"/>
      <c r="O103" s="53"/>
      <c r="P103" s="53"/>
      <c r="Q103" s="53"/>
      <c r="R103" s="53"/>
      <c r="S103" s="136"/>
      <c r="T103" s="136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</row>
    <row r="104" ht="12.75" customHeight="1">
      <c r="A104" s="136"/>
      <c r="B104" s="136"/>
      <c r="C104" s="136"/>
      <c r="D104" s="136"/>
      <c r="E104" s="136"/>
      <c r="F104" s="136"/>
      <c r="G104" s="136"/>
      <c r="H104" s="52"/>
      <c r="I104" s="52"/>
      <c r="J104" s="52"/>
      <c r="K104" s="136"/>
      <c r="L104" s="53"/>
      <c r="M104" s="53"/>
      <c r="N104" s="53"/>
      <c r="O104" s="53"/>
      <c r="P104" s="53"/>
      <c r="Q104" s="53"/>
      <c r="R104" s="53"/>
      <c r="S104" s="136"/>
      <c r="T104" s="136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</row>
    <row r="105" ht="12.75" customHeight="1">
      <c r="A105" s="136"/>
      <c r="B105" s="136"/>
      <c r="C105" s="136"/>
      <c r="D105" s="136"/>
      <c r="E105" s="136"/>
      <c r="F105" s="136"/>
      <c r="G105" s="136"/>
      <c r="H105" s="52"/>
      <c r="I105" s="52"/>
      <c r="J105" s="52"/>
      <c r="K105" s="136"/>
      <c r="L105" s="53"/>
      <c r="M105" s="53"/>
      <c r="N105" s="53"/>
      <c r="O105" s="53"/>
      <c r="P105" s="53"/>
      <c r="Q105" s="53"/>
      <c r="R105" s="53"/>
      <c r="S105" s="136"/>
      <c r="T105" s="136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</row>
    <row r="106" ht="12.75" customHeight="1">
      <c r="A106" s="136"/>
      <c r="B106" s="136"/>
      <c r="C106" s="136"/>
      <c r="D106" s="136"/>
      <c r="E106" s="136"/>
      <c r="F106" s="136"/>
      <c r="G106" s="136"/>
      <c r="H106" s="52"/>
      <c r="I106" s="52"/>
      <c r="J106" s="52"/>
      <c r="K106" s="136"/>
      <c r="L106" s="53"/>
      <c r="M106" s="53"/>
      <c r="N106" s="53"/>
      <c r="O106" s="53"/>
      <c r="P106" s="53"/>
      <c r="Q106" s="53"/>
      <c r="R106" s="53"/>
      <c r="S106" s="136"/>
      <c r="T106" s="136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</row>
    <row r="107" ht="12.75" customHeight="1">
      <c r="A107" s="136"/>
      <c r="B107" s="136"/>
      <c r="C107" s="136"/>
      <c r="D107" s="136"/>
      <c r="E107" s="136"/>
      <c r="F107" s="136"/>
      <c r="G107" s="136"/>
      <c r="H107" s="52"/>
      <c r="I107" s="52"/>
      <c r="J107" s="52"/>
      <c r="K107" s="136"/>
      <c r="L107" s="53"/>
      <c r="M107" s="53"/>
      <c r="N107" s="53"/>
      <c r="O107" s="53"/>
      <c r="P107" s="53"/>
      <c r="Q107" s="53"/>
      <c r="R107" s="53"/>
      <c r="S107" s="136"/>
      <c r="T107" s="136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</row>
    <row r="108" ht="12.75" customHeight="1">
      <c r="A108" s="136"/>
      <c r="B108" s="136"/>
      <c r="C108" s="136"/>
      <c r="D108" s="136"/>
      <c r="E108" s="136"/>
      <c r="F108" s="136"/>
      <c r="G108" s="136"/>
      <c r="H108" s="52"/>
      <c r="I108" s="52"/>
      <c r="J108" s="52"/>
      <c r="K108" s="136"/>
      <c r="L108" s="53"/>
      <c r="M108" s="53"/>
      <c r="N108" s="53"/>
      <c r="O108" s="53"/>
      <c r="P108" s="53"/>
      <c r="Q108" s="53"/>
      <c r="R108" s="53"/>
      <c r="S108" s="136"/>
      <c r="T108" s="136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</row>
    <row r="109" ht="12.75" customHeight="1">
      <c r="A109" s="136"/>
      <c r="B109" s="136"/>
      <c r="C109" s="136"/>
      <c r="D109" s="136"/>
      <c r="E109" s="136"/>
      <c r="F109" s="136"/>
      <c r="G109" s="136"/>
      <c r="H109" s="52"/>
      <c r="I109" s="52"/>
      <c r="J109" s="52"/>
      <c r="K109" s="136"/>
      <c r="L109" s="53"/>
      <c r="M109" s="53"/>
      <c r="N109" s="53"/>
      <c r="O109" s="53"/>
      <c r="P109" s="53"/>
      <c r="Q109" s="53"/>
      <c r="R109" s="53"/>
      <c r="S109" s="136"/>
      <c r="T109" s="136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</row>
    <row r="110" ht="12.75" customHeight="1">
      <c r="A110" s="136"/>
      <c r="B110" s="136"/>
      <c r="C110" s="136"/>
      <c r="D110" s="136"/>
      <c r="E110" s="136"/>
      <c r="F110" s="136"/>
      <c r="G110" s="136"/>
      <c r="H110" s="52"/>
      <c r="I110" s="52"/>
      <c r="J110" s="52"/>
      <c r="K110" s="136"/>
      <c r="L110" s="53"/>
      <c r="M110" s="53"/>
      <c r="N110" s="53"/>
      <c r="O110" s="53"/>
      <c r="P110" s="53"/>
      <c r="Q110" s="53"/>
      <c r="R110" s="53"/>
      <c r="S110" s="136"/>
      <c r="T110" s="136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</row>
    <row r="111" ht="12.75" customHeight="1">
      <c r="A111" s="136"/>
      <c r="B111" s="136"/>
      <c r="C111" s="136"/>
      <c r="D111" s="136"/>
      <c r="E111" s="136"/>
      <c r="F111" s="136"/>
      <c r="G111" s="136"/>
      <c r="H111" s="52"/>
      <c r="I111" s="52"/>
      <c r="J111" s="52"/>
      <c r="K111" s="136"/>
      <c r="L111" s="53"/>
      <c r="M111" s="53"/>
      <c r="N111" s="53"/>
      <c r="O111" s="53"/>
      <c r="P111" s="53"/>
      <c r="Q111" s="53"/>
      <c r="R111" s="53"/>
      <c r="S111" s="136"/>
      <c r="T111" s="136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</row>
    <row r="112" ht="12.75" customHeight="1">
      <c r="A112" s="136"/>
      <c r="B112" s="136"/>
      <c r="C112" s="136"/>
      <c r="D112" s="136"/>
      <c r="E112" s="136"/>
      <c r="F112" s="136"/>
      <c r="G112" s="136"/>
      <c r="H112" s="52"/>
      <c r="I112" s="52"/>
      <c r="J112" s="52"/>
      <c r="K112" s="136"/>
      <c r="L112" s="53"/>
      <c r="M112" s="53"/>
      <c r="N112" s="53"/>
      <c r="O112" s="53"/>
      <c r="P112" s="53"/>
      <c r="Q112" s="53"/>
      <c r="R112" s="53"/>
      <c r="S112" s="136"/>
      <c r="T112" s="136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</row>
    <row r="113" ht="12.75" customHeight="1">
      <c r="A113" s="136"/>
      <c r="B113" s="136"/>
      <c r="C113" s="136"/>
      <c r="D113" s="136"/>
      <c r="E113" s="136"/>
      <c r="F113" s="136"/>
      <c r="G113" s="136"/>
      <c r="H113" s="52"/>
      <c r="I113" s="52"/>
      <c r="J113" s="52"/>
      <c r="K113" s="136"/>
      <c r="L113" s="53"/>
      <c r="M113" s="53"/>
      <c r="N113" s="53"/>
      <c r="O113" s="53"/>
      <c r="P113" s="53"/>
      <c r="Q113" s="53"/>
      <c r="R113" s="53"/>
      <c r="S113" s="136"/>
      <c r="T113" s="136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</row>
    <row r="114" ht="12.75" customHeight="1">
      <c r="A114" s="136"/>
      <c r="B114" s="136"/>
      <c r="C114" s="136"/>
      <c r="D114" s="136"/>
      <c r="E114" s="136"/>
      <c r="F114" s="136"/>
      <c r="G114" s="136"/>
      <c r="H114" s="52"/>
      <c r="I114" s="52"/>
      <c r="J114" s="52"/>
      <c r="K114" s="136"/>
      <c r="L114" s="53"/>
      <c r="M114" s="53"/>
      <c r="N114" s="53"/>
      <c r="O114" s="53"/>
      <c r="P114" s="53"/>
      <c r="Q114" s="53"/>
      <c r="R114" s="53"/>
      <c r="S114" s="136"/>
      <c r="T114" s="136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</row>
    <row r="115" ht="12.75" customHeight="1">
      <c r="A115" s="136"/>
      <c r="B115" s="136"/>
      <c r="C115" s="136"/>
      <c r="D115" s="136"/>
      <c r="E115" s="136"/>
      <c r="F115" s="136"/>
      <c r="G115" s="136"/>
      <c r="H115" s="52"/>
      <c r="I115" s="52"/>
      <c r="J115" s="52"/>
      <c r="K115" s="136"/>
      <c r="L115" s="53"/>
      <c r="M115" s="53"/>
      <c r="N115" s="53"/>
      <c r="O115" s="53"/>
      <c r="P115" s="53"/>
      <c r="Q115" s="53"/>
      <c r="R115" s="53"/>
      <c r="S115" s="136"/>
      <c r="T115" s="136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</row>
    <row r="116" ht="12.75" customHeight="1">
      <c r="A116" s="136"/>
      <c r="B116" s="136"/>
      <c r="C116" s="136"/>
      <c r="D116" s="136"/>
      <c r="E116" s="136"/>
      <c r="F116" s="136"/>
      <c r="G116" s="136"/>
      <c r="H116" s="52"/>
      <c r="I116" s="52"/>
      <c r="J116" s="52"/>
      <c r="K116" s="136"/>
      <c r="L116" s="53"/>
      <c r="M116" s="53"/>
      <c r="N116" s="53"/>
      <c r="O116" s="53"/>
      <c r="P116" s="53"/>
      <c r="Q116" s="53"/>
      <c r="R116" s="53"/>
      <c r="S116" s="136"/>
      <c r="T116" s="136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</row>
    <row r="117" ht="12.75" customHeight="1">
      <c r="A117" s="136"/>
      <c r="B117" s="136"/>
      <c r="C117" s="136"/>
      <c r="D117" s="136"/>
      <c r="E117" s="136"/>
      <c r="F117" s="136"/>
      <c r="G117" s="136"/>
      <c r="H117" s="52"/>
      <c r="I117" s="52"/>
      <c r="J117" s="52"/>
      <c r="K117" s="136"/>
      <c r="L117" s="53"/>
      <c r="M117" s="53"/>
      <c r="N117" s="53"/>
      <c r="O117" s="53"/>
      <c r="P117" s="53"/>
      <c r="Q117" s="53"/>
      <c r="R117" s="53"/>
      <c r="S117" s="136"/>
      <c r="T117" s="136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</row>
    <row r="118" ht="12.75" customHeight="1">
      <c r="A118" s="136"/>
      <c r="B118" s="136"/>
      <c r="C118" s="136"/>
      <c r="D118" s="136"/>
      <c r="E118" s="136"/>
      <c r="F118" s="136"/>
      <c r="G118" s="136"/>
      <c r="H118" s="52"/>
      <c r="I118" s="52"/>
      <c r="J118" s="52"/>
      <c r="K118" s="136"/>
      <c r="L118" s="53"/>
      <c r="M118" s="53"/>
      <c r="N118" s="53"/>
      <c r="O118" s="53"/>
      <c r="P118" s="53"/>
      <c r="Q118" s="53"/>
      <c r="R118" s="53"/>
      <c r="S118" s="136"/>
      <c r="T118" s="136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</row>
    <row r="119" ht="12.75" customHeight="1">
      <c r="A119" s="136"/>
      <c r="B119" s="136"/>
      <c r="C119" s="136"/>
      <c r="D119" s="136"/>
      <c r="E119" s="136"/>
      <c r="F119" s="136"/>
      <c r="G119" s="136"/>
      <c r="H119" s="52"/>
      <c r="I119" s="52"/>
      <c r="J119" s="52"/>
      <c r="K119" s="136"/>
      <c r="L119" s="53"/>
      <c r="M119" s="53"/>
      <c r="N119" s="53"/>
      <c r="O119" s="53"/>
      <c r="P119" s="53"/>
      <c r="Q119" s="53"/>
      <c r="R119" s="53"/>
      <c r="S119" s="136"/>
      <c r="T119" s="136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</row>
    <row r="120" ht="12.75" customHeight="1">
      <c r="A120" s="136"/>
      <c r="B120" s="136"/>
      <c r="C120" s="136"/>
      <c r="D120" s="136"/>
      <c r="E120" s="136"/>
      <c r="F120" s="136"/>
      <c r="G120" s="136"/>
      <c r="H120" s="52"/>
      <c r="I120" s="52"/>
      <c r="J120" s="52"/>
      <c r="K120" s="136"/>
      <c r="L120" s="53"/>
      <c r="M120" s="53"/>
      <c r="N120" s="53"/>
      <c r="O120" s="53"/>
      <c r="P120" s="53"/>
      <c r="Q120" s="53"/>
      <c r="R120" s="53"/>
      <c r="S120" s="136"/>
      <c r="T120" s="136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</row>
    <row r="121" ht="12.75" customHeight="1">
      <c r="A121" s="136"/>
      <c r="B121" s="136"/>
      <c r="C121" s="136"/>
      <c r="D121" s="136"/>
      <c r="E121" s="136"/>
      <c r="F121" s="136"/>
      <c r="G121" s="136"/>
      <c r="H121" s="52"/>
      <c r="I121" s="52"/>
      <c r="J121" s="52"/>
      <c r="K121" s="136"/>
      <c r="L121" s="53"/>
      <c r="M121" s="53"/>
      <c r="N121" s="53"/>
      <c r="O121" s="53"/>
      <c r="P121" s="53"/>
      <c r="Q121" s="53"/>
      <c r="R121" s="53"/>
      <c r="S121" s="136"/>
      <c r="T121" s="136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</row>
    <row r="122" ht="12.75" customHeight="1">
      <c r="A122" s="136"/>
      <c r="B122" s="136"/>
      <c r="C122" s="136"/>
      <c r="D122" s="136"/>
      <c r="E122" s="136"/>
      <c r="F122" s="136"/>
      <c r="G122" s="136"/>
      <c r="H122" s="52"/>
      <c r="I122" s="52"/>
      <c r="J122" s="52"/>
      <c r="K122" s="136"/>
      <c r="L122" s="53"/>
      <c r="M122" s="53"/>
      <c r="N122" s="53"/>
      <c r="O122" s="53"/>
      <c r="P122" s="53"/>
      <c r="Q122" s="53"/>
      <c r="R122" s="53"/>
      <c r="S122" s="136"/>
      <c r="T122" s="136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</row>
    <row r="123" ht="12.75" customHeight="1">
      <c r="A123" s="136"/>
      <c r="B123" s="136"/>
      <c r="C123" s="136"/>
      <c r="D123" s="136"/>
      <c r="E123" s="136"/>
      <c r="F123" s="136"/>
      <c r="G123" s="136"/>
      <c r="H123" s="52"/>
      <c r="I123" s="52"/>
      <c r="J123" s="52"/>
      <c r="K123" s="136"/>
      <c r="L123" s="53"/>
      <c r="M123" s="53"/>
      <c r="N123" s="53"/>
      <c r="O123" s="53"/>
      <c r="P123" s="53"/>
      <c r="Q123" s="53"/>
      <c r="R123" s="53"/>
      <c r="S123" s="136"/>
      <c r="T123" s="136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</row>
    <row r="124" ht="12.75" customHeight="1">
      <c r="A124" s="136"/>
      <c r="B124" s="136"/>
      <c r="C124" s="136"/>
      <c r="D124" s="136"/>
      <c r="E124" s="136"/>
      <c r="F124" s="136"/>
      <c r="G124" s="136"/>
      <c r="H124" s="52"/>
      <c r="I124" s="52"/>
      <c r="J124" s="52"/>
      <c r="K124" s="136"/>
      <c r="L124" s="53"/>
      <c r="M124" s="53"/>
      <c r="N124" s="53"/>
      <c r="O124" s="53"/>
      <c r="P124" s="53"/>
      <c r="Q124" s="53"/>
      <c r="R124" s="53"/>
      <c r="S124" s="136"/>
      <c r="T124" s="136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</row>
    <row r="125" ht="12.75" customHeight="1">
      <c r="A125" s="136"/>
      <c r="B125" s="136"/>
      <c r="C125" s="136"/>
      <c r="D125" s="136"/>
      <c r="E125" s="136"/>
      <c r="F125" s="136"/>
      <c r="G125" s="136"/>
      <c r="H125" s="52"/>
      <c r="I125" s="52"/>
      <c r="J125" s="52"/>
      <c r="K125" s="136"/>
      <c r="L125" s="53"/>
      <c r="M125" s="53"/>
      <c r="N125" s="53"/>
      <c r="O125" s="53"/>
      <c r="P125" s="53"/>
      <c r="Q125" s="53"/>
      <c r="R125" s="53"/>
      <c r="S125" s="136"/>
      <c r="T125" s="136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</row>
    <row r="126" ht="12.75" customHeight="1">
      <c r="A126" s="136"/>
      <c r="B126" s="136"/>
      <c r="C126" s="136"/>
      <c r="D126" s="136"/>
      <c r="E126" s="136"/>
      <c r="F126" s="136"/>
      <c r="G126" s="136"/>
      <c r="H126" s="52"/>
      <c r="I126" s="52"/>
      <c r="J126" s="52"/>
      <c r="K126" s="136"/>
      <c r="L126" s="53"/>
      <c r="M126" s="53"/>
      <c r="N126" s="53"/>
      <c r="O126" s="53"/>
      <c r="P126" s="53"/>
      <c r="Q126" s="53"/>
      <c r="R126" s="53"/>
      <c r="S126" s="136"/>
      <c r="T126" s="136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</row>
    <row r="127" ht="12.75" customHeight="1">
      <c r="A127" s="136"/>
      <c r="B127" s="136"/>
      <c r="C127" s="136"/>
      <c r="D127" s="136"/>
      <c r="E127" s="136"/>
      <c r="F127" s="136"/>
      <c r="G127" s="136"/>
      <c r="H127" s="52"/>
      <c r="I127" s="52"/>
      <c r="J127" s="52"/>
      <c r="K127" s="136"/>
      <c r="L127" s="53"/>
      <c r="M127" s="53"/>
      <c r="N127" s="53"/>
      <c r="O127" s="53"/>
      <c r="P127" s="53"/>
      <c r="Q127" s="53"/>
      <c r="R127" s="53"/>
      <c r="S127" s="136"/>
      <c r="T127" s="136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</row>
    <row r="128" ht="12.75" customHeight="1">
      <c r="A128" s="136"/>
      <c r="B128" s="136"/>
      <c r="C128" s="136"/>
      <c r="D128" s="136"/>
      <c r="E128" s="136"/>
      <c r="F128" s="136"/>
      <c r="G128" s="136"/>
      <c r="H128" s="52"/>
      <c r="I128" s="52"/>
      <c r="J128" s="52"/>
      <c r="K128" s="136"/>
      <c r="L128" s="53"/>
      <c r="M128" s="53"/>
      <c r="N128" s="53"/>
      <c r="O128" s="53"/>
      <c r="P128" s="53"/>
      <c r="Q128" s="53"/>
      <c r="R128" s="53"/>
      <c r="S128" s="136"/>
      <c r="T128" s="136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</row>
    <row r="129" ht="12.75" customHeight="1">
      <c r="A129" s="136"/>
      <c r="B129" s="136"/>
      <c r="C129" s="136"/>
      <c r="D129" s="136"/>
      <c r="E129" s="136"/>
      <c r="F129" s="136"/>
      <c r="G129" s="136"/>
      <c r="H129" s="52"/>
      <c r="I129" s="52"/>
      <c r="J129" s="52"/>
      <c r="K129" s="136"/>
      <c r="L129" s="53"/>
      <c r="M129" s="53"/>
      <c r="N129" s="53"/>
      <c r="O129" s="53"/>
      <c r="P129" s="53"/>
      <c r="Q129" s="53"/>
      <c r="R129" s="53"/>
      <c r="S129" s="136"/>
      <c r="T129" s="136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</row>
    <row r="130" ht="12.75" customHeight="1">
      <c r="A130" s="136"/>
      <c r="B130" s="136"/>
      <c r="C130" s="136"/>
      <c r="D130" s="136"/>
      <c r="E130" s="136"/>
      <c r="F130" s="136"/>
      <c r="G130" s="136"/>
      <c r="H130" s="52"/>
      <c r="I130" s="52"/>
      <c r="J130" s="52"/>
      <c r="K130" s="136"/>
      <c r="L130" s="53"/>
      <c r="M130" s="53"/>
      <c r="N130" s="53"/>
      <c r="O130" s="53"/>
      <c r="P130" s="53"/>
      <c r="Q130" s="53"/>
      <c r="R130" s="53"/>
      <c r="S130" s="136"/>
      <c r="T130" s="136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</row>
    <row r="131" ht="12.75" customHeight="1">
      <c r="A131" s="136"/>
      <c r="B131" s="136"/>
      <c r="C131" s="136"/>
      <c r="D131" s="136"/>
      <c r="E131" s="136"/>
      <c r="F131" s="136"/>
      <c r="G131" s="136"/>
      <c r="H131" s="52"/>
      <c r="I131" s="52"/>
      <c r="J131" s="52"/>
      <c r="K131" s="136"/>
      <c r="L131" s="53"/>
      <c r="M131" s="53"/>
      <c r="N131" s="53"/>
      <c r="O131" s="53"/>
      <c r="P131" s="53"/>
      <c r="Q131" s="53"/>
      <c r="R131" s="53"/>
      <c r="S131" s="136"/>
      <c r="T131" s="136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</row>
    <row r="132" ht="12.75" customHeight="1">
      <c r="A132" s="136"/>
      <c r="B132" s="136"/>
      <c r="C132" s="136"/>
      <c r="D132" s="136"/>
      <c r="E132" s="136"/>
      <c r="F132" s="136"/>
      <c r="G132" s="136"/>
      <c r="H132" s="52"/>
      <c r="I132" s="52"/>
      <c r="J132" s="52"/>
      <c r="K132" s="136"/>
      <c r="L132" s="53"/>
      <c r="M132" s="53"/>
      <c r="N132" s="53"/>
      <c r="O132" s="53"/>
      <c r="P132" s="53"/>
      <c r="Q132" s="53"/>
      <c r="R132" s="53"/>
      <c r="S132" s="136"/>
      <c r="T132" s="136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</row>
    <row r="133" ht="12.75" customHeight="1">
      <c r="A133" s="136"/>
      <c r="B133" s="136"/>
      <c r="C133" s="136"/>
      <c r="D133" s="136"/>
      <c r="E133" s="136"/>
      <c r="F133" s="136"/>
      <c r="G133" s="136"/>
      <c r="H133" s="52"/>
      <c r="I133" s="52"/>
      <c r="J133" s="52"/>
      <c r="K133" s="136"/>
      <c r="L133" s="53"/>
      <c r="M133" s="53"/>
      <c r="N133" s="53"/>
      <c r="O133" s="53"/>
      <c r="P133" s="53"/>
      <c r="Q133" s="53"/>
      <c r="R133" s="53"/>
      <c r="S133" s="136"/>
      <c r="T133" s="136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</row>
    <row r="134" ht="12.75" customHeight="1">
      <c r="A134" s="136"/>
      <c r="B134" s="136"/>
      <c r="C134" s="136"/>
      <c r="D134" s="136"/>
      <c r="E134" s="136"/>
      <c r="F134" s="136"/>
      <c r="G134" s="136"/>
      <c r="H134" s="52"/>
      <c r="I134" s="52"/>
      <c r="J134" s="52"/>
      <c r="K134" s="136"/>
      <c r="L134" s="53"/>
      <c r="M134" s="53"/>
      <c r="N134" s="53"/>
      <c r="O134" s="53"/>
      <c r="P134" s="53"/>
      <c r="Q134" s="53"/>
      <c r="R134" s="53"/>
      <c r="S134" s="136"/>
      <c r="T134" s="136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</row>
    <row r="135" ht="12.75" customHeight="1">
      <c r="A135" s="136"/>
      <c r="B135" s="136"/>
      <c r="C135" s="136"/>
      <c r="D135" s="136"/>
      <c r="E135" s="136"/>
      <c r="F135" s="136"/>
      <c r="G135" s="136"/>
      <c r="H135" s="52"/>
      <c r="I135" s="52"/>
      <c r="J135" s="52"/>
      <c r="K135" s="136"/>
      <c r="L135" s="53"/>
      <c r="M135" s="53"/>
      <c r="N135" s="53"/>
      <c r="O135" s="53"/>
      <c r="P135" s="53"/>
      <c r="Q135" s="53"/>
      <c r="R135" s="53"/>
      <c r="S135" s="136"/>
      <c r="T135" s="136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</row>
    <row r="136" ht="12.75" customHeight="1">
      <c r="A136" s="136"/>
      <c r="B136" s="136"/>
      <c r="C136" s="136"/>
      <c r="D136" s="136"/>
      <c r="E136" s="136"/>
      <c r="F136" s="136"/>
      <c r="G136" s="136"/>
      <c r="H136" s="52"/>
      <c r="I136" s="52"/>
      <c r="J136" s="52"/>
      <c r="K136" s="136"/>
      <c r="L136" s="53"/>
      <c r="M136" s="53"/>
      <c r="N136" s="53"/>
      <c r="O136" s="53"/>
      <c r="P136" s="53"/>
      <c r="Q136" s="53"/>
      <c r="R136" s="53"/>
      <c r="S136" s="136"/>
      <c r="T136" s="136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</row>
    <row r="137" ht="12.75" customHeight="1">
      <c r="A137" s="136"/>
      <c r="B137" s="136"/>
      <c r="C137" s="136"/>
      <c r="D137" s="136"/>
      <c r="E137" s="136"/>
      <c r="F137" s="136"/>
      <c r="G137" s="136"/>
      <c r="H137" s="52"/>
      <c r="I137" s="52"/>
      <c r="J137" s="52"/>
      <c r="K137" s="136"/>
      <c r="L137" s="53"/>
      <c r="M137" s="53"/>
      <c r="N137" s="53"/>
      <c r="O137" s="53"/>
      <c r="P137" s="53"/>
      <c r="Q137" s="53"/>
      <c r="R137" s="53"/>
      <c r="S137" s="136"/>
      <c r="T137" s="136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</row>
    <row r="138" ht="12.75" customHeight="1">
      <c r="A138" s="136"/>
      <c r="B138" s="136"/>
      <c r="C138" s="136"/>
      <c r="D138" s="136"/>
      <c r="E138" s="136"/>
      <c r="F138" s="136"/>
      <c r="G138" s="136"/>
      <c r="H138" s="52"/>
      <c r="I138" s="52"/>
      <c r="J138" s="52"/>
      <c r="K138" s="136"/>
      <c r="L138" s="53"/>
      <c r="M138" s="53"/>
      <c r="N138" s="53"/>
      <c r="O138" s="53"/>
      <c r="P138" s="53"/>
      <c r="Q138" s="53"/>
      <c r="R138" s="53"/>
      <c r="S138" s="136"/>
      <c r="T138" s="136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</row>
    <row r="139" ht="12.75" customHeight="1">
      <c r="A139" s="136"/>
      <c r="B139" s="136"/>
      <c r="C139" s="136"/>
      <c r="D139" s="136"/>
      <c r="E139" s="136"/>
      <c r="F139" s="136"/>
      <c r="G139" s="136"/>
      <c r="H139" s="52"/>
      <c r="I139" s="52"/>
      <c r="J139" s="52"/>
      <c r="K139" s="136"/>
      <c r="L139" s="53"/>
      <c r="M139" s="53"/>
      <c r="N139" s="53"/>
      <c r="O139" s="53"/>
      <c r="P139" s="53"/>
      <c r="Q139" s="53"/>
      <c r="R139" s="53"/>
      <c r="S139" s="136"/>
      <c r="T139" s="136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</row>
    <row r="140" ht="12.75" customHeight="1">
      <c r="A140" s="136"/>
      <c r="B140" s="136"/>
      <c r="C140" s="136"/>
      <c r="D140" s="136"/>
      <c r="E140" s="136"/>
      <c r="F140" s="136"/>
      <c r="G140" s="136"/>
      <c r="H140" s="52"/>
      <c r="I140" s="52"/>
      <c r="J140" s="52"/>
      <c r="K140" s="136"/>
      <c r="L140" s="53"/>
      <c r="M140" s="53"/>
      <c r="N140" s="53"/>
      <c r="O140" s="53"/>
      <c r="P140" s="53"/>
      <c r="Q140" s="53"/>
      <c r="R140" s="53"/>
      <c r="S140" s="136"/>
      <c r="T140" s="136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</row>
    <row r="141" ht="12.75" customHeight="1">
      <c r="A141" s="136"/>
      <c r="B141" s="136"/>
      <c r="C141" s="136"/>
      <c r="D141" s="136"/>
      <c r="E141" s="136"/>
      <c r="F141" s="136"/>
      <c r="G141" s="136"/>
      <c r="H141" s="52"/>
      <c r="I141" s="52"/>
      <c r="J141" s="52"/>
      <c r="K141" s="136"/>
      <c r="L141" s="53"/>
      <c r="M141" s="53"/>
      <c r="N141" s="53"/>
      <c r="O141" s="53"/>
      <c r="P141" s="53"/>
      <c r="Q141" s="53"/>
      <c r="R141" s="53"/>
      <c r="S141" s="136"/>
      <c r="T141" s="136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</row>
    <row r="142" ht="12.75" customHeight="1">
      <c r="A142" s="136"/>
      <c r="B142" s="136"/>
      <c r="C142" s="136"/>
      <c r="D142" s="136"/>
      <c r="E142" s="136"/>
      <c r="F142" s="136"/>
      <c r="G142" s="136"/>
      <c r="H142" s="52"/>
      <c r="I142" s="52"/>
      <c r="J142" s="52"/>
      <c r="K142" s="136"/>
      <c r="L142" s="53"/>
      <c r="M142" s="53"/>
      <c r="N142" s="53"/>
      <c r="O142" s="53"/>
      <c r="P142" s="53"/>
      <c r="Q142" s="53"/>
      <c r="R142" s="53"/>
      <c r="S142" s="136"/>
      <c r="T142" s="136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</row>
    <row r="143" ht="12.75" customHeight="1">
      <c r="A143" s="136"/>
      <c r="B143" s="136"/>
      <c r="C143" s="136"/>
      <c r="D143" s="136"/>
      <c r="E143" s="136"/>
      <c r="F143" s="136"/>
      <c r="G143" s="136"/>
      <c r="H143" s="52"/>
      <c r="I143" s="52"/>
      <c r="J143" s="52"/>
      <c r="K143" s="136"/>
      <c r="L143" s="53"/>
      <c r="M143" s="53"/>
      <c r="N143" s="53"/>
      <c r="O143" s="53"/>
      <c r="P143" s="53"/>
      <c r="Q143" s="53"/>
      <c r="R143" s="53"/>
      <c r="S143" s="136"/>
      <c r="T143" s="136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</row>
    <row r="144" ht="12.75" customHeight="1">
      <c r="A144" s="136"/>
      <c r="B144" s="136"/>
      <c r="C144" s="136"/>
      <c r="D144" s="136"/>
      <c r="E144" s="136"/>
      <c r="F144" s="136"/>
      <c r="G144" s="136"/>
      <c r="H144" s="52"/>
      <c r="I144" s="52"/>
      <c r="J144" s="52"/>
      <c r="K144" s="136"/>
      <c r="L144" s="53"/>
      <c r="M144" s="53"/>
      <c r="N144" s="53"/>
      <c r="O144" s="53"/>
      <c r="P144" s="53"/>
      <c r="Q144" s="53"/>
      <c r="R144" s="53"/>
      <c r="S144" s="136"/>
      <c r="T144" s="136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</row>
    <row r="145" ht="12.75" customHeight="1">
      <c r="A145" s="136"/>
      <c r="B145" s="136"/>
      <c r="C145" s="136"/>
      <c r="D145" s="136"/>
      <c r="E145" s="136"/>
      <c r="F145" s="136"/>
      <c r="G145" s="136"/>
      <c r="H145" s="52"/>
      <c r="I145" s="52"/>
      <c r="J145" s="52"/>
      <c r="K145" s="136"/>
      <c r="L145" s="53"/>
      <c r="M145" s="53"/>
      <c r="N145" s="53"/>
      <c r="O145" s="53"/>
      <c r="P145" s="53"/>
      <c r="Q145" s="53"/>
      <c r="R145" s="53"/>
      <c r="S145" s="136"/>
      <c r="T145" s="136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</row>
    <row r="146" ht="12.75" customHeight="1">
      <c r="A146" s="136"/>
      <c r="B146" s="136"/>
      <c r="C146" s="136"/>
      <c r="D146" s="136"/>
      <c r="E146" s="136"/>
      <c r="F146" s="136"/>
      <c r="G146" s="136"/>
      <c r="H146" s="52"/>
      <c r="I146" s="52"/>
      <c r="J146" s="52"/>
      <c r="K146" s="136"/>
      <c r="L146" s="53"/>
      <c r="M146" s="53"/>
      <c r="N146" s="53"/>
      <c r="O146" s="53"/>
      <c r="P146" s="53"/>
      <c r="Q146" s="53"/>
      <c r="R146" s="53"/>
      <c r="S146" s="136"/>
      <c r="T146" s="136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</row>
    <row r="147" ht="12.75" customHeight="1">
      <c r="A147" s="136"/>
      <c r="B147" s="136"/>
      <c r="C147" s="136"/>
      <c r="D147" s="136"/>
      <c r="E147" s="136"/>
      <c r="F147" s="136"/>
      <c r="G147" s="136"/>
      <c r="H147" s="52"/>
      <c r="I147" s="52"/>
      <c r="J147" s="52"/>
      <c r="K147" s="136"/>
      <c r="L147" s="53"/>
      <c r="M147" s="53"/>
      <c r="N147" s="53"/>
      <c r="O147" s="53"/>
      <c r="P147" s="53"/>
      <c r="Q147" s="53"/>
      <c r="R147" s="53"/>
      <c r="S147" s="136"/>
      <c r="T147" s="136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</row>
    <row r="148" ht="12.75" customHeight="1">
      <c r="A148" s="136"/>
      <c r="B148" s="136"/>
      <c r="C148" s="136"/>
      <c r="D148" s="136"/>
      <c r="E148" s="136"/>
      <c r="F148" s="136"/>
      <c r="G148" s="136"/>
      <c r="H148" s="52"/>
      <c r="I148" s="52"/>
      <c r="J148" s="52"/>
      <c r="K148" s="136"/>
      <c r="L148" s="53"/>
      <c r="M148" s="53"/>
      <c r="N148" s="53"/>
      <c r="O148" s="53"/>
      <c r="P148" s="53"/>
      <c r="Q148" s="53"/>
      <c r="R148" s="53"/>
      <c r="S148" s="136"/>
      <c r="T148" s="136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</row>
    <row r="149" ht="12.75" customHeight="1">
      <c r="A149" s="136"/>
      <c r="B149" s="136"/>
      <c r="C149" s="136"/>
      <c r="D149" s="136"/>
      <c r="E149" s="136"/>
      <c r="F149" s="136"/>
      <c r="G149" s="136"/>
      <c r="H149" s="52"/>
      <c r="I149" s="52"/>
      <c r="J149" s="52"/>
      <c r="K149" s="136"/>
      <c r="L149" s="53"/>
      <c r="M149" s="53"/>
      <c r="N149" s="53"/>
      <c r="O149" s="53"/>
      <c r="P149" s="53"/>
      <c r="Q149" s="53"/>
      <c r="R149" s="53"/>
      <c r="S149" s="136"/>
      <c r="T149" s="136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</row>
    <row r="150" ht="12.75" customHeight="1">
      <c r="A150" s="136"/>
      <c r="B150" s="136"/>
      <c r="C150" s="136"/>
      <c r="D150" s="136"/>
      <c r="E150" s="136"/>
      <c r="F150" s="136"/>
      <c r="G150" s="136"/>
      <c r="H150" s="52"/>
      <c r="I150" s="52"/>
      <c r="J150" s="52"/>
      <c r="K150" s="136"/>
      <c r="L150" s="53"/>
      <c r="M150" s="53"/>
      <c r="N150" s="53"/>
      <c r="O150" s="53"/>
      <c r="P150" s="53"/>
      <c r="Q150" s="53"/>
      <c r="R150" s="53"/>
      <c r="S150" s="136"/>
      <c r="T150" s="136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</row>
    <row r="151" ht="12.75" customHeight="1">
      <c r="A151" s="136"/>
      <c r="B151" s="136"/>
      <c r="C151" s="136"/>
      <c r="D151" s="136"/>
      <c r="E151" s="136"/>
      <c r="F151" s="136"/>
      <c r="G151" s="136"/>
      <c r="H151" s="52"/>
      <c r="I151" s="52"/>
      <c r="J151" s="52"/>
      <c r="K151" s="136"/>
      <c r="L151" s="53"/>
      <c r="M151" s="53"/>
      <c r="N151" s="53"/>
      <c r="O151" s="53"/>
      <c r="P151" s="53"/>
      <c r="Q151" s="53"/>
      <c r="R151" s="53"/>
      <c r="S151" s="136"/>
      <c r="T151" s="136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</row>
    <row r="152" ht="12.75" customHeight="1">
      <c r="A152" s="136"/>
      <c r="B152" s="136"/>
      <c r="C152" s="136"/>
      <c r="D152" s="136"/>
      <c r="E152" s="136"/>
      <c r="F152" s="136"/>
      <c r="G152" s="136"/>
      <c r="H152" s="52"/>
      <c r="I152" s="52"/>
      <c r="J152" s="52"/>
      <c r="K152" s="136"/>
      <c r="L152" s="53"/>
      <c r="M152" s="53"/>
      <c r="N152" s="53"/>
      <c r="O152" s="53"/>
      <c r="P152" s="53"/>
      <c r="Q152" s="53"/>
      <c r="R152" s="53"/>
      <c r="S152" s="136"/>
      <c r="T152" s="136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</row>
    <row r="153" ht="12.75" customHeight="1">
      <c r="A153" s="136"/>
      <c r="B153" s="136"/>
      <c r="C153" s="136"/>
      <c r="D153" s="136"/>
      <c r="E153" s="136"/>
      <c r="F153" s="136"/>
      <c r="G153" s="136"/>
      <c r="H153" s="52"/>
      <c r="I153" s="52"/>
      <c r="J153" s="52"/>
      <c r="K153" s="136"/>
      <c r="L153" s="53"/>
      <c r="M153" s="53"/>
      <c r="N153" s="53"/>
      <c r="O153" s="53"/>
      <c r="P153" s="53"/>
      <c r="Q153" s="53"/>
      <c r="R153" s="53"/>
      <c r="S153" s="136"/>
      <c r="T153" s="136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</row>
    <row r="154" ht="12.75" customHeight="1">
      <c r="A154" s="136"/>
      <c r="B154" s="136"/>
      <c r="C154" s="136"/>
      <c r="D154" s="136"/>
      <c r="E154" s="136"/>
      <c r="F154" s="136"/>
      <c r="G154" s="136"/>
      <c r="H154" s="52"/>
      <c r="I154" s="52"/>
      <c r="J154" s="52"/>
      <c r="K154" s="136"/>
      <c r="L154" s="53"/>
      <c r="M154" s="53"/>
      <c r="N154" s="53"/>
      <c r="O154" s="53"/>
      <c r="P154" s="53"/>
      <c r="Q154" s="53"/>
      <c r="R154" s="53"/>
      <c r="S154" s="136"/>
      <c r="T154" s="136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</row>
    <row r="155" ht="12.75" customHeight="1">
      <c r="A155" s="136"/>
      <c r="B155" s="136"/>
      <c r="C155" s="136"/>
      <c r="D155" s="136"/>
      <c r="E155" s="136"/>
      <c r="F155" s="136"/>
      <c r="G155" s="136"/>
      <c r="H155" s="52"/>
      <c r="I155" s="52"/>
      <c r="J155" s="52"/>
      <c r="K155" s="136"/>
      <c r="L155" s="53"/>
      <c r="M155" s="53"/>
      <c r="N155" s="53"/>
      <c r="O155" s="53"/>
      <c r="P155" s="53"/>
      <c r="Q155" s="53"/>
      <c r="R155" s="53"/>
      <c r="S155" s="136"/>
      <c r="T155" s="136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</row>
    <row r="156" ht="12.75" customHeight="1">
      <c r="A156" s="136"/>
      <c r="B156" s="136"/>
      <c r="C156" s="136"/>
      <c r="D156" s="136"/>
      <c r="E156" s="136"/>
      <c r="F156" s="136"/>
      <c r="G156" s="136"/>
      <c r="H156" s="52"/>
      <c r="I156" s="52"/>
      <c r="J156" s="52"/>
      <c r="K156" s="136"/>
      <c r="L156" s="53"/>
      <c r="M156" s="53"/>
      <c r="N156" s="53"/>
      <c r="O156" s="53"/>
      <c r="P156" s="53"/>
      <c r="Q156" s="53"/>
      <c r="R156" s="53"/>
      <c r="S156" s="136"/>
      <c r="T156" s="136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</row>
    <row r="157" ht="12.75" customHeight="1">
      <c r="A157" s="136"/>
      <c r="B157" s="136"/>
      <c r="C157" s="136"/>
      <c r="D157" s="136"/>
      <c r="E157" s="136"/>
      <c r="F157" s="136"/>
      <c r="G157" s="136"/>
      <c r="H157" s="52"/>
      <c r="I157" s="52"/>
      <c r="J157" s="52"/>
      <c r="K157" s="136"/>
      <c r="L157" s="53"/>
      <c r="M157" s="53"/>
      <c r="N157" s="53"/>
      <c r="O157" s="53"/>
      <c r="P157" s="53"/>
      <c r="Q157" s="53"/>
      <c r="R157" s="53"/>
      <c r="S157" s="136"/>
      <c r="T157" s="136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</row>
    <row r="158" ht="12.75" customHeight="1">
      <c r="A158" s="136"/>
      <c r="B158" s="136"/>
      <c r="C158" s="136"/>
      <c r="D158" s="136"/>
      <c r="E158" s="136"/>
      <c r="F158" s="136"/>
      <c r="G158" s="136"/>
      <c r="H158" s="52"/>
      <c r="I158" s="52"/>
      <c r="J158" s="52"/>
      <c r="K158" s="136"/>
      <c r="L158" s="53"/>
      <c r="M158" s="53"/>
      <c r="N158" s="53"/>
      <c r="O158" s="53"/>
      <c r="P158" s="53"/>
      <c r="Q158" s="53"/>
      <c r="R158" s="53"/>
      <c r="S158" s="136"/>
      <c r="T158" s="136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</row>
    <row r="159" ht="12.75" customHeight="1">
      <c r="A159" s="136"/>
      <c r="B159" s="136"/>
      <c r="C159" s="136"/>
      <c r="D159" s="136"/>
      <c r="E159" s="136"/>
      <c r="F159" s="136"/>
      <c r="G159" s="136"/>
      <c r="H159" s="52"/>
      <c r="I159" s="52"/>
      <c r="J159" s="52"/>
      <c r="K159" s="136"/>
      <c r="L159" s="53"/>
      <c r="M159" s="53"/>
      <c r="N159" s="53"/>
      <c r="O159" s="53"/>
      <c r="P159" s="53"/>
      <c r="Q159" s="53"/>
      <c r="R159" s="53"/>
      <c r="S159" s="136"/>
      <c r="T159" s="136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</row>
    <row r="160" ht="12.75" customHeight="1">
      <c r="A160" s="136"/>
      <c r="B160" s="136"/>
      <c r="C160" s="136"/>
      <c r="D160" s="136"/>
      <c r="E160" s="136"/>
      <c r="F160" s="136"/>
      <c r="G160" s="136"/>
      <c r="H160" s="52"/>
      <c r="I160" s="52"/>
      <c r="J160" s="52"/>
      <c r="K160" s="136"/>
      <c r="L160" s="53"/>
      <c r="M160" s="53"/>
      <c r="N160" s="53"/>
      <c r="O160" s="53"/>
      <c r="P160" s="53"/>
      <c r="Q160" s="53"/>
      <c r="R160" s="53"/>
      <c r="S160" s="136"/>
      <c r="T160" s="136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</row>
    <row r="161" ht="12.75" customHeight="1">
      <c r="A161" s="136"/>
      <c r="B161" s="136"/>
      <c r="C161" s="136"/>
      <c r="D161" s="136"/>
      <c r="E161" s="136"/>
      <c r="F161" s="136"/>
      <c r="G161" s="136"/>
      <c r="H161" s="52"/>
      <c r="I161" s="52"/>
      <c r="J161" s="52"/>
      <c r="K161" s="136"/>
      <c r="L161" s="53"/>
      <c r="M161" s="53"/>
      <c r="N161" s="53"/>
      <c r="O161" s="53"/>
      <c r="P161" s="53"/>
      <c r="Q161" s="53"/>
      <c r="R161" s="53"/>
      <c r="S161" s="136"/>
      <c r="T161" s="136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</row>
    <row r="162" ht="12.75" customHeight="1">
      <c r="A162" s="136"/>
      <c r="B162" s="136"/>
      <c r="C162" s="136"/>
      <c r="D162" s="136"/>
      <c r="E162" s="136"/>
      <c r="F162" s="136"/>
      <c r="G162" s="136"/>
      <c r="H162" s="52"/>
      <c r="I162" s="52"/>
      <c r="J162" s="52"/>
      <c r="K162" s="136"/>
      <c r="L162" s="53"/>
      <c r="M162" s="53"/>
      <c r="N162" s="53"/>
      <c r="O162" s="53"/>
      <c r="P162" s="53"/>
      <c r="Q162" s="53"/>
      <c r="R162" s="53"/>
      <c r="S162" s="136"/>
      <c r="T162" s="136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</row>
    <row r="163" ht="12.75" customHeight="1">
      <c r="A163" s="136"/>
      <c r="B163" s="136"/>
      <c r="C163" s="136"/>
      <c r="D163" s="136"/>
      <c r="E163" s="136"/>
      <c r="F163" s="136"/>
      <c r="G163" s="136"/>
      <c r="H163" s="52"/>
      <c r="I163" s="52"/>
      <c r="J163" s="52"/>
      <c r="K163" s="136"/>
      <c r="L163" s="53"/>
      <c r="M163" s="53"/>
      <c r="N163" s="53"/>
      <c r="O163" s="53"/>
      <c r="P163" s="53"/>
      <c r="Q163" s="53"/>
      <c r="R163" s="53"/>
      <c r="S163" s="136"/>
      <c r="T163" s="136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</row>
    <row r="164" ht="12.75" customHeight="1">
      <c r="A164" s="136"/>
      <c r="B164" s="136"/>
      <c r="C164" s="136"/>
      <c r="D164" s="136"/>
      <c r="E164" s="136"/>
      <c r="F164" s="136"/>
      <c r="G164" s="136"/>
      <c r="H164" s="52"/>
      <c r="I164" s="52"/>
      <c r="J164" s="52"/>
      <c r="K164" s="136"/>
      <c r="L164" s="53"/>
      <c r="M164" s="53"/>
      <c r="N164" s="53"/>
      <c r="O164" s="53"/>
      <c r="P164" s="53"/>
      <c r="Q164" s="53"/>
      <c r="R164" s="53"/>
      <c r="S164" s="136"/>
      <c r="T164" s="136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</row>
    <row r="165" ht="12.75" customHeight="1">
      <c r="A165" s="136"/>
      <c r="B165" s="136"/>
      <c r="C165" s="136"/>
      <c r="D165" s="136"/>
      <c r="E165" s="136"/>
      <c r="F165" s="136"/>
      <c r="G165" s="136"/>
      <c r="H165" s="52"/>
      <c r="I165" s="52"/>
      <c r="J165" s="52"/>
      <c r="K165" s="136"/>
      <c r="L165" s="53"/>
      <c r="M165" s="53"/>
      <c r="N165" s="53"/>
      <c r="O165" s="53"/>
      <c r="P165" s="53"/>
      <c r="Q165" s="53"/>
      <c r="R165" s="53"/>
      <c r="S165" s="136"/>
      <c r="T165" s="136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</row>
    <row r="166" ht="12.75" customHeight="1">
      <c r="A166" s="136"/>
      <c r="B166" s="136"/>
      <c r="C166" s="136"/>
      <c r="D166" s="136"/>
      <c r="E166" s="136"/>
      <c r="F166" s="136"/>
      <c r="G166" s="136"/>
      <c r="H166" s="52"/>
      <c r="I166" s="52"/>
      <c r="J166" s="52"/>
      <c r="K166" s="136"/>
      <c r="L166" s="53"/>
      <c r="M166" s="53"/>
      <c r="N166" s="53"/>
      <c r="O166" s="53"/>
      <c r="P166" s="53"/>
      <c r="Q166" s="53"/>
      <c r="R166" s="53"/>
      <c r="S166" s="136"/>
      <c r="T166" s="136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</row>
    <row r="167" ht="12.75" customHeight="1">
      <c r="A167" s="136"/>
      <c r="B167" s="136"/>
      <c r="C167" s="136"/>
      <c r="D167" s="136"/>
      <c r="E167" s="136"/>
      <c r="F167" s="136"/>
      <c r="G167" s="136"/>
      <c r="H167" s="52"/>
      <c r="I167" s="52"/>
      <c r="J167" s="52"/>
      <c r="K167" s="136"/>
      <c r="L167" s="53"/>
      <c r="M167" s="53"/>
      <c r="N167" s="53"/>
      <c r="O167" s="53"/>
      <c r="P167" s="53"/>
      <c r="Q167" s="53"/>
      <c r="R167" s="53"/>
      <c r="S167" s="136"/>
      <c r="T167" s="136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</row>
    <row r="168" ht="12.75" customHeight="1">
      <c r="A168" s="136"/>
      <c r="B168" s="136"/>
      <c r="C168" s="136"/>
      <c r="D168" s="136"/>
      <c r="E168" s="136"/>
      <c r="F168" s="136"/>
      <c r="G168" s="136"/>
      <c r="H168" s="52"/>
      <c r="I168" s="52"/>
      <c r="J168" s="52"/>
      <c r="K168" s="136"/>
      <c r="L168" s="53"/>
      <c r="M168" s="53"/>
      <c r="N168" s="53"/>
      <c r="O168" s="53"/>
      <c r="P168" s="53"/>
      <c r="Q168" s="53"/>
      <c r="R168" s="53"/>
      <c r="S168" s="136"/>
      <c r="T168" s="136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</row>
    <row r="169" ht="12.75" customHeight="1">
      <c r="A169" s="136"/>
      <c r="B169" s="136"/>
      <c r="C169" s="136"/>
      <c r="D169" s="136"/>
      <c r="E169" s="136"/>
      <c r="F169" s="136"/>
      <c r="G169" s="136"/>
      <c r="H169" s="52"/>
      <c r="I169" s="52"/>
      <c r="J169" s="52"/>
      <c r="K169" s="136"/>
      <c r="L169" s="53"/>
      <c r="M169" s="53"/>
      <c r="N169" s="53"/>
      <c r="O169" s="53"/>
      <c r="P169" s="53"/>
      <c r="Q169" s="53"/>
      <c r="R169" s="53"/>
      <c r="S169" s="136"/>
      <c r="T169" s="136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</row>
    <row r="170" ht="12.75" customHeight="1">
      <c r="A170" s="136"/>
      <c r="B170" s="136"/>
      <c r="C170" s="136"/>
      <c r="D170" s="136"/>
      <c r="E170" s="136"/>
      <c r="F170" s="136"/>
      <c r="G170" s="136"/>
      <c r="H170" s="52"/>
      <c r="I170" s="52"/>
      <c r="J170" s="52"/>
      <c r="K170" s="136"/>
      <c r="L170" s="53"/>
      <c r="M170" s="53"/>
      <c r="N170" s="53"/>
      <c r="O170" s="53"/>
      <c r="P170" s="53"/>
      <c r="Q170" s="53"/>
      <c r="R170" s="53"/>
      <c r="S170" s="136"/>
      <c r="T170" s="136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</row>
    <row r="171" ht="12.75" customHeight="1">
      <c r="A171" s="136"/>
      <c r="B171" s="136"/>
      <c r="C171" s="136"/>
      <c r="D171" s="136"/>
      <c r="E171" s="136"/>
      <c r="F171" s="136"/>
      <c r="G171" s="136"/>
      <c r="H171" s="52"/>
      <c r="I171" s="52"/>
      <c r="J171" s="52"/>
      <c r="K171" s="136"/>
      <c r="L171" s="53"/>
      <c r="M171" s="53"/>
      <c r="N171" s="53"/>
      <c r="O171" s="53"/>
      <c r="P171" s="53"/>
      <c r="Q171" s="53"/>
      <c r="R171" s="53"/>
      <c r="S171" s="136"/>
      <c r="T171" s="136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</row>
    <row r="172" ht="12.75" customHeight="1">
      <c r="A172" s="136"/>
      <c r="B172" s="136"/>
      <c r="C172" s="136"/>
      <c r="D172" s="136"/>
      <c r="E172" s="136"/>
      <c r="F172" s="136"/>
      <c r="G172" s="136"/>
      <c r="H172" s="52"/>
      <c r="I172" s="52"/>
      <c r="J172" s="52"/>
      <c r="K172" s="136"/>
      <c r="L172" s="53"/>
      <c r="M172" s="53"/>
      <c r="N172" s="53"/>
      <c r="O172" s="53"/>
      <c r="P172" s="53"/>
      <c r="Q172" s="53"/>
      <c r="R172" s="53"/>
      <c r="S172" s="136"/>
      <c r="T172" s="136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</row>
    <row r="173" ht="12.75" customHeight="1">
      <c r="A173" s="136"/>
      <c r="B173" s="136"/>
      <c r="C173" s="136"/>
      <c r="D173" s="136"/>
      <c r="E173" s="136"/>
      <c r="F173" s="136"/>
      <c r="G173" s="136"/>
      <c r="H173" s="52"/>
      <c r="I173" s="52"/>
      <c r="J173" s="52"/>
      <c r="K173" s="136"/>
      <c r="L173" s="53"/>
      <c r="M173" s="53"/>
      <c r="N173" s="53"/>
      <c r="O173" s="53"/>
      <c r="P173" s="53"/>
      <c r="Q173" s="53"/>
      <c r="R173" s="53"/>
      <c r="S173" s="136"/>
      <c r="T173" s="136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</row>
    <row r="174" ht="12.75" customHeight="1">
      <c r="A174" s="136"/>
      <c r="B174" s="136"/>
      <c r="C174" s="136"/>
      <c r="D174" s="136"/>
      <c r="E174" s="136"/>
      <c r="F174" s="136"/>
      <c r="G174" s="136"/>
      <c r="H174" s="52"/>
      <c r="I174" s="52"/>
      <c r="J174" s="52"/>
      <c r="K174" s="136"/>
      <c r="L174" s="53"/>
      <c r="M174" s="53"/>
      <c r="N174" s="53"/>
      <c r="O174" s="53"/>
      <c r="P174" s="53"/>
      <c r="Q174" s="53"/>
      <c r="R174" s="53"/>
      <c r="S174" s="136"/>
      <c r="T174" s="136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</row>
    <row r="175" ht="12.75" customHeight="1">
      <c r="A175" s="136"/>
      <c r="B175" s="136"/>
      <c r="C175" s="136"/>
      <c r="D175" s="136"/>
      <c r="E175" s="136"/>
      <c r="F175" s="136"/>
      <c r="G175" s="136"/>
      <c r="H175" s="52"/>
      <c r="I175" s="52"/>
      <c r="J175" s="52"/>
      <c r="K175" s="136"/>
      <c r="L175" s="53"/>
      <c r="M175" s="53"/>
      <c r="N175" s="53"/>
      <c r="O175" s="53"/>
      <c r="P175" s="53"/>
      <c r="Q175" s="53"/>
      <c r="R175" s="53"/>
      <c r="S175" s="136"/>
      <c r="T175" s="136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</row>
    <row r="176" ht="12.75" customHeight="1">
      <c r="A176" s="136"/>
      <c r="B176" s="136"/>
      <c r="C176" s="136"/>
      <c r="D176" s="136"/>
      <c r="E176" s="136"/>
      <c r="F176" s="136"/>
      <c r="G176" s="136"/>
      <c r="H176" s="52"/>
      <c r="I176" s="52"/>
      <c r="J176" s="52"/>
      <c r="K176" s="136"/>
      <c r="L176" s="53"/>
      <c r="M176" s="53"/>
      <c r="N176" s="53"/>
      <c r="O176" s="53"/>
      <c r="P176" s="53"/>
      <c r="Q176" s="53"/>
      <c r="R176" s="53"/>
      <c r="S176" s="136"/>
      <c r="T176" s="136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</row>
    <row r="177" ht="12.75" customHeight="1">
      <c r="A177" s="136"/>
      <c r="B177" s="136"/>
      <c r="C177" s="136"/>
      <c r="D177" s="136"/>
      <c r="E177" s="136"/>
      <c r="F177" s="136"/>
      <c r="G177" s="136"/>
      <c r="H177" s="52"/>
      <c r="I177" s="52"/>
      <c r="J177" s="52"/>
      <c r="K177" s="136"/>
      <c r="L177" s="53"/>
      <c r="M177" s="53"/>
      <c r="N177" s="53"/>
      <c r="O177" s="53"/>
      <c r="P177" s="53"/>
      <c r="Q177" s="53"/>
      <c r="R177" s="53"/>
      <c r="S177" s="136"/>
      <c r="T177" s="136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</row>
    <row r="178" ht="12.75" customHeight="1">
      <c r="A178" s="136"/>
      <c r="B178" s="136"/>
      <c r="C178" s="136"/>
      <c r="D178" s="136"/>
      <c r="E178" s="136"/>
      <c r="F178" s="136"/>
      <c r="G178" s="136"/>
      <c r="H178" s="52"/>
      <c r="I178" s="52"/>
      <c r="J178" s="52"/>
      <c r="K178" s="136"/>
      <c r="L178" s="53"/>
      <c r="M178" s="53"/>
      <c r="N178" s="53"/>
      <c r="O178" s="53"/>
      <c r="P178" s="53"/>
      <c r="Q178" s="53"/>
      <c r="R178" s="53"/>
      <c r="S178" s="136"/>
      <c r="T178" s="136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</row>
    <row r="179" ht="12.75" customHeight="1">
      <c r="A179" s="136"/>
      <c r="B179" s="136"/>
      <c r="C179" s="136"/>
      <c r="D179" s="136"/>
      <c r="E179" s="136"/>
      <c r="F179" s="136"/>
      <c r="G179" s="136"/>
      <c r="H179" s="52"/>
      <c r="I179" s="52"/>
      <c r="J179" s="52"/>
      <c r="K179" s="136"/>
      <c r="L179" s="53"/>
      <c r="M179" s="53"/>
      <c r="N179" s="53"/>
      <c r="O179" s="53"/>
      <c r="P179" s="53"/>
      <c r="Q179" s="53"/>
      <c r="R179" s="53"/>
      <c r="S179" s="136"/>
      <c r="T179" s="136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</row>
    <row r="180" ht="12.75" customHeight="1">
      <c r="A180" s="136"/>
      <c r="B180" s="136"/>
      <c r="C180" s="136"/>
      <c r="D180" s="136"/>
      <c r="E180" s="136"/>
      <c r="F180" s="136"/>
      <c r="G180" s="136"/>
      <c r="H180" s="52"/>
      <c r="I180" s="52"/>
      <c r="J180" s="52"/>
      <c r="K180" s="136"/>
      <c r="L180" s="53"/>
      <c r="M180" s="53"/>
      <c r="N180" s="53"/>
      <c r="O180" s="53"/>
      <c r="P180" s="53"/>
      <c r="Q180" s="53"/>
      <c r="R180" s="53"/>
      <c r="S180" s="136"/>
      <c r="T180" s="136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</row>
    <row r="181" ht="12.75" customHeight="1">
      <c r="A181" s="136"/>
      <c r="B181" s="136"/>
      <c r="C181" s="136"/>
      <c r="D181" s="136"/>
      <c r="E181" s="136"/>
      <c r="F181" s="136"/>
      <c r="G181" s="136"/>
      <c r="H181" s="52"/>
      <c r="I181" s="52"/>
      <c r="J181" s="52"/>
      <c r="K181" s="136"/>
      <c r="L181" s="53"/>
      <c r="M181" s="53"/>
      <c r="N181" s="53"/>
      <c r="O181" s="53"/>
      <c r="P181" s="53"/>
      <c r="Q181" s="53"/>
      <c r="R181" s="53"/>
      <c r="S181" s="136"/>
      <c r="T181" s="136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</row>
    <row r="182" ht="12.75" customHeight="1">
      <c r="A182" s="136"/>
      <c r="B182" s="136"/>
      <c r="C182" s="136"/>
      <c r="D182" s="136"/>
      <c r="E182" s="136"/>
      <c r="F182" s="136"/>
      <c r="G182" s="136"/>
      <c r="H182" s="52"/>
      <c r="I182" s="52"/>
      <c r="J182" s="52"/>
      <c r="K182" s="136"/>
      <c r="L182" s="53"/>
      <c r="M182" s="53"/>
      <c r="N182" s="53"/>
      <c r="O182" s="53"/>
      <c r="P182" s="53"/>
      <c r="Q182" s="53"/>
      <c r="R182" s="53"/>
      <c r="S182" s="136"/>
      <c r="T182" s="136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</row>
    <row r="183" ht="12.75" customHeight="1">
      <c r="A183" s="136"/>
      <c r="B183" s="136"/>
      <c r="C183" s="136"/>
      <c r="D183" s="136"/>
      <c r="E183" s="136"/>
      <c r="F183" s="136"/>
      <c r="G183" s="136"/>
      <c r="H183" s="52"/>
      <c r="I183" s="52"/>
      <c r="J183" s="52"/>
      <c r="K183" s="136"/>
      <c r="L183" s="53"/>
      <c r="M183" s="53"/>
      <c r="N183" s="53"/>
      <c r="O183" s="53"/>
      <c r="P183" s="53"/>
      <c r="Q183" s="53"/>
      <c r="R183" s="53"/>
      <c r="S183" s="136"/>
      <c r="T183" s="136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</row>
    <row r="184" ht="12.75" customHeight="1">
      <c r="A184" s="136"/>
      <c r="B184" s="136"/>
      <c r="C184" s="136"/>
      <c r="D184" s="136"/>
      <c r="E184" s="136"/>
      <c r="F184" s="136"/>
      <c r="G184" s="136"/>
      <c r="H184" s="52"/>
      <c r="I184" s="52"/>
      <c r="J184" s="52"/>
      <c r="K184" s="136"/>
      <c r="L184" s="53"/>
      <c r="M184" s="53"/>
      <c r="N184" s="53"/>
      <c r="O184" s="53"/>
      <c r="P184" s="53"/>
      <c r="Q184" s="53"/>
      <c r="R184" s="53"/>
      <c r="S184" s="136"/>
      <c r="T184" s="136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</row>
    <row r="185" ht="12.75" customHeight="1">
      <c r="A185" s="136"/>
      <c r="B185" s="136"/>
      <c r="C185" s="136"/>
      <c r="D185" s="136"/>
      <c r="E185" s="136"/>
      <c r="F185" s="136"/>
      <c r="G185" s="136"/>
      <c r="H185" s="52"/>
      <c r="I185" s="52"/>
      <c r="J185" s="52"/>
      <c r="K185" s="136"/>
      <c r="L185" s="53"/>
      <c r="M185" s="53"/>
      <c r="N185" s="53"/>
      <c r="O185" s="53"/>
      <c r="P185" s="53"/>
      <c r="Q185" s="53"/>
      <c r="R185" s="53"/>
      <c r="S185" s="136"/>
      <c r="T185" s="136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</row>
    <row r="186" ht="12.75" customHeight="1">
      <c r="A186" s="136"/>
      <c r="B186" s="136"/>
      <c r="C186" s="136"/>
      <c r="D186" s="136"/>
      <c r="E186" s="136"/>
      <c r="F186" s="136"/>
      <c r="G186" s="136"/>
      <c r="H186" s="52"/>
      <c r="I186" s="52"/>
      <c r="J186" s="52"/>
      <c r="K186" s="136"/>
      <c r="L186" s="53"/>
      <c r="M186" s="53"/>
      <c r="N186" s="53"/>
      <c r="O186" s="53"/>
      <c r="P186" s="53"/>
      <c r="Q186" s="53"/>
      <c r="R186" s="53"/>
      <c r="S186" s="136"/>
      <c r="T186" s="136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</row>
    <row r="187" ht="12.75" customHeight="1">
      <c r="A187" s="136"/>
      <c r="B187" s="136"/>
      <c r="C187" s="136"/>
      <c r="D187" s="136"/>
      <c r="E187" s="136"/>
      <c r="F187" s="136"/>
      <c r="G187" s="136"/>
      <c r="H187" s="52"/>
      <c r="I187" s="52"/>
      <c r="J187" s="52"/>
      <c r="K187" s="136"/>
      <c r="L187" s="53"/>
      <c r="M187" s="53"/>
      <c r="N187" s="53"/>
      <c r="O187" s="53"/>
      <c r="P187" s="53"/>
      <c r="Q187" s="53"/>
      <c r="R187" s="53"/>
      <c r="S187" s="136"/>
      <c r="T187" s="136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</row>
    <row r="188" ht="12.75" customHeight="1">
      <c r="A188" s="136"/>
      <c r="B188" s="136"/>
      <c r="C188" s="136"/>
      <c r="D188" s="136"/>
      <c r="E188" s="136"/>
      <c r="F188" s="136"/>
      <c r="G188" s="136"/>
      <c r="H188" s="52"/>
      <c r="I188" s="52"/>
      <c r="J188" s="52"/>
      <c r="K188" s="136"/>
      <c r="L188" s="53"/>
      <c r="M188" s="53"/>
      <c r="N188" s="53"/>
      <c r="O188" s="53"/>
      <c r="P188" s="53"/>
      <c r="Q188" s="53"/>
      <c r="R188" s="53"/>
      <c r="S188" s="136"/>
      <c r="T188" s="136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</row>
    <row r="189" ht="12.75" customHeight="1">
      <c r="A189" s="136"/>
      <c r="B189" s="136"/>
      <c r="C189" s="136"/>
      <c r="D189" s="136"/>
      <c r="E189" s="136"/>
      <c r="F189" s="136"/>
      <c r="G189" s="136"/>
      <c r="H189" s="52"/>
      <c r="I189" s="52"/>
      <c r="J189" s="52"/>
      <c r="K189" s="136"/>
      <c r="L189" s="53"/>
      <c r="M189" s="53"/>
      <c r="N189" s="53"/>
      <c r="O189" s="53"/>
      <c r="P189" s="53"/>
      <c r="Q189" s="53"/>
      <c r="R189" s="53"/>
      <c r="S189" s="136"/>
      <c r="T189" s="136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</row>
    <row r="190" ht="12.75" customHeight="1">
      <c r="A190" s="136"/>
      <c r="B190" s="136"/>
      <c r="C190" s="136"/>
      <c r="D190" s="136"/>
      <c r="E190" s="136"/>
      <c r="F190" s="136"/>
      <c r="G190" s="136"/>
      <c r="H190" s="52"/>
      <c r="I190" s="52"/>
      <c r="J190" s="52"/>
      <c r="K190" s="136"/>
      <c r="L190" s="53"/>
      <c r="M190" s="53"/>
      <c r="N190" s="53"/>
      <c r="O190" s="53"/>
      <c r="P190" s="53"/>
      <c r="Q190" s="53"/>
      <c r="R190" s="53"/>
      <c r="S190" s="136"/>
      <c r="T190" s="136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</row>
    <row r="191" ht="12.75" customHeight="1">
      <c r="A191" s="136"/>
      <c r="B191" s="136"/>
      <c r="C191" s="136"/>
      <c r="D191" s="136"/>
      <c r="E191" s="136"/>
      <c r="F191" s="136"/>
      <c r="G191" s="136"/>
      <c r="H191" s="52"/>
      <c r="I191" s="52"/>
      <c r="J191" s="52"/>
      <c r="K191" s="136"/>
      <c r="L191" s="53"/>
      <c r="M191" s="53"/>
      <c r="N191" s="53"/>
      <c r="O191" s="53"/>
      <c r="P191" s="53"/>
      <c r="Q191" s="53"/>
      <c r="R191" s="53"/>
      <c r="S191" s="136"/>
      <c r="T191" s="136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</row>
    <row r="192" ht="12.75" customHeight="1">
      <c r="A192" s="136"/>
      <c r="B192" s="136"/>
      <c r="C192" s="136"/>
      <c r="D192" s="136"/>
      <c r="E192" s="136"/>
      <c r="F192" s="136"/>
      <c r="G192" s="136"/>
      <c r="H192" s="52"/>
      <c r="I192" s="52"/>
      <c r="J192" s="52"/>
      <c r="K192" s="136"/>
      <c r="L192" s="53"/>
      <c r="M192" s="53"/>
      <c r="N192" s="53"/>
      <c r="O192" s="53"/>
      <c r="P192" s="53"/>
      <c r="Q192" s="53"/>
      <c r="R192" s="53"/>
      <c r="S192" s="136"/>
      <c r="T192" s="136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</row>
    <row r="193" ht="12.75" customHeight="1">
      <c r="A193" s="136"/>
      <c r="B193" s="136"/>
      <c r="C193" s="136"/>
      <c r="D193" s="136"/>
      <c r="E193" s="136"/>
      <c r="F193" s="136"/>
      <c r="G193" s="136"/>
      <c r="H193" s="52"/>
      <c r="I193" s="52"/>
      <c r="J193" s="52"/>
      <c r="K193" s="136"/>
      <c r="L193" s="53"/>
      <c r="M193" s="53"/>
      <c r="N193" s="53"/>
      <c r="O193" s="53"/>
      <c r="P193" s="53"/>
      <c r="Q193" s="53"/>
      <c r="R193" s="53"/>
      <c r="S193" s="136"/>
      <c r="T193" s="136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</row>
    <row r="194" ht="12.75" customHeight="1">
      <c r="A194" s="136"/>
      <c r="B194" s="136"/>
      <c r="C194" s="136"/>
      <c r="D194" s="136"/>
      <c r="E194" s="136"/>
      <c r="F194" s="136"/>
      <c r="G194" s="136"/>
      <c r="H194" s="52"/>
      <c r="I194" s="52"/>
      <c r="J194" s="52"/>
      <c r="K194" s="136"/>
      <c r="L194" s="53"/>
      <c r="M194" s="53"/>
      <c r="N194" s="53"/>
      <c r="O194" s="53"/>
      <c r="P194" s="53"/>
      <c r="Q194" s="53"/>
      <c r="R194" s="53"/>
      <c r="S194" s="136"/>
      <c r="T194" s="136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</row>
    <row r="195" ht="12.75" customHeight="1">
      <c r="A195" s="136"/>
      <c r="B195" s="136"/>
      <c r="C195" s="136"/>
      <c r="D195" s="136"/>
      <c r="E195" s="136"/>
      <c r="F195" s="136"/>
      <c r="G195" s="136"/>
      <c r="H195" s="52"/>
      <c r="I195" s="52"/>
      <c r="J195" s="52"/>
      <c r="K195" s="136"/>
      <c r="L195" s="53"/>
      <c r="M195" s="53"/>
      <c r="N195" s="53"/>
      <c r="O195" s="53"/>
      <c r="P195" s="53"/>
      <c r="Q195" s="53"/>
      <c r="R195" s="53"/>
      <c r="S195" s="136"/>
      <c r="T195" s="136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</row>
    <row r="196" ht="12.75" customHeight="1">
      <c r="A196" s="136"/>
      <c r="B196" s="136"/>
      <c r="C196" s="136"/>
      <c r="D196" s="136"/>
      <c r="E196" s="136"/>
      <c r="F196" s="136"/>
      <c r="G196" s="136"/>
      <c r="H196" s="52"/>
      <c r="I196" s="52"/>
      <c r="J196" s="52"/>
      <c r="K196" s="136"/>
      <c r="L196" s="53"/>
      <c r="M196" s="53"/>
      <c r="N196" s="53"/>
      <c r="O196" s="53"/>
      <c r="P196" s="53"/>
      <c r="Q196" s="53"/>
      <c r="R196" s="53"/>
      <c r="S196" s="136"/>
      <c r="T196" s="136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</row>
    <row r="197" ht="12.75" customHeight="1">
      <c r="A197" s="136"/>
      <c r="B197" s="136"/>
      <c r="C197" s="136"/>
      <c r="D197" s="136"/>
      <c r="E197" s="136"/>
      <c r="F197" s="136"/>
      <c r="G197" s="136"/>
      <c r="H197" s="52"/>
      <c r="I197" s="52"/>
      <c r="J197" s="52"/>
      <c r="K197" s="136"/>
      <c r="L197" s="53"/>
      <c r="M197" s="53"/>
      <c r="N197" s="53"/>
      <c r="O197" s="53"/>
      <c r="P197" s="53"/>
      <c r="Q197" s="53"/>
      <c r="R197" s="53"/>
      <c r="S197" s="136"/>
      <c r="T197" s="136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</row>
    <row r="198" ht="12.75" customHeight="1">
      <c r="A198" s="136"/>
      <c r="B198" s="136"/>
      <c r="C198" s="136"/>
      <c r="D198" s="136"/>
      <c r="E198" s="136"/>
      <c r="F198" s="136"/>
      <c r="G198" s="136"/>
      <c r="H198" s="52"/>
      <c r="I198" s="52"/>
      <c r="J198" s="52"/>
      <c r="K198" s="136"/>
      <c r="L198" s="53"/>
      <c r="M198" s="53"/>
      <c r="N198" s="53"/>
      <c r="O198" s="53"/>
      <c r="P198" s="53"/>
      <c r="Q198" s="53"/>
      <c r="R198" s="53"/>
      <c r="S198" s="136"/>
      <c r="T198" s="136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</row>
    <row r="199" ht="12.75" customHeight="1">
      <c r="A199" s="136"/>
      <c r="B199" s="136"/>
      <c r="C199" s="136"/>
      <c r="D199" s="136"/>
      <c r="E199" s="136"/>
      <c r="F199" s="136"/>
      <c r="G199" s="136"/>
      <c r="H199" s="52"/>
      <c r="I199" s="52"/>
      <c r="J199" s="52"/>
      <c r="K199" s="136"/>
      <c r="L199" s="53"/>
      <c r="M199" s="53"/>
      <c r="N199" s="53"/>
      <c r="O199" s="53"/>
      <c r="P199" s="53"/>
      <c r="Q199" s="53"/>
      <c r="R199" s="53"/>
      <c r="S199" s="136"/>
      <c r="T199" s="136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</row>
    <row r="200" ht="12.75" customHeight="1">
      <c r="A200" s="136"/>
      <c r="B200" s="136"/>
      <c r="C200" s="136"/>
      <c r="D200" s="136"/>
      <c r="E200" s="136"/>
      <c r="F200" s="136"/>
      <c r="G200" s="136"/>
      <c r="H200" s="52"/>
      <c r="I200" s="52"/>
      <c r="J200" s="52"/>
      <c r="K200" s="136"/>
      <c r="L200" s="53"/>
      <c r="M200" s="53"/>
      <c r="N200" s="53"/>
      <c r="O200" s="53"/>
      <c r="P200" s="53"/>
      <c r="Q200" s="53"/>
      <c r="R200" s="53"/>
      <c r="S200" s="136"/>
      <c r="T200" s="136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</row>
    <row r="201" ht="12.75" customHeight="1">
      <c r="A201" s="136"/>
      <c r="B201" s="136"/>
      <c r="C201" s="136"/>
      <c r="D201" s="136"/>
      <c r="E201" s="136"/>
      <c r="F201" s="136"/>
      <c r="G201" s="136"/>
      <c r="H201" s="52"/>
      <c r="I201" s="52"/>
      <c r="J201" s="52"/>
      <c r="K201" s="136"/>
      <c r="L201" s="53"/>
      <c r="M201" s="53"/>
      <c r="N201" s="53"/>
      <c r="O201" s="53"/>
      <c r="P201" s="53"/>
      <c r="Q201" s="53"/>
      <c r="R201" s="53"/>
      <c r="S201" s="136"/>
      <c r="T201" s="136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</row>
    <row r="202" ht="12.75" customHeight="1">
      <c r="A202" s="136"/>
      <c r="B202" s="136"/>
      <c r="C202" s="136"/>
      <c r="D202" s="136"/>
      <c r="E202" s="136"/>
      <c r="F202" s="136"/>
      <c r="G202" s="136"/>
      <c r="H202" s="52"/>
      <c r="I202" s="52"/>
      <c r="J202" s="52"/>
      <c r="K202" s="136"/>
      <c r="L202" s="53"/>
      <c r="M202" s="53"/>
      <c r="N202" s="53"/>
      <c r="O202" s="53"/>
      <c r="P202" s="53"/>
      <c r="Q202" s="53"/>
      <c r="R202" s="53"/>
      <c r="S202" s="136"/>
      <c r="T202" s="136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</row>
    <row r="203" ht="12.75" customHeight="1">
      <c r="A203" s="136"/>
      <c r="B203" s="136"/>
      <c r="C203" s="136"/>
      <c r="D203" s="136"/>
      <c r="E203" s="136"/>
      <c r="F203" s="136"/>
      <c r="G203" s="136"/>
      <c r="H203" s="52"/>
      <c r="I203" s="52"/>
      <c r="J203" s="52"/>
      <c r="K203" s="136"/>
      <c r="L203" s="53"/>
      <c r="M203" s="53"/>
      <c r="N203" s="53"/>
      <c r="O203" s="53"/>
      <c r="P203" s="53"/>
      <c r="Q203" s="53"/>
      <c r="R203" s="53"/>
      <c r="S203" s="136"/>
      <c r="T203" s="136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</row>
    <row r="204" ht="12.75" customHeight="1">
      <c r="A204" s="136"/>
      <c r="B204" s="136"/>
      <c r="C204" s="136"/>
      <c r="D204" s="136"/>
      <c r="E204" s="136"/>
      <c r="F204" s="136"/>
      <c r="G204" s="136"/>
      <c r="H204" s="52"/>
      <c r="I204" s="52"/>
      <c r="J204" s="52"/>
      <c r="K204" s="136"/>
      <c r="L204" s="53"/>
      <c r="M204" s="53"/>
      <c r="N204" s="53"/>
      <c r="O204" s="53"/>
      <c r="P204" s="53"/>
      <c r="Q204" s="53"/>
      <c r="R204" s="53"/>
      <c r="S204" s="136"/>
      <c r="T204" s="136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</row>
    <row r="205" ht="12.75" customHeight="1">
      <c r="A205" s="136"/>
      <c r="B205" s="136"/>
      <c r="C205" s="136"/>
      <c r="D205" s="136"/>
      <c r="E205" s="136"/>
      <c r="F205" s="136"/>
      <c r="G205" s="136"/>
      <c r="H205" s="52"/>
      <c r="I205" s="52"/>
      <c r="J205" s="52"/>
      <c r="K205" s="136"/>
      <c r="L205" s="53"/>
      <c r="M205" s="53"/>
      <c r="N205" s="53"/>
      <c r="O205" s="53"/>
      <c r="P205" s="53"/>
      <c r="Q205" s="53"/>
      <c r="R205" s="53"/>
      <c r="S205" s="136"/>
      <c r="T205" s="136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</row>
    <row r="206" ht="12.75" customHeight="1">
      <c r="A206" s="136"/>
      <c r="B206" s="136"/>
      <c r="C206" s="136"/>
      <c r="D206" s="136"/>
      <c r="E206" s="136"/>
      <c r="F206" s="136"/>
      <c r="G206" s="136"/>
      <c r="H206" s="52"/>
      <c r="I206" s="52"/>
      <c r="J206" s="52"/>
      <c r="K206" s="136"/>
      <c r="L206" s="53"/>
      <c r="M206" s="53"/>
      <c r="N206" s="53"/>
      <c r="O206" s="53"/>
      <c r="P206" s="53"/>
      <c r="Q206" s="53"/>
      <c r="R206" s="53"/>
      <c r="S206" s="136"/>
      <c r="T206" s="136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</row>
    <row r="207" ht="12.75" customHeight="1">
      <c r="A207" s="136"/>
      <c r="B207" s="136"/>
      <c r="C207" s="136"/>
      <c r="D207" s="136"/>
      <c r="E207" s="136"/>
      <c r="F207" s="136"/>
      <c r="G207" s="136"/>
      <c r="H207" s="52"/>
      <c r="I207" s="52"/>
      <c r="J207" s="52"/>
      <c r="K207" s="136"/>
      <c r="L207" s="53"/>
      <c r="M207" s="53"/>
      <c r="N207" s="53"/>
      <c r="O207" s="53"/>
      <c r="P207" s="53"/>
      <c r="Q207" s="53"/>
      <c r="R207" s="53"/>
      <c r="S207" s="136"/>
      <c r="T207" s="136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</row>
    <row r="208" ht="12.75" customHeight="1">
      <c r="A208" s="136"/>
      <c r="B208" s="136"/>
      <c r="C208" s="136"/>
      <c r="D208" s="136"/>
      <c r="E208" s="136"/>
      <c r="F208" s="136"/>
      <c r="G208" s="136"/>
      <c r="H208" s="52"/>
      <c r="I208" s="52"/>
      <c r="J208" s="52"/>
      <c r="K208" s="136"/>
      <c r="L208" s="53"/>
      <c r="M208" s="53"/>
      <c r="N208" s="53"/>
      <c r="O208" s="53"/>
      <c r="P208" s="53"/>
      <c r="Q208" s="53"/>
      <c r="R208" s="53"/>
      <c r="S208" s="136"/>
      <c r="T208" s="136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</row>
    <row r="209" ht="12.75" customHeight="1">
      <c r="A209" s="136"/>
      <c r="B209" s="136"/>
      <c r="C209" s="136"/>
      <c r="D209" s="136"/>
      <c r="E209" s="136"/>
      <c r="F209" s="136"/>
      <c r="G209" s="136"/>
      <c r="H209" s="52"/>
      <c r="I209" s="52"/>
      <c r="J209" s="52"/>
      <c r="K209" s="136"/>
      <c r="L209" s="53"/>
      <c r="M209" s="53"/>
      <c r="N209" s="53"/>
      <c r="O209" s="53"/>
      <c r="P209" s="53"/>
      <c r="Q209" s="53"/>
      <c r="R209" s="53"/>
      <c r="S209" s="136"/>
      <c r="T209" s="136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</row>
    <row r="210" ht="12.75" customHeight="1">
      <c r="A210" s="136"/>
      <c r="B210" s="136"/>
      <c r="C210" s="136"/>
      <c r="D210" s="136"/>
      <c r="E210" s="136"/>
      <c r="F210" s="136"/>
      <c r="G210" s="136"/>
      <c r="H210" s="52"/>
      <c r="I210" s="52"/>
      <c r="J210" s="52"/>
      <c r="K210" s="136"/>
      <c r="L210" s="53"/>
      <c r="M210" s="53"/>
      <c r="N210" s="53"/>
      <c r="O210" s="53"/>
      <c r="P210" s="53"/>
      <c r="Q210" s="53"/>
      <c r="R210" s="53"/>
      <c r="S210" s="136"/>
      <c r="T210" s="136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</row>
    <row r="211" ht="12.75" customHeight="1">
      <c r="A211" s="136"/>
      <c r="B211" s="136"/>
      <c r="C211" s="136"/>
      <c r="D211" s="136"/>
      <c r="E211" s="136"/>
      <c r="F211" s="136"/>
      <c r="G211" s="136"/>
      <c r="H211" s="52"/>
      <c r="I211" s="52"/>
      <c r="J211" s="52"/>
      <c r="K211" s="136"/>
      <c r="L211" s="53"/>
      <c r="M211" s="53"/>
      <c r="N211" s="53"/>
      <c r="O211" s="53"/>
      <c r="P211" s="53"/>
      <c r="Q211" s="53"/>
      <c r="R211" s="53"/>
      <c r="S211" s="136"/>
      <c r="T211" s="136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</row>
    <row r="212" ht="12.75" customHeight="1">
      <c r="A212" s="136"/>
      <c r="B212" s="136"/>
      <c r="C212" s="136"/>
      <c r="D212" s="136"/>
      <c r="E212" s="136"/>
      <c r="F212" s="136"/>
      <c r="G212" s="136"/>
      <c r="H212" s="52"/>
      <c r="I212" s="52"/>
      <c r="J212" s="52"/>
      <c r="K212" s="136"/>
      <c r="L212" s="53"/>
      <c r="M212" s="53"/>
      <c r="N212" s="53"/>
      <c r="O212" s="53"/>
      <c r="P212" s="53"/>
      <c r="Q212" s="53"/>
      <c r="R212" s="53"/>
      <c r="S212" s="136"/>
      <c r="T212" s="136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</row>
    <row r="213" ht="12.75" customHeight="1">
      <c r="A213" s="136"/>
      <c r="B213" s="136"/>
      <c r="C213" s="136"/>
      <c r="D213" s="136"/>
      <c r="E213" s="136"/>
      <c r="F213" s="136"/>
      <c r="G213" s="136"/>
      <c r="H213" s="52"/>
      <c r="I213" s="52"/>
      <c r="J213" s="52"/>
      <c r="K213" s="136"/>
      <c r="L213" s="53"/>
      <c r="M213" s="53"/>
      <c r="N213" s="53"/>
      <c r="O213" s="53"/>
      <c r="P213" s="53"/>
      <c r="Q213" s="53"/>
      <c r="R213" s="53"/>
      <c r="S213" s="136"/>
      <c r="T213" s="136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</row>
    <row r="214" ht="12.75" customHeight="1">
      <c r="A214" s="136"/>
      <c r="B214" s="136"/>
      <c r="C214" s="136"/>
      <c r="D214" s="136"/>
      <c r="E214" s="136"/>
      <c r="F214" s="136"/>
      <c r="G214" s="136"/>
      <c r="H214" s="52"/>
      <c r="I214" s="52"/>
      <c r="J214" s="52"/>
      <c r="K214" s="136"/>
      <c r="L214" s="53"/>
      <c r="M214" s="53"/>
      <c r="N214" s="53"/>
      <c r="O214" s="53"/>
      <c r="P214" s="53"/>
      <c r="Q214" s="53"/>
      <c r="R214" s="53"/>
      <c r="S214" s="136"/>
      <c r="T214" s="136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</row>
    <row r="215" ht="12.75" customHeight="1">
      <c r="A215" s="136"/>
      <c r="B215" s="136"/>
      <c r="C215" s="136"/>
      <c r="D215" s="136"/>
      <c r="E215" s="136"/>
      <c r="F215" s="136"/>
      <c r="G215" s="136"/>
      <c r="H215" s="52"/>
      <c r="I215" s="52"/>
      <c r="J215" s="52"/>
      <c r="K215" s="136"/>
      <c r="L215" s="53"/>
      <c r="M215" s="53"/>
      <c r="N215" s="53"/>
      <c r="O215" s="53"/>
      <c r="P215" s="53"/>
      <c r="Q215" s="53"/>
      <c r="R215" s="53"/>
      <c r="S215" s="136"/>
      <c r="T215" s="136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</row>
    <row r="216" ht="12.75" customHeight="1">
      <c r="A216" s="136"/>
      <c r="B216" s="136"/>
      <c r="C216" s="136"/>
      <c r="D216" s="136"/>
      <c r="E216" s="136"/>
      <c r="F216" s="136"/>
      <c r="G216" s="136"/>
      <c r="H216" s="52"/>
      <c r="I216" s="52"/>
      <c r="J216" s="52"/>
      <c r="K216" s="136"/>
      <c r="L216" s="53"/>
      <c r="M216" s="53"/>
      <c r="N216" s="53"/>
      <c r="O216" s="53"/>
      <c r="P216" s="53"/>
      <c r="Q216" s="53"/>
      <c r="R216" s="53"/>
      <c r="S216" s="136"/>
      <c r="T216" s="136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</row>
    <row r="217" ht="12.75" customHeight="1">
      <c r="A217" s="136"/>
      <c r="B217" s="136"/>
      <c r="C217" s="136"/>
      <c r="D217" s="136"/>
      <c r="E217" s="136"/>
      <c r="F217" s="136"/>
      <c r="G217" s="136"/>
      <c r="H217" s="52"/>
      <c r="I217" s="52"/>
      <c r="J217" s="52"/>
      <c r="K217" s="136"/>
      <c r="L217" s="53"/>
      <c r="M217" s="53"/>
      <c r="N217" s="53"/>
      <c r="O217" s="53"/>
      <c r="P217" s="53"/>
      <c r="Q217" s="53"/>
      <c r="R217" s="53"/>
      <c r="S217" s="136"/>
      <c r="T217" s="136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</row>
    <row r="218" ht="12.75" customHeight="1">
      <c r="A218" s="136"/>
      <c r="B218" s="136"/>
      <c r="C218" s="136"/>
      <c r="D218" s="136"/>
      <c r="E218" s="136"/>
      <c r="F218" s="136"/>
      <c r="G218" s="136"/>
      <c r="H218" s="52"/>
      <c r="I218" s="52"/>
      <c r="J218" s="52"/>
      <c r="K218" s="136"/>
      <c r="L218" s="53"/>
      <c r="M218" s="53"/>
      <c r="N218" s="53"/>
      <c r="O218" s="53"/>
      <c r="P218" s="53"/>
      <c r="Q218" s="53"/>
      <c r="R218" s="53"/>
      <c r="S218" s="136"/>
      <c r="T218" s="136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</row>
    <row r="219" ht="12.75" customHeight="1">
      <c r="A219" s="136"/>
      <c r="B219" s="136"/>
      <c r="C219" s="136"/>
      <c r="D219" s="136"/>
      <c r="E219" s="136"/>
      <c r="F219" s="136"/>
      <c r="G219" s="136"/>
      <c r="H219" s="52"/>
      <c r="I219" s="52"/>
      <c r="J219" s="52"/>
      <c r="K219" s="136"/>
      <c r="L219" s="53"/>
      <c r="M219" s="53"/>
      <c r="N219" s="53"/>
      <c r="O219" s="53"/>
      <c r="P219" s="53"/>
      <c r="Q219" s="53"/>
      <c r="R219" s="53"/>
      <c r="S219" s="136"/>
      <c r="T219" s="136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</row>
    <row r="220" ht="12.75" customHeight="1">
      <c r="A220" s="136"/>
      <c r="B220" s="136"/>
      <c r="C220" s="136"/>
      <c r="D220" s="136"/>
      <c r="E220" s="136"/>
      <c r="F220" s="136"/>
      <c r="G220" s="136"/>
      <c r="H220" s="52"/>
      <c r="I220" s="52"/>
      <c r="J220" s="52"/>
      <c r="K220" s="136"/>
      <c r="L220" s="53"/>
      <c r="M220" s="53"/>
      <c r="N220" s="53"/>
      <c r="O220" s="53"/>
      <c r="P220" s="53"/>
      <c r="Q220" s="53"/>
      <c r="R220" s="53"/>
      <c r="S220" s="136"/>
      <c r="T220" s="136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</row>
    <row r="221" ht="12.75" customHeight="1">
      <c r="A221" s="136"/>
      <c r="B221" s="136"/>
      <c r="C221" s="136"/>
      <c r="D221" s="136"/>
      <c r="E221" s="136"/>
      <c r="F221" s="136"/>
      <c r="G221" s="136"/>
      <c r="H221" s="52"/>
      <c r="I221" s="52"/>
      <c r="J221" s="52"/>
      <c r="K221" s="136"/>
      <c r="L221" s="53"/>
      <c r="M221" s="53"/>
      <c r="N221" s="53"/>
      <c r="O221" s="53"/>
      <c r="P221" s="53"/>
      <c r="Q221" s="53"/>
      <c r="R221" s="53"/>
      <c r="S221" s="136"/>
      <c r="T221" s="136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</row>
    <row r="222" ht="12.75" customHeight="1">
      <c r="A222" s="136"/>
      <c r="B222" s="136"/>
      <c r="C222" s="136"/>
      <c r="D222" s="136"/>
      <c r="E222" s="136"/>
      <c r="F222" s="136"/>
      <c r="G222" s="136"/>
      <c r="H222" s="52"/>
      <c r="I222" s="52"/>
      <c r="J222" s="52"/>
      <c r="K222" s="136"/>
      <c r="L222" s="53"/>
      <c r="M222" s="53"/>
      <c r="N222" s="53"/>
      <c r="O222" s="53"/>
      <c r="P222" s="53"/>
      <c r="Q222" s="53"/>
      <c r="R222" s="53"/>
      <c r="S222" s="136"/>
      <c r="T222" s="136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</row>
    <row r="223" ht="12.75" customHeight="1">
      <c r="A223" s="136"/>
      <c r="B223" s="136"/>
      <c r="C223" s="136"/>
      <c r="D223" s="136"/>
      <c r="E223" s="136"/>
      <c r="F223" s="136"/>
      <c r="G223" s="136"/>
      <c r="H223" s="52"/>
      <c r="I223" s="52"/>
      <c r="J223" s="52"/>
      <c r="K223" s="136"/>
      <c r="L223" s="53"/>
      <c r="M223" s="53"/>
      <c r="N223" s="53"/>
      <c r="O223" s="53"/>
      <c r="P223" s="53"/>
      <c r="Q223" s="53"/>
      <c r="R223" s="53"/>
      <c r="S223" s="136"/>
      <c r="T223" s="136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</row>
    <row r="224" ht="12.75" customHeight="1">
      <c r="A224" s="136"/>
      <c r="B224" s="136"/>
      <c r="C224" s="136"/>
      <c r="D224" s="136"/>
      <c r="E224" s="136"/>
      <c r="F224" s="136"/>
      <c r="G224" s="136"/>
      <c r="H224" s="52"/>
      <c r="I224" s="52"/>
      <c r="J224" s="52"/>
      <c r="K224" s="136"/>
      <c r="L224" s="53"/>
      <c r="M224" s="53"/>
      <c r="N224" s="53"/>
      <c r="O224" s="53"/>
      <c r="P224" s="53"/>
      <c r="Q224" s="53"/>
      <c r="R224" s="53"/>
      <c r="S224" s="136"/>
      <c r="T224" s="136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</row>
    <row r="225" ht="12.75" customHeight="1">
      <c r="A225" s="136"/>
      <c r="B225" s="136"/>
      <c r="C225" s="136"/>
      <c r="D225" s="136"/>
      <c r="E225" s="136"/>
      <c r="F225" s="136"/>
      <c r="G225" s="136"/>
      <c r="H225" s="52"/>
      <c r="I225" s="52"/>
      <c r="J225" s="52"/>
      <c r="K225" s="136"/>
      <c r="L225" s="53"/>
      <c r="M225" s="53"/>
      <c r="N225" s="53"/>
      <c r="O225" s="53"/>
      <c r="P225" s="53"/>
      <c r="Q225" s="53"/>
      <c r="R225" s="53"/>
      <c r="S225" s="136"/>
      <c r="T225" s="136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</row>
    <row r="226" ht="12.75" customHeight="1">
      <c r="A226" s="136"/>
      <c r="B226" s="136"/>
      <c r="C226" s="136"/>
      <c r="D226" s="136"/>
      <c r="E226" s="136"/>
      <c r="F226" s="136"/>
      <c r="G226" s="136"/>
      <c r="H226" s="52"/>
      <c r="I226" s="52"/>
      <c r="J226" s="52"/>
      <c r="K226" s="136"/>
      <c r="L226" s="53"/>
      <c r="M226" s="53"/>
      <c r="N226" s="53"/>
      <c r="O226" s="53"/>
      <c r="P226" s="53"/>
      <c r="Q226" s="53"/>
      <c r="R226" s="53"/>
      <c r="S226" s="136"/>
      <c r="T226" s="136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</row>
    <row r="227" ht="12.75" customHeight="1">
      <c r="A227" s="136"/>
      <c r="B227" s="136"/>
      <c r="C227" s="136"/>
      <c r="D227" s="136"/>
      <c r="E227" s="136"/>
      <c r="F227" s="136"/>
      <c r="G227" s="136"/>
      <c r="H227" s="52"/>
      <c r="I227" s="52"/>
      <c r="J227" s="52"/>
      <c r="K227" s="136"/>
      <c r="L227" s="53"/>
      <c r="M227" s="53"/>
      <c r="N227" s="53"/>
      <c r="O227" s="53"/>
      <c r="P227" s="53"/>
      <c r="Q227" s="53"/>
      <c r="R227" s="53"/>
      <c r="S227" s="136"/>
      <c r="T227" s="136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</row>
    <row r="228" ht="12.75" customHeight="1">
      <c r="A228" s="136"/>
      <c r="B228" s="136"/>
      <c r="C228" s="136"/>
      <c r="D228" s="136"/>
      <c r="E228" s="136"/>
      <c r="F228" s="136"/>
      <c r="G228" s="136"/>
      <c r="H228" s="52"/>
      <c r="I228" s="52"/>
      <c r="J228" s="52"/>
      <c r="K228" s="136"/>
      <c r="L228" s="53"/>
      <c r="M228" s="53"/>
      <c r="N228" s="53"/>
      <c r="O228" s="53"/>
      <c r="P228" s="53"/>
      <c r="Q228" s="53"/>
      <c r="R228" s="53"/>
      <c r="S228" s="136"/>
      <c r="T228" s="136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</row>
    <row r="229" ht="12.75" customHeight="1">
      <c r="A229" s="136"/>
      <c r="B229" s="136"/>
      <c r="C229" s="136"/>
      <c r="D229" s="136"/>
      <c r="E229" s="136"/>
      <c r="F229" s="136"/>
      <c r="G229" s="136"/>
      <c r="H229" s="52"/>
      <c r="I229" s="52"/>
      <c r="J229" s="52"/>
      <c r="K229" s="136"/>
      <c r="L229" s="53"/>
      <c r="M229" s="53"/>
      <c r="N229" s="53"/>
      <c r="O229" s="53"/>
      <c r="P229" s="53"/>
      <c r="Q229" s="53"/>
      <c r="R229" s="53"/>
      <c r="S229" s="136"/>
      <c r="T229" s="136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</row>
    <row r="230" ht="12.75" customHeight="1">
      <c r="A230" s="136"/>
      <c r="B230" s="136"/>
      <c r="C230" s="136"/>
      <c r="D230" s="136"/>
      <c r="E230" s="136"/>
      <c r="F230" s="136"/>
      <c r="G230" s="136"/>
      <c r="H230" s="52"/>
      <c r="I230" s="52"/>
      <c r="J230" s="52"/>
      <c r="K230" s="136"/>
      <c r="L230" s="53"/>
      <c r="M230" s="53"/>
      <c r="N230" s="53"/>
      <c r="O230" s="53"/>
      <c r="P230" s="53"/>
      <c r="Q230" s="53"/>
      <c r="R230" s="53"/>
      <c r="S230" s="136"/>
      <c r="T230" s="136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</row>
    <row r="231" ht="12.75" customHeight="1">
      <c r="A231" s="136"/>
      <c r="B231" s="136"/>
      <c r="C231" s="136"/>
      <c r="D231" s="136"/>
      <c r="E231" s="136"/>
      <c r="F231" s="136"/>
      <c r="G231" s="136"/>
      <c r="H231" s="52"/>
      <c r="I231" s="52"/>
      <c r="J231" s="52"/>
      <c r="K231" s="136"/>
      <c r="L231" s="53"/>
      <c r="M231" s="53"/>
      <c r="N231" s="53"/>
      <c r="O231" s="53"/>
      <c r="P231" s="53"/>
      <c r="Q231" s="53"/>
      <c r="R231" s="53"/>
      <c r="S231" s="136"/>
      <c r="T231" s="136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</row>
    <row r="232" ht="12.75" customHeight="1">
      <c r="A232" s="136"/>
      <c r="B232" s="136"/>
      <c r="C232" s="136"/>
      <c r="D232" s="136"/>
      <c r="E232" s="136"/>
      <c r="F232" s="136"/>
      <c r="G232" s="136"/>
      <c r="H232" s="52"/>
      <c r="I232" s="52"/>
      <c r="J232" s="52"/>
      <c r="K232" s="136"/>
      <c r="L232" s="53"/>
      <c r="M232" s="53"/>
      <c r="N232" s="53"/>
      <c r="O232" s="53"/>
      <c r="P232" s="53"/>
      <c r="Q232" s="53"/>
      <c r="R232" s="53"/>
      <c r="S232" s="136"/>
      <c r="T232" s="136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</row>
    <row r="233" ht="12.75" customHeight="1">
      <c r="A233" s="136"/>
      <c r="B233" s="136"/>
      <c r="C233" s="136"/>
      <c r="D233" s="136"/>
      <c r="E233" s="136"/>
      <c r="F233" s="136"/>
      <c r="G233" s="136"/>
      <c r="H233" s="52"/>
      <c r="I233" s="52"/>
      <c r="J233" s="52"/>
      <c r="K233" s="136"/>
      <c r="L233" s="53"/>
      <c r="M233" s="53"/>
      <c r="N233" s="53"/>
      <c r="O233" s="53"/>
      <c r="P233" s="53"/>
      <c r="Q233" s="53"/>
      <c r="R233" s="53"/>
      <c r="S233" s="136"/>
      <c r="T233" s="136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</row>
    <row r="234" ht="12.75" customHeight="1">
      <c r="A234" s="136"/>
      <c r="B234" s="136"/>
      <c r="C234" s="136"/>
      <c r="D234" s="136"/>
      <c r="E234" s="136"/>
      <c r="F234" s="136"/>
      <c r="G234" s="136"/>
      <c r="H234" s="52"/>
      <c r="I234" s="52"/>
      <c r="J234" s="52"/>
      <c r="K234" s="136"/>
      <c r="L234" s="53"/>
      <c r="M234" s="53"/>
      <c r="N234" s="53"/>
      <c r="O234" s="53"/>
      <c r="P234" s="53"/>
      <c r="Q234" s="53"/>
      <c r="R234" s="53"/>
      <c r="S234" s="136"/>
      <c r="T234" s="136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</row>
    <row r="235" ht="12.75" customHeight="1">
      <c r="A235" s="136"/>
      <c r="B235" s="136"/>
      <c r="C235" s="136"/>
      <c r="D235" s="136"/>
      <c r="E235" s="136"/>
      <c r="F235" s="136"/>
      <c r="G235" s="136"/>
      <c r="H235" s="52"/>
      <c r="I235" s="52"/>
      <c r="J235" s="52"/>
      <c r="K235" s="136"/>
      <c r="L235" s="53"/>
      <c r="M235" s="53"/>
      <c r="N235" s="53"/>
      <c r="O235" s="53"/>
      <c r="P235" s="53"/>
      <c r="Q235" s="53"/>
      <c r="R235" s="53"/>
      <c r="S235" s="136"/>
      <c r="T235" s="136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</row>
    <row r="236" ht="12.75" customHeight="1">
      <c r="A236" s="136"/>
      <c r="B236" s="136"/>
      <c r="C236" s="136"/>
      <c r="D236" s="136"/>
      <c r="E236" s="136"/>
      <c r="F236" s="136"/>
      <c r="G236" s="136"/>
      <c r="H236" s="52"/>
      <c r="I236" s="52"/>
      <c r="J236" s="52"/>
      <c r="K236" s="136"/>
      <c r="L236" s="53"/>
      <c r="M236" s="53"/>
      <c r="N236" s="53"/>
      <c r="O236" s="53"/>
      <c r="P236" s="53"/>
      <c r="Q236" s="53"/>
      <c r="R236" s="53"/>
      <c r="S236" s="136"/>
      <c r="T236" s="136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</row>
    <row r="237" ht="12.75" customHeight="1">
      <c r="A237" s="136"/>
      <c r="B237" s="136"/>
      <c r="C237" s="136"/>
      <c r="D237" s="136"/>
      <c r="E237" s="136"/>
      <c r="F237" s="136"/>
      <c r="G237" s="136"/>
      <c r="H237" s="52"/>
      <c r="I237" s="52"/>
      <c r="J237" s="52"/>
      <c r="K237" s="136"/>
      <c r="L237" s="53"/>
      <c r="M237" s="53"/>
      <c r="N237" s="53"/>
      <c r="O237" s="53"/>
      <c r="P237" s="53"/>
      <c r="Q237" s="53"/>
      <c r="R237" s="53"/>
      <c r="S237" s="136"/>
      <c r="T237" s="136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</row>
    <row r="238" ht="12.75" customHeight="1">
      <c r="A238" s="136"/>
      <c r="B238" s="136"/>
      <c r="C238" s="136"/>
      <c r="D238" s="136"/>
      <c r="E238" s="136"/>
      <c r="F238" s="136"/>
      <c r="G238" s="136"/>
      <c r="H238" s="52"/>
      <c r="I238" s="52"/>
      <c r="J238" s="52"/>
      <c r="K238" s="136"/>
      <c r="L238" s="53"/>
      <c r="M238" s="53"/>
      <c r="N238" s="53"/>
      <c r="O238" s="53"/>
      <c r="P238" s="53"/>
      <c r="Q238" s="53"/>
      <c r="R238" s="53"/>
      <c r="S238" s="136"/>
      <c r="T238" s="136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</row>
    <row r="239" ht="12.75" customHeight="1">
      <c r="A239" s="136"/>
      <c r="B239" s="136"/>
      <c r="C239" s="136"/>
      <c r="D239" s="136"/>
      <c r="E239" s="136"/>
      <c r="F239" s="136"/>
      <c r="G239" s="136"/>
      <c r="H239" s="52"/>
      <c r="I239" s="52"/>
      <c r="J239" s="52"/>
      <c r="K239" s="136"/>
      <c r="L239" s="53"/>
      <c r="M239" s="53"/>
      <c r="N239" s="53"/>
      <c r="O239" s="53"/>
      <c r="P239" s="53"/>
      <c r="Q239" s="53"/>
      <c r="R239" s="53"/>
      <c r="S239" s="136"/>
      <c r="T239" s="136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</row>
    <row r="240" ht="12.75" customHeight="1">
      <c r="A240" s="136"/>
      <c r="B240" s="136"/>
      <c r="C240" s="136"/>
      <c r="D240" s="136"/>
      <c r="E240" s="136"/>
      <c r="F240" s="136"/>
      <c r="G240" s="136"/>
      <c r="H240" s="52"/>
      <c r="I240" s="52"/>
      <c r="J240" s="52"/>
      <c r="K240" s="136"/>
      <c r="L240" s="53"/>
      <c r="M240" s="53"/>
      <c r="N240" s="53"/>
      <c r="O240" s="53"/>
      <c r="P240" s="53"/>
      <c r="Q240" s="53"/>
      <c r="R240" s="53"/>
      <c r="S240" s="136"/>
      <c r="T240" s="136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</row>
    <row r="241" ht="12.75" customHeight="1">
      <c r="A241" s="136"/>
      <c r="B241" s="136"/>
      <c r="C241" s="136"/>
      <c r="D241" s="136"/>
      <c r="E241" s="136"/>
      <c r="F241" s="136"/>
      <c r="G241" s="136"/>
      <c r="H241" s="52"/>
      <c r="I241" s="52"/>
      <c r="J241" s="52"/>
      <c r="K241" s="136"/>
      <c r="L241" s="53"/>
      <c r="M241" s="53"/>
      <c r="N241" s="53"/>
      <c r="O241" s="53"/>
      <c r="P241" s="53"/>
      <c r="Q241" s="53"/>
      <c r="R241" s="53"/>
      <c r="S241" s="136"/>
      <c r="T241" s="136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</row>
    <row r="242" ht="12.75" customHeight="1">
      <c r="A242" s="136"/>
      <c r="B242" s="136"/>
      <c r="C242" s="136"/>
      <c r="D242" s="136"/>
      <c r="E242" s="136"/>
      <c r="F242" s="136"/>
      <c r="G242" s="136"/>
      <c r="H242" s="52"/>
      <c r="I242" s="52"/>
      <c r="J242" s="52"/>
      <c r="K242" s="136"/>
      <c r="L242" s="53"/>
      <c r="M242" s="53"/>
      <c r="N242" s="53"/>
      <c r="O242" s="53"/>
      <c r="P242" s="53"/>
      <c r="Q242" s="53"/>
      <c r="R242" s="53"/>
      <c r="S242" s="136"/>
      <c r="T242" s="136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</row>
    <row r="243" ht="12.75" customHeight="1">
      <c r="A243" s="136"/>
      <c r="B243" s="136"/>
      <c r="C243" s="136"/>
      <c r="D243" s="136"/>
      <c r="E243" s="136"/>
      <c r="F243" s="136"/>
      <c r="G243" s="136"/>
      <c r="H243" s="52"/>
      <c r="I243" s="52"/>
      <c r="J243" s="52"/>
      <c r="K243" s="136"/>
      <c r="L243" s="53"/>
      <c r="M243" s="53"/>
      <c r="N243" s="53"/>
      <c r="O243" s="53"/>
      <c r="P243" s="53"/>
      <c r="Q243" s="53"/>
      <c r="R243" s="53"/>
      <c r="S243" s="136"/>
      <c r="T243" s="136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</row>
    <row r="244" ht="12.75" customHeight="1">
      <c r="A244" s="136"/>
      <c r="B244" s="136"/>
      <c r="C244" s="136"/>
      <c r="D244" s="136"/>
      <c r="E244" s="136"/>
      <c r="F244" s="136"/>
      <c r="G244" s="136"/>
      <c r="H244" s="52"/>
      <c r="I244" s="52"/>
      <c r="J244" s="52"/>
      <c r="K244" s="136"/>
      <c r="L244" s="53"/>
      <c r="M244" s="53"/>
      <c r="N244" s="53"/>
      <c r="O244" s="53"/>
      <c r="P244" s="53"/>
      <c r="Q244" s="53"/>
      <c r="R244" s="53"/>
      <c r="S244" s="136"/>
      <c r="T244" s="136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</row>
    <row r="245" ht="12.75" customHeight="1">
      <c r="A245" s="136"/>
      <c r="B245" s="136"/>
      <c r="C245" s="136"/>
      <c r="D245" s="136"/>
      <c r="E245" s="136"/>
      <c r="F245" s="136"/>
      <c r="G245" s="136"/>
      <c r="H245" s="52"/>
      <c r="I245" s="52"/>
      <c r="J245" s="52"/>
      <c r="K245" s="136"/>
      <c r="L245" s="53"/>
      <c r="M245" s="53"/>
      <c r="N245" s="53"/>
      <c r="O245" s="53"/>
      <c r="P245" s="53"/>
      <c r="Q245" s="53"/>
      <c r="R245" s="53"/>
      <c r="S245" s="136"/>
      <c r="T245" s="136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</row>
    <row r="246" ht="12.75" customHeight="1">
      <c r="A246" s="136"/>
      <c r="B246" s="136"/>
      <c r="C246" s="136"/>
      <c r="D246" s="136"/>
      <c r="E246" s="136"/>
      <c r="F246" s="136"/>
      <c r="G246" s="136"/>
      <c r="H246" s="52"/>
      <c r="I246" s="52"/>
      <c r="J246" s="52"/>
      <c r="K246" s="136"/>
      <c r="L246" s="53"/>
      <c r="M246" s="53"/>
      <c r="N246" s="53"/>
      <c r="O246" s="53"/>
      <c r="P246" s="53"/>
      <c r="Q246" s="53"/>
      <c r="R246" s="53"/>
      <c r="S246" s="136"/>
      <c r="T246" s="136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</row>
    <row r="247" ht="12.75" customHeight="1">
      <c r="A247" s="136"/>
      <c r="B247" s="136"/>
      <c r="C247" s="136"/>
      <c r="D247" s="136"/>
      <c r="E247" s="136"/>
      <c r="F247" s="136"/>
      <c r="G247" s="136"/>
      <c r="H247" s="52"/>
      <c r="I247" s="52"/>
      <c r="J247" s="52"/>
      <c r="K247" s="136"/>
      <c r="L247" s="53"/>
      <c r="M247" s="53"/>
      <c r="N247" s="53"/>
      <c r="O247" s="53"/>
      <c r="P247" s="53"/>
      <c r="Q247" s="53"/>
      <c r="R247" s="53"/>
      <c r="S247" s="136"/>
      <c r="T247" s="136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</row>
    <row r="248" ht="12.75" customHeight="1">
      <c r="A248" s="136"/>
      <c r="B248" s="136"/>
      <c r="C248" s="136"/>
      <c r="D248" s="136"/>
      <c r="E248" s="136"/>
      <c r="F248" s="136"/>
      <c r="G248" s="136"/>
      <c r="H248" s="52"/>
      <c r="I248" s="52"/>
      <c r="J248" s="52"/>
      <c r="K248" s="136"/>
      <c r="L248" s="53"/>
      <c r="M248" s="53"/>
      <c r="N248" s="53"/>
      <c r="O248" s="53"/>
      <c r="P248" s="53"/>
      <c r="Q248" s="53"/>
      <c r="R248" s="53"/>
      <c r="S248" s="136"/>
      <c r="T248" s="136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</row>
    <row r="249" ht="12.75" customHeight="1">
      <c r="A249" s="136"/>
      <c r="B249" s="136"/>
      <c r="C249" s="136"/>
      <c r="D249" s="136"/>
      <c r="E249" s="136"/>
      <c r="F249" s="136"/>
      <c r="G249" s="136"/>
      <c r="H249" s="52"/>
      <c r="I249" s="52"/>
      <c r="J249" s="52"/>
      <c r="K249" s="136"/>
      <c r="L249" s="53"/>
      <c r="M249" s="53"/>
      <c r="N249" s="53"/>
      <c r="O249" s="53"/>
      <c r="P249" s="53"/>
      <c r="Q249" s="53"/>
      <c r="R249" s="53"/>
      <c r="S249" s="136"/>
      <c r="T249" s="136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</row>
    <row r="250" ht="12.75" customHeight="1">
      <c r="A250" s="136"/>
      <c r="B250" s="136"/>
      <c r="C250" s="136"/>
      <c r="D250" s="136"/>
      <c r="E250" s="136"/>
      <c r="F250" s="136"/>
      <c r="G250" s="136"/>
      <c r="H250" s="52"/>
      <c r="I250" s="52"/>
      <c r="J250" s="52"/>
      <c r="K250" s="136"/>
      <c r="L250" s="53"/>
      <c r="M250" s="53"/>
      <c r="N250" s="53"/>
      <c r="O250" s="53"/>
      <c r="P250" s="53"/>
      <c r="Q250" s="53"/>
      <c r="R250" s="53"/>
      <c r="S250" s="136"/>
      <c r="T250" s="136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</row>
    <row r="251" ht="12.75" customHeight="1">
      <c r="A251" s="136"/>
      <c r="B251" s="136"/>
      <c r="C251" s="136"/>
      <c r="D251" s="136"/>
      <c r="E251" s="136"/>
      <c r="F251" s="136"/>
      <c r="G251" s="136"/>
      <c r="H251" s="52"/>
      <c r="I251" s="52"/>
      <c r="J251" s="52"/>
      <c r="K251" s="136"/>
      <c r="L251" s="53"/>
      <c r="M251" s="53"/>
      <c r="N251" s="53"/>
      <c r="O251" s="53"/>
      <c r="P251" s="53"/>
      <c r="Q251" s="53"/>
      <c r="R251" s="53"/>
      <c r="S251" s="136"/>
      <c r="T251" s="136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</row>
    <row r="252" ht="12.75" customHeight="1">
      <c r="A252" s="136"/>
      <c r="B252" s="136"/>
      <c r="C252" s="136"/>
      <c r="D252" s="136"/>
      <c r="E252" s="136"/>
      <c r="F252" s="136"/>
      <c r="G252" s="136"/>
      <c r="H252" s="52"/>
      <c r="I252" s="52"/>
      <c r="J252" s="52"/>
      <c r="K252" s="136"/>
      <c r="L252" s="53"/>
      <c r="M252" s="53"/>
      <c r="N252" s="53"/>
      <c r="O252" s="53"/>
      <c r="P252" s="53"/>
      <c r="Q252" s="53"/>
      <c r="R252" s="53"/>
      <c r="S252" s="136"/>
      <c r="T252" s="136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</row>
    <row r="253" ht="12.75" customHeight="1">
      <c r="A253" s="136"/>
      <c r="B253" s="136"/>
      <c r="C253" s="136"/>
      <c r="D253" s="136"/>
      <c r="E253" s="136"/>
      <c r="F253" s="136"/>
      <c r="G253" s="136"/>
      <c r="H253" s="52"/>
      <c r="I253" s="52"/>
      <c r="J253" s="52"/>
      <c r="K253" s="136"/>
      <c r="L253" s="53"/>
      <c r="M253" s="53"/>
      <c r="N253" s="53"/>
      <c r="O253" s="53"/>
      <c r="P253" s="53"/>
      <c r="Q253" s="53"/>
      <c r="R253" s="53"/>
      <c r="S253" s="136"/>
      <c r="T253" s="136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</row>
    <row r="254" ht="12.75" customHeight="1">
      <c r="A254" s="136"/>
      <c r="B254" s="136"/>
      <c r="C254" s="136"/>
      <c r="D254" s="136"/>
      <c r="E254" s="136"/>
      <c r="F254" s="136"/>
      <c r="G254" s="136"/>
      <c r="H254" s="52"/>
      <c r="I254" s="52"/>
      <c r="J254" s="52"/>
      <c r="K254" s="136"/>
      <c r="L254" s="53"/>
      <c r="M254" s="53"/>
      <c r="N254" s="53"/>
      <c r="O254" s="53"/>
      <c r="P254" s="53"/>
      <c r="Q254" s="53"/>
      <c r="R254" s="53"/>
      <c r="S254" s="136"/>
      <c r="T254" s="136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</row>
    <row r="255" ht="12.75" customHeight="1">
      <c r="A255" s="136"/>
      <c r="B255" s="136"/>
      <c r="C255" s="136"/>
      <c r="D255" s="136"/>
      <c r="E255" s="136"/>
      <c r="F255" s="136"/>
      <c r="G255" s="136"/>
      <c r="H255" s="52"/>
      <c r="I255" s="52"/>
      <c r="J255" s="52"/>
      <c r="K255" s="136"/>
      <c r="L255" s="53"/>
      <c r="M255" s="53"/>
      <c r="N255" s="53"/>
      <c r="O255" s="53"/>
      <c r="P255" s="53"/>
      <c r="Q255" s="53"/>
      <c r="R255" s="53"/>
      <c r="S255" s="136"/>
      <c r="T255" s="136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</row>
    <row r="256" ht="12.75" customHeight="1">
      <c r="A256" s="136"/>
      <c r="B256" s="136"/>
      <c r="C256" s="136"/>
      <c r="D256" s="136"/>
      <c r="E256" s="136"/>
      <c r="F256" s="136"/>
      <c r="G256" s="136"/>
      <c r="H256" s="52"/>
      <c r="I256" s="52"/>
      <c r="J256" s="52"/>
      <c r="K256" s="136"/>
      <c r="L256" s="53"/>
      <c r="M256" s="53"/>
      <c r="N256" s="53"/>
      <c r="O256" s="53"/>
      <c r="P256" s="53"/>
      <c r="Q256" s="53"/>
      <c r="R256" s="53"/>
      <c r="S256" s="136"/>
      <c r="T256" s="136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</row>
    <row r="257" ht="12.75" customHeight="1">
      <c r="A257" s="136"/>
      <c r="B257" s="136"/>
      <c r="C257" s="136"/>
      <c r="D257" s="136"/>
      <c r="E257" s="136"/>
      <c r="F257" s="136"/>
      <c r="G257" s="136"/>
      <c r="H257" s="52"/>
      <c r="I257" s="52"/>
      <c r="J257" s="52"/>
      <c r="K257" s="136"/>
      <c r="L257" s="53"/>
      <c r="M257" s="53"/>
      <c r="N257" s="53"/>
      <c r="O257" s="53"/>
      <c r="P257" s="53"/>
      <c r="Q257" s="53"/>
      <c r="R257" s="53"/>
      <c r="S257" s="136"/>
      <c r="T257" s="136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</row>
    <row r="258" ht="12.75" customHeight="1">
      <c r="A258" s="136"/>
      <c r="B258" s="136"/>
      <c r="C258" s="136"/>
      <c r="D258" s="136"/>
      <c r="E258" s="136"/>
      <c r="F258" s="136"/>
      <c r="G258" s="136"/>
      <c r="H258" s="52"/>
      <c r="I258" s="52"/>
      <c r="J258" s="52"/>
      <c r="K258" s="136"/>
      <c r="L258" s="53"/>
      <c r="M258" s="53"/>
      <c r="N258" s="53"/>
      <c r="O258" s="53"/>
      <c r="P258" s="53"/>
      <c r="Q258" s="53"/>
      <c r="R258" s="53"/>
      <c r="S258" s="136"/>
      <c r="T258" s="136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</row>
    <row r="259" ht="12.75" customHeight="1">
      <c r="A259" s="136"/>
      <c r="B259" s="136"/>
      <c r="C259" s="136"/>
      <c r="D259" s="136"/>
      <c r="E259" s="136"/>
      <c r="F259" s="136"/>
      <c r="G259" s="136"/>
      <c r="H259" s="52"/>
      <c r="I259" s="52"/>
      <c r="J259" s="52"/>
      <c r="K259" s="136"/>
      <c r="L259" s="53"/>
      <c r="M259" s="53"/>
      <c r="N259" s="53"/>
      <c r="O259" s="53"/>
      <c r="P259" s="53"/>
      <c r="Q259" s="53"/>
      <c r="R259" s="53"/>
      <c r="S259" s="136"/>
      <c r="T259" s="136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</row>
    <row r="260" ht="12.75" customHeight="1">
      <c r="A260" s="136"/>
      <c r="B260" s="136"/>
      <c r="C260" s="136"/>
      <c r="D260" s="136"/>
      <c r="E260" s="136"/>
      <c r="F260" s="136"/>
      <c r="G260" s="136"/>
      <c r="H260" s="52"/>
      <c r="I260" s="52"/>
      <c r="J260" s="52"/>
      <c r="K260" s="136"/>
      <c r="L260" s="53"/>
      <c r="M260" s="53"/>
      <c r="N260" s="53"/>
      <c r="O260" s="53"/>
      <c r="P260" s="53"/>
      <c r="Q260" s="53"/>
      <c r="R260" s="53"/>
      <c r="S260" s="136"/>
      <c r="T260" s="136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</row>
    <row r="261" ht="12.75" customHeight="1">
      <c r="A261" s="136"/>
      <c r="B261" s="136"/>
      <c r="C261" s="136"/>
      <c r="D261" s="136"/>
      <c r="E261" s="136"/>
      <c r="F261" s="136"/>
      <c r="G261" s="136"/>
      <c r="H261" s="52"/>
      <c r="I261" s="52"/>
      <c r="J261" s="52"/>
      <c r="K261" s="136"/>
      <c r="L261" s="53"/>
      <c r="M261" s="53"/>
      <c r="N261" s="53"/>
      <c r="O261" s="53"/>
      <c r="P261" s="53"/>
      <c r="Q261" s="53"/>
      <c r="R261" s="53"/>
      <c r="S261" s="136"/>
      <c r="T261" s="136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</row>
    <row r="262" ht="12.75" customHeight="1">
      <c r="A262" s="136"/>
      <c r="B262" s="136"/>
      <c r="C262" s="136"/>
      <c r="D262" s="136"/>
      <c r="E262" s="136"/>
      <c r="F262" s="136"/>
      <c r="G262" s="136"/>
      <c r="H262" s="52"/>
      <c r="I262" s="52"/>
      <c r="J262" s="52"/>
      <c r="K262" s="136"/>
      <c r="L262" s="53"/>
      <c r="M262" s="53"/>
      <c r="N262" s="53"/>
      <c r="O262" s="53"/>
      <c r="P262" s="53"/>
      <c r="Q262" s="53"/>
      <c r="R262" s="53"/>
      <c r="S262" s="136"/>
      <c r="T262" s="136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</row>
    <row r="263" ht="12.75" customHeight="1">
      <c r="A263" s="136"/>
      <c r="B263" s="136"/>
      <c r="C263" s="136"/>
      <c r="D263" s="136"/>
      <c r="E263" s="136"/>
      <c r="F263" s="136"/>
      <c r="G263" s="136"/>
      <c r="H263" s="52"/>
      <c r="I263" s="52"/>
      <c r="J263" s="52"/>
      <c r="K263" s="136"/>
      <c r="L263" s="53"/>
      <c r="M263" s="53"/>
      <c r="N263" s="53"/>
      <c r="O263" s="53"/>
      <c r="P263" s="53"/>
      <c r="Q263" s="53"/>
      <c r="R263" s="53"/>
      <c r="S263" s="136"/>
      <c r="T263" s="136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</row>
    <row r="264" ht="12.75" customHeight="1">
      <c r="A264" s="136"/>
      <c r="B264" s="136"/>
      <c r="C264" s="136"/>
      <c r="D264" s="136"/>
      <c r="E264" s="136"/>
      <c r="F264" s="136"/>
      <c r="G264" s="136"/>
      <c r="H264" s="52"/>
      <c r="I264" s="52"/>
      <c r="J264" s="52"/>
      <c r="K264" s="136"/>
      <c r="L264" s="53"/>
      <c r="M264" s="53"/>
      <c r="N264" s="53"/>
      <c r="O264" s="53"/>
      <c r="P264" s="53"/>
      <c r="Q264" s="53"/>
      <c r="R264" s="53"/>
      <c r="S264" s="136"/>
      <c r="T264" s="136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</row>
    <row r="265" ht="12.75" customHeight="1">
      <c r="A265" s="136"/>
      <c r="B265" s="136"/>
      <c r="C265" s="136"/>
      <c r="D265" s="136"/>
      <c r="E265" s="136"/>
      <c r="F265" s="136"/>
      <c r="G265" s="136"/>
      <c r="H265" s="52"/>
      <c r="I265" s="52"/>
      <c r="J265" s="52"/>
      <c r="K265" s="136"/>
      <c r="L265" s="53"/>
      <c r="M265" s="53"/>
      <c r="N265" s="53"/>
      <c r="O265" s="53"/>
      <c r="P265" s="53"/>
      <c r="Q265" s="53"/>
      <c r="R265" s="53"/>
      <c r="S265" s="136"/>
      <c r="T265" s="136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</row>
    <row r="266" ht="12.75" customHeight="1">
      <c r="A266" s="136"/>
      <c r="B266" s="136"/>
      <c r="C266" s="136"/>
      <c r="D266" s="136"/>
      <c r="E266" s="136"/>
      <c r="F266" s="136"/>
      <c r="G266" s="136"/>
      <c r="H266" s="52"/>
      <c r="I266" s="52"/>
      <c r="J266" s="52"/>
      <c r="K266" s="136"/>
      <c r="L266" s="53"/>
      <c r="M266" s="53"/>
      <c r="N266" s="53"/>
      <c r="O266" s="53"/>
      <c r="P266" s="53"/>
      <c r="Q266" s="53"/>
      <c r="R266" s="53"/>
      <c r="S266" s="136"/>
      <c r="T266" s="136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</row>
    <row r="267" ht="12.75" customHeight="1">
      <c r="A267" s="136"/>
      <c r="B267" s="136"/>
      <c r="C267" s="136"/>
      <c r="D267" s="136"/>
      <c r="E267" s="136"/>
      <c r="F267" s="136"/>
      <c r="G267" s="136"/>
      <c r="H267" s="52"/>
      <c r="I267" s="52"/>
      <c r="J267" s="52"/>
      <c r="K267" s="136"/>
      <c r="L267" s="53"/>
      <c r="M267" s="53"/>
      <c r="N267" s="53"/>
      <c r="O267" s="53"/>
      <c r="P267" s="53"/>
      <c r="Q267" s="53"/>
      <c r="R267" s="53"/>
      <c r="S267" s="136"/>
      <c r="T267" s="136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</row>
    <row r="268" ht="12.75" customHeight="1">
      <c r="A268" s="136"/>
      <c r="B268" s="136"/>
      <c r="C268" s="136"/>
      <c r="D268" s="136"/>
      <c r="E268" s="136"/>
      <c r="F268" s="136"/>
      <c r="G268" s="136"/>
      <c r="H268" s="52"/>
      <c r="I268" s="52"/>
      <c r="J268" s="52"/>
      <c r="K268" s="136"/>
      <c r="L268" s="53"/>
      <c r="M268" s="53"/>
      <c r="N268" s="53"/>
      <c r="O268" s="53"/>
      <c r="P268" s="53"/>
      <c r="Q268" s="53"/>
      <c r="R268" s="53"/>
      <c r="S268" s="136"/>
      <c r="T268" s="136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</row>
    <row r="269" ht="12.75" customHeight="1">
      <c r="A269" s="136"/>
      <c r="B269" s="136"/>
      <c r="C269" s="136"/>
      <c r="D269" s="136"/>
      <c r="E269" s="136"/>
      <c r="F269" s="136"/>
      <c r="G269" s="136"/>
      <c r="H269" s="52"/>
      <c r="I269" s="52"/>
      <c r="J269" s="52"/>
      <c r="K269" s="136"/>
      <c r="L269" s="53"/>
      <c r="M269" s="53"/>
      <c r="N269" s="53"/>
      <c r="O269" s="53"/>
      <c r="P269" s="53"/>
      <c r="Q269" s="53"/>
      <c r="R269" s="53"/>
      <c r="S269" s="136"/>
      <c r="T269" s="136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</row>
    <row r="270" ht="12.75" customHeight="1">
      <c r="A270" s="136"/>
      <c r="B270" s="136"/>
      <c r="C270" s="136"/>
      <c r="D270" s="136"/>
      <c r="E270" s="136"/>
      <c r="F270" s="136"/>
      <c r="G270" s="136"/>
      <c r="H270" s="52"/>
      <c r="I270" s="52"/>
      <c r="J270" s="52"/>
      <c r="K270" s="136"/>
      <c r="L270" s="53"/>
      <c r="M270" s="53"/>
      <c r="N270" s="53"/>
      <c r="O270" s="53"/>
      <c r="P270" s="53"/>
      <c r="Q270" s="53"/>
      <c r="R270" s="53"/>
      <c r="S270" s="136"/>
      <c r="T270" s="136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</row>
    <row r="271" ht="12.75" customHeight="1">
      <c r="A271" s="136"/>
      <c r="B271" s="136"/>
      <c r="C271" s="136"/>
      <c r="D271" s="136"/>
      <c r="E271" s="136"/>
      <c r="F271" s="136"/>
      <c r="G271" s="136"/>
      <c r="H271" s="52"/>
      <c r="I271" s="52"/>
      <c r="J271" s="52"/>
      <c r="K271" s="136"/>
      <c r="L271" s="53"/>
      <c r="M271" s="53"/>
      <c r="N271" s="53"/>
      <c r="O271" s="53"/>
      <c r="P271" s="53"/>
      <c r="Q271" s="53"/>
      <c r="R271" s="53"/>
      <c r="S271" s="136"/>
      <c r="T271" s="136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</row>
    <row r="272" ht="12.75" customHeight="1">
      <c r="A272" s="136"/>
      <c r="B272" s="136"/>
      <c r="C272" s="136"/>
      <c r="D272" s="136"/>
      <c r="E272" s="136"/>
      <c r="F272" s="136"/>
      <c r="G272" s="136"/>
      <c r="H272" s="52"/>
      <c r="I272" s="52"/>
      <c r="J272" s="52"/>
      <c r="K272" s="136"/>
      <c r="L272" s="53"/>
      <c r="M272" s="53"/>
      <c r="N272" s="53"/>
      <c r="O272" s="53"/>
      <c r="P272" s="53"/>
      <c r="Q272" s="53"/>
      <c r="R272" s="53"/>
      <c r="S272" s="136"/>
      <c r="T272" s="136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</row>
    <row r="273" ht="12.75" customHeight="1">
      <c r="A273" s="136"/>
      <c r="B273" s="136"/>
      <c r="C273" s="136"/>
      <c r="D273" s="136"/>
      <c r="E273" s="136"/>
      <c r="F273" s="136"/>
      <c r="G273" s="136"/>
      <c r="H273" s="52"/>
      <c r="I273" s="52"/>
      <c r="J273" s="52"/>
      <c r="K273" s="136"/>
      <c r="L273" s="53"/>
      <c r="M273" s="53"/>
      <c r="N273" s="53"/>
      <c r="O273" s="53"/>
      <c r="P273" s="53"/>
      <c r="Q273" s="53"/>
      <c r="R273" s="53"/>
      <c r="S273" s="136"/>
      <c r="T273" s="136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</row>
    <row r="274" ht="12.75" customHeight="1">
      <c r="A274" s="136"/>
      <c r="B274" s="136"/>
      <c r="C274" s="136"/>
      <c r="D274" s="136"/>
      <c r="E274" s="136"/>
      <c r="F274" s="136"/>
      <c r="G274" s="136"/>
      <c r="H274" s="52"/>
      <c r="I274" s="52"/>
      <c r="J274" s="52"/>
      <c r="K274" s="136"/>
      <c r="L274" s="53"/>
      <c r="M274" s="53"/>
      <c r="N274" s="53"/>
      <c r="O274" s="53"/>
      <c r="P274" s="53"/>
      <c r="Q274" s="53"/>
      <c r="R274" s="53"/>
      <c r="S274" s="136"/>
      <c r="T274" s="136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</row>
    <row r="275" ht="12.75" customHeight="1">
      <c r="A275" s="136"/>
      <c r="B275" s="136"/>
      <c r="C275" s="136"/>
      <c r="D275" s="136"/>
      <c r="E275" s="136"/>
      <c r="F275" s="136"/>
      <c r="G275" s="136"/>
      <c r="H275" s="52"/>
      <c r="I275" s="52"/>
      <c r="J275" s="52"/>
      <c r="K275" s="136"/>
      <c r="L275" s="53"/>
      <c r="M275" s="53"/>
      <c r="N275" s="53"/>
      <c r="O275" s="53"/>
      <c r="P275" s="53"/>
      <c r="Q275" s="53"/>
      <c r="R275" s="53"/>
      <c r="S275" s="136"/>
      <c r="T275" s="136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</row>
    <row r="276" ht="12.75" customHeight="1">
      <c r="A276" s="136"/>
      <c r="B276" s="136"/>
      <c r="C276" s="136"/>
      <c r="D276" s="136"/>
      <c r="E276" s="136"/>
      <c r="F276" s="136"/>
      <c r="G276" s="136"/>
      <c r="H276" s="52"/>
      <c r="I276" s="52"/>
      <c r="J276" s="52"/>
      <c r="K276" s="136"/>
      <c r="L276" s="53"/>
      <c r="M276" s="53"/>
      <c r="N276" s="53"/>
      <c r="O276" s="53"/>
      <c r="P276" s="53"/>
      <c r="Q276" s="53"/>
      <c r="R276" s="53"/>
      <c r="S276" s="136"/>
      <c r="T276" s="136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</row>
    <row r="277" ht="12.75" customHeight="1">
      <c r="A277" s="136"/>
      <c r="B277" s="136"/>
      <c r="C277" s="136"/>
      <c r="D277" s="136"/>
      <c r="E277" s="136"/>
      <c r="F277" s="136"/>
      <c r="G277" s="136"/>
      <c r="H277" s="52"/>
      <c r="I277" s="52"/>
      <c r="J277" s="52"/>
      <c r="K277" s="136"/>
      <c r="L277" s="53"/>
      <c r="M277" s="53"/>
      <c r="N277" s="53"/>
      <c r="O277" s="53"/>
      <c r="P277" s="53"/>
      <c r="Q277" s="53"/>
      <c r="R277" s="53"/>
      <c r="S277" s="136"/>
      <c r="T277" s="136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</row>
    <row r="278" ht="12.75" customHeight="1">
      <c r="A278" s="136"/>
      <c r="B278" s="136"/>
      <c r="C278" s="136"/>
      <c r="D278" s="136"/>
      <c r="E278" s="136"/>
      <c r="F278" s="136"/>
      <c r="G278" s="136"/>
      <c r="H278" s="52"/>
      <c r="I278" s="52"/>
      <c r="J278" s="52"/>
      <c r="K278" s="136"/>
      <c r="L278" s="53"/>
      <c r="M278" s="53"/>
      <c r="N278" s="53"/>
      <c r="O278" s="53"/>
      <c r="P278" s="53"/>
      <c r="Q278" s="53"/>
      <c r="R278" s="53"/>
      <c r="S278" s="136"/>
      <c r="T278" s="136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</row>
    <row r="279" ht="12.75" customHeight="1">
      <c r="A279" s="136"/>
      <c r="B279" s="136"/>
      <c r="C279" s="136"/>
      <c r="D279" s="136"/>
      <c r="E279" s="136"/>
      <c r="F279" s="136"/>
      <c r="G279" s="136"/>
      <c r="H279" s="52"/>
      <c r="I279" s="52"/>
      <c r="J279" s="52"/>
      <c r="K279" s="136"/>
      <c r="L279" s="53"/>
      <c r="M279" s="53"/>
      <c r="N279" s="53"/>
      <c r="O279" s="53"/>
      <c r="P279" s="53"/>
      <c r="Q279" s="53"/>
      <c r="R279" s="53"/>
      <c r="S279" s="136"/>
      <c r="T279" s="136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</row>
    <row r="280" ht="12.75" customHeight="1">
      <c r="A280" s="136"/>
      <c r="B280" s="136"/>
      <c r="C280" s="136"/>
      <c r="D280" s="136"/>
      <c r="E280" s="136"/>
      <c r="F280" s="136"/>
      <c r="G280" s="136"/>
      <c r="H280" s="52"/>
      <c r="I280" s="52"/>
      <c r="J280" s="52"/>
      <c r="K280" s="136"/>
      <c r="L280" s="53"/>
      <c r="M280" s="53"/>
      <c r="N280" s="53"/>
      <c r="O280" s="53"/>
      <c r="P280" s="53"/>
      <c r="Q280" s="53"/>
      <c r="R280" s="53"/>
      <c r="S280" s="136"/>
      <c r="T280" s="136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</row>
    <row r="281" ht="12.75" customHeight="1">
      <c r="A281" s="136"/>
      <c r="B281" s="136"/>
      <c r="C281" s="136"/>
      <c r="D281" s="136"/>
      <c r="E281" s="136"/>
      <c r="F281" s="136"/>
      <c r="G281" s="136"/>
      <c r="H281" s="52"/>
      <c r="I281" s="52"/>
      <c r="J281" s="52"/>
      <c r="K281" s="136"/>
      <c r="L281" s="53"/>
      <c r="M281" s="53"/>
      <c r="N281" s="53"/>
      <c r="O281" s="53"/>
      <c r="P281" s="53"/>
      <c r="Q281" s="53"/>
      <c r="R281" s="53"/>
      <c r="S281" s="136"/>
      <c r="T281" s="136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</row>
    <row r="282" ht="12.75" customHeight="1">
      <c r="A282" s="136"/>
      <c r="B282" s="136"/>
      <c r="C282" s="136"/>
      <c r="D282" s="136"/>
      <c r="E282" s="136"/>
      <c r="F282" s="136"/>
      <c r="G282" s="136"/>
      <c r="H282" s="52"/>
      <c r="I282" s="52"/>
      <c r="J282" s="52"/>
      <c r="K282" s="136"/>
      <c r="L282" s="53"/>
      <c r="M282" s="53"/>
      <c r="N282" s="53"/>
      <c r="O282" s="53"/>
      <c r="P282" s="53"/>
      <c r="Q282" s="53"/>
      <c r="R282" s="53"/>
      <c r="S282" s="136"/>
      <c r="T282" s="136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</row>
    <row r="283" ht="12.75" customHeight="1">
      <c r="A283" s="136"/>
      <c r="B283" s="136"/>
      <c r="C283" s="136"/>
      <c r="D283" s="136"/>
      <c r="E283" s="136"/>
      <c r="F283" s="136"/>
      <c r="G283" s="136"/>
      <c r="H283" s="52"/>
      <c r="I283" s="52"/>
      <c r="J283" s="52"/>
      <c r="K283" s="136"/>
      <c r="L283" s="53"/>
      <c r="M283" s="53"/>
      <c r="N283" s="53"/>
      <c r="O283" s="53"/>
      <c r="P283" s="53"/>
      <c r="Q283" s="53"/>
      <c r="R283" s="53"/>
      <c r="S283" s="136"/>
      <c r="T283" s="136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</row>
    <row r="284" ht="12.75" customHeight="1">
      <c r="A284" s="136"/>
      <c r="B284" s="136"/>
      <c r="C284" s="136"/>
      <c r="D284" s="136"/>
      <c r="E284" s="136"/>
      <c r="F284" s="136"/>
      <c r="G284" s="136"/>
      <c r="H284" s="52"/>
      <c r="I284" s="52"/>
      <c r="J284" s="52"/>
      <c r="K284" s="136"/>
      <c r="L284" s="53"/>
      <c r="M284" s="53"/>
      <c r="N284" s="53"/>
      <c r="O284" s="53"/>
      <c r="P284" s="53"/>
      <c r="Q284" s="53"/>
      <c r="R284" s="53"/>
      <c r="S284" s="136"/>
      <c r="T284" s="136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</row>
    <row r="285" ht="12.75" customHeight="1">
      <c r="A285" s="136"/>
      <c r="B285" s="136"/>
      <c r="C285" s="136"/>
      <c r="D285" s="136"/>
      <c r="E285" s="136"/>
      <c r="F285" s="136"/>
      <c r="G285" s="136"/>
      <c r="H285" s="52"/>
      <c r="I285" s="52"/>
      <c r="J285" s="52"/>
      <c r="K285" s="136"/>
      <c r="L285" s="53"/>
      <c r="M285" s="53"/>
      <c r="N285" s="53"/>
      <c r="O285" s="53"/>
      <c r="P285" s="53"/>
      <c r="Q285" s="53"/>
      <c r="R285" s="53"/>
      <c r="S285" s="136"/>
      <c r="T285" s="136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</row>
    <row r="286" ht="12.75" customHeight="1">
      <c r="A286" s="136"/>
      <c r="B286" s="136"/>
      <c r="C286" s="136"/>
      <c r="D286" s="136"/>
      <c r="E286" s="136"/>
      <c r="F286" s="136"/>
      <c r="G286" s="136"/>
      <c r="H286" s="52"/>
      <c r="I286" s="52"/>
      <c r="J286" s="52"/>
      <c r="K286" s="136"/>
      <c r="L286" s="53"/>
      <c r="M286" s="53"/>
      <c r="N286" s="53"/>
      <c r="O286" s="53"/>
      <c r="P286" s="53"/>
      <c r="Q286" s="53"/>
      <c r="R286" s="53"/>
      <c r="S286" s="136"/>
      <c r="T286" s="136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</row>
    <row r="287" ht="12.75" customHeight="1">
      <c r="A287" s="136"/>
      <c r="B287" s="136"/>
      <c r="C287" s="136"/>
      <c r="D287" s="136"/>
      <c r="E287" s="136"/>
      <c r="F287" s="136"/>
      <c r="G287" s="136"/>
      <c r="H287" s="52"/>
      <c r="I287" s="52"/>
      <c r="J287" s="52"/>
      <c r="K287" s="136"/>
      <c r="L287" s="53"/>
      <c r="M287" s="53"/>
      <c r="N287" s="53"/>
      <c r="O287" s="53"/>
      <c r="P287" s="53"/>
      <c r="Q287" s="53"/>
      <c r="R287" s="53"/>
      <c r="S287" s="136"/>
      <c r="T287" s="136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</row>
    <row r="288" ht="12.75" customHeight="1">
      <c r="A288" s="136"/>
      <c r="B288" s="136"/>
      <c r="C288" s="136"/>
      <c r="D288" s="136"/>
      <c r="E288" s="136"/>
      <c r="F288" s="136"/>
      <c r="G288" s="136"/>
      <c r="H288" s="52"/>
      <c r="I288" s="52"/>
      <c r="J288" s="52"/>
      <c r="K288" s="136"/>
      <c r="L288" s="53"/>
      <c r="M288" s="53"/>
      <c r="N288" s="53"/>
      <c r="O288" s="53"/>
      <c r="P288" s="53"/>
      <c r="Q288" s="53"/>
      <c r="R288" s="53"/>
      <c r="S288" s="136"/>
      <c r="T288" s="136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</row>
    <row r="289" ht="12.75" customHeight="1">
      <c r="A289" s="136"/>
      <c r="B289" s="136"/>
      <c r="C289" s="136"/>
      <c r="D289" s="136"/>
      <c r="E289" s="136"/>
      <c r="F289" s="136"/>
      <c r="G289" s="136"/>
      <c r="H289" s="52"/>
      <c r="I289" s="52"/>
      <c r="J289" s="52"/>
      <c r="K289" s="136"/>
      <c r="L289" s="53"/>
      <c r="M289" s="53"/>
      <c r="N289" s="53"/>
      <c r="O289" s="53"/>
      <c r="P289" s="53"/>
      <c r="Q289" s="53"/>
      <c r="R289" s="53"/>
      <c r="S289" s="136"/>
      <c r="T289" s="136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</row>
    <row r="290" ht="12.75" customHeight="1">
      <c r="A290" s="136"/>
      <c r="B290" s="136"/>
      <c r="C290" s="136"/>
      <c r="D290" s="136"/>
      <c r="E290" s="136"/>
      <c r="F290" s="136"/>
      <c r="G290" s="136"/>
      <c r="H290" s="52"/>
      <c r="I290" s="52"/>
      <c r="J290" s="52"/>
      <c r="K290" s="136"/>
      <c r="L290" s="53"/>
      <c r="M290" s="53"/>
      <c r="N290" s="53"/>
      <c r="O290" s="53"/>
      <c r="P290" s="53"/>
      <c r="Q290" s="53"/>
      <c r="R290" s="53"/>
      <c r="S290" s="136"/>
      <c r="T290" s="136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</row>
    <row r="291" ht="12.75" customHeight="1">
      <c r="A291" s="136"/>
      <c r="B291" s="136"/>
      <c r="C291" s="136"/>
      <c r="D291" s="136"/>
      <c r="E291" s="136"/>
      <c r="F291" s="136"/>
      <c r="G291" s="136"/>
      <c r="H291" s="52"/>
      <c r="I291" s="52"/>
      <c r="J291" s="52"/>
      <c r="K291" s="136"/>
      <c r="L291" s="53"/>
      <c r="M291" s="53"/>
      <c r="N291" s="53"/>
      <c r="O291" s="53"/>
      <c r="P291" s="53"/>
      <c r="Q291" s="53"/>
      <c r="R291" s="53"/>
      <c r="S291" s="136"/>
      <c r="T291" s="136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</row>
    <row r="292" ht="12.75" customHeight="1">
      <c r="A292" s="136"/>
      <c r="B292" s="136"/>
      <c r="C292" s="136"/>
      <c r="D292" s="136"/>
      <c r="E292" s="136"/>
      <c r="F292" s="136"/>
      <c r="G292" s="136"/>
      <c r="H292" s="52"/>
      <c r="I292" s="52"/>
      <c r="J292" s="52"/>
      <c r="K292" s="136"/>
      <c r="L292" s="53"/>
      <c r="M292" s="53"/>
      <c r="N292" s="53"/>
      <c r="O292" s="53"/>
      <c r="P292" s="53"/>
      <c r="Q292" s="53"/>
      <c r="R292" s="53"/>
      <c r="S292" s="136"/>
      <c r="T292" s="136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</row>
    <row r="293" ht="12.75" customHeight="1">
      <c r="A293" s="136"/>
      <c r="B293" s="136"/>
      <c r="C293" s="136"/>
      <c r="D293" s="136"/>
      <c r="E293" s="136"/>
      <c r="F293" s="136"/>
      <c r="G293" s="136"/>
      <c r="H293" s="52"/>
      <c r="I293" s="52"/>
      <c r="J293" s="52"/>
      <c r="K293" s="136"/>
      <c r="L293" s="53"/>
      <c r="M293" s="53"/>
      <c r="N293" s="53"/>
      <c r="O293" s="53"/>
      <c r="P293" s="53"/>
      <c r="Q293" s="53"/>
      <c r="R293" s="53"/>
      <c r="S293" s="136"/>
      <c r="T293" s="136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</row>
    <row r="294" ht="12.75" customHeight="1">
      <c r="A294" s="136"/>
      <c r="B294" s="136"/>
      <c r="C294" s="136"/>
      <c r="D294" s="136"/>
      <c r="E294" s="136"/>
      <c r="F294" s="136"/>
      <c r="G294" s="136"/>
      <c r="H294" s="52"/>
      <c r="I294" s="52"/>
      <c r="J294" s="52"/>
      <c r="K294" s="136"/>
      <c r="L294" s="53"/>
      <c r="M294" s="53"/>
      <c r="N294" s="53"/>
      <c r="O294" s="53"/>
      <c r="P294" s="53"/>
      <c r="Q294" s="53"/>
      <c r="R294" s="53"/>
      <c r="S294" s="136"/>
      <c r="T294" s="136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</row>
    <row r="295" ht="12.75" customHeight="1">
      <c r="A295" s="136"/>
      <c r="B295" s="136"/>
      <c r="C295" s="136"/>
      <c r="D295" s="136"/>
      <c r="E295" s="136"/>
      <c r="F295" s="136"/>
      <c r="G295" s="136"/>
      <c r="H295" s="52"/>
      <c r="I295" s="52"/>
      <c r="J295" s="52"/>
      <c r="K295" s="136"/>
      <c r="L295" s="53"/>
      <c r="M295" s="53"/>
      <c r="N295" s="53"/>
      <c r="O295" s="53"/>
      <c r="P295" s="53"/>
      <c r="Q295" s="53"/>
      <c r="R295" s="53"/>
      <c r="S295" s="136"/>
      <c r="T295" s="136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</row>
    <row r="296" ht="12.75" customHeight="1">
      <c r="A296" s="136"/>
      <c r="B296" s="136"/>
      <c r="C296" s="136"/>
      <c r="D296" s="136"/>
      <c r="E296" s="136"/>
      <c r="F296" s="136"/>
      <c r="G296" s="136"/>
      <c r="H296" s="52"/>
      <c r="I296" s="52"/>
      <c r="J296" s="52"/>
      <c r="K296" s="136"/>
      <c r="L296" s="53"/>
      <c r="M296" s="53"/>
      <c r="N296" s="53"/>
      <c r="O296" s="53"/>
      <c r="P296" s="53"/>
      <c r="Q296" s="53"/>
      <c r="R296" s="53"/>
      <c r="S296" s="136"/>
      <c r="T296" s="136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</row>
    <row r="297" ht="12.75" customHeight="1">
      <c r="A297" s="136"/>
      <c r="B297" s="136"/>
      <c r="C297" s="136"/>
      <c r="D297" s="136"/>
      <c r="E297" s="136"/>
      <c r="F297" s="136"/>
      <c r="G297" s="136"/>
      <c r="H297" s="52"/>
      <c r="I297" s="52"/>
      <c r="J297" s="52"/>
      <c r="K297" s="136"/>
      <c r="L297" s="53"/>
      <c r="M297" s="53"/>
      <c r="N297" s="53"/>
      <c r="O297" s="53"/>
      <c r="P297" s="53"/>
      <c r="Q297" s="53"/>
      <c r="R297" s="53"/>
      <c r="S297" s="136"/>
      <c r="T297" s="136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</row>
    <row r="298" ht="12.75" customHeight="1">
      <c r="A298" s="136"/>
      <c r="B298" s="136"/>
      <c r="C298" s="136"/>
      <c r="D298" s="136"/>
      <c r="E298" s="136"/>
      <c r="F298" s="136"/>
      <c r="G298" s="136"/>
      <c r="H298" s="52"/>
      <c r="I298" s="52"/>
      <c r="J298" s="52"/>
      <c r="K298" s="136"/>
      <c r="L298" s="53"/>
      <c r="M298" s="53"/>
      <c r="N298" s="53"/>
      <c r="O298" s="53"/>
      <c r="P298" s="53"/>
      <c r="Q298" s="53"/>
      <c r="R298" s="53"/>
      <c r="S298" s="136"/>
      <c r="T298" s="136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A1" s="136"/>
      <c r="B1" s="1"/>
      <c r="C1" s="59"/>
      <c r="D1" s="59"/>
      <c r="E1" s="59"/>
      <c r="F1" s="59"/>
      <c r="G1" s="59"/>
      <c r="H1" s="3"/>
      <c r="I1" s="59"/>
      <c r="J1" s="59"/>
      <c r="K1" s="3"/>
      <c r="L1" s="59"/>
      <c r="M1" s="59"/>
      <c r="N1" s="59"/>
      <c r="O1" s="59"/>
      <c r="P1" s="59"/>
      <c r="Q1" s="59"/>
      <c r="R1" s="59"/>
      <c r="S1" s="59"/>
      <c r="T1" s="3"/>
      <c r="U1" s="4"/>
      <c r="V1" s="59"/>
      <c r="W1" s="59"/>
      <c r="X1" s="59"/>
      <c r="Y1" s="6"/>
      <c r="Z1" s="7"/>
      <c r="AA1" s="7"/>
      <c r="AB1" s="7"/>
      <c r="AC1" s="7"/>
      <c r="AD1" s="7"/>
      <c r="AE1" s="7"/>
      <c r="AF1" s="7"/>
      <c r="AG1" s="7"/>
      <c r="AH1" s="7"/>
      <c r="AI1" s="59"/>
      <c r="AJ1" s="59"/>
      <c r="AK1" s="59"/>
      <c r="AL1" s="59"/>
      <c r="AM1" s="59"/>
      <c r="AN1" s="59"/>
      <c r="AO1" s="59"/>
      <c r="AP1" s="59"/>
      <c r="AQ1" s="59"/>
      <c r="AR1" s="59"/>
    </row>
    <row r="2" ht="18.75" customHeight="1">
      <c r="A2" s="136"/>
      <c r="B2" s="8" t="s">
        <v>255</v>
      </c>
      <c r="C2" s="9"/>
      <c r="D2" s="9"/>
      <c r="E2" s="9"/>
      <c r="F2" s="10"/>
      <c r="G2" s="59"/>
      <c r="H2" s="11" t="s">
        <v>23</v>
      </c>
      <c r="I2" s="10"/>
      <c r="J2" s="59"/>
      <c r="K2" s="11" t="s">
        <v>24</v>
      </c>
      <c r="L2" s="9"/>
      <c r="M2" s="9"/>
      <c r="N2" s="9"/>
      <c r="O2" s="9"/>
      <c r="P2" s="9"/>
      <c r="Q2" s="9"/>
      <c r="R2" s="10"/>
      <c r="S2" s="59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59"/>
      <c r="AJ2" s="59"/>
      <c r="AK2" s="59"/>
      <c r="AL2" s="59"/>
      <c r="AM2" s="59"/>
      <c r="AN2" s="59"/>
      <c r="AO2" s="59"/>
      <c r="AP2" s="59"/>
      <c r="AQ2" s="59"/>
      <c r="AR2" s="59"/>
    </row>
    <row r="3" ht="15.0" customHeight="1">
      <c r="A3" s="136"/>
      <c r="B3" s="136"/>
      <c r="C3" s="59"/>
      <c r="D3" s="59"/>
      <c r="E3" s="59"/>
      <c r="F3" s="59"/>
      <c r="G3" s="59"/>
      <c r="H3" s="59"/>
      <c r="I3" s="59"/>
      <c r="J3" s="59"/>
      <c r="K3" s="3"/>
      <c r="L3" s="59"/>
      <c r="M3" s="59"/>
      <c r="N3" s="59"/>
      <c r="O3" s="59"/>
      <c r="P3" s="59"/>
      <c r="Q3" s="59"/>
      <c r="R3" s="59"/>
      <c r="S3" s="59"/>
      <c r="T3" s="13" t="s">
        <v>26</v>
      </c>
      <c r="U3" s="14" t="str">
        <f>SUM(U5:U10,U13:U18,U21:U26,U29:U34,U37:U42,U45:U50,U53:U58,U61:U66)</f>
        <v>21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  <c r="AI3" s="136"/>
      <c r="AJ3" s="136"/>
      <c r="AK3" s="136"/>
      <c r="AL3" s="136"/>
      <c r="AM3" s="136"/>
      <c r="AN3" s="136"/>
      <c r="AO3" s="136"/>
      <c r="AP3" s="136"/>
      <c r="AQ3" s="136"/>
      <c r="AR3" s="136"/>
    </row>
    <row r="4" ht="13.5" customHeight="1">
      <c r="A4" s="136"/>
      <c r="B4" s="15" t="s">
        <v>27</v>
      </c>
      <c r="C4" s="9"/>
      <c r="D4" s="9"/>
      <c r="E4" s="9"/>
      <c r="F4" s="10"/>
      <c r="G4" s="59"/>
      <c r="H4" s="16" t="s">
        <v>28</v>
      </c>
      <c r="I4" s="17" t="s">
        <v>29</v>
      </c>
      <c r="J4" s="18"/>
      <c r="K4" s="59"/>
      <c r="L4" s="59"/>
      <c r="M4" s="59"/>
      <c r="N4" s="59"/>
      <c r="O4" s="59"/>
      <c r="P4" s="59"/>
      <c r="Q4" s="59"/>
      <c r="R4" s="59"/>
      <c r="S4" s="59"/>
      <c r="T4" s="136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  <c r="AI4" s="136"/>
      <c r="AJ4" s="136"/>
      <c r="AK4" s="136"/>
      <c r="AL4" s="136"/>
      <c r="AM4" s="136"/>
      <c r="AN4" s="136"/>
      <c r="AO4" s="136"/>
      <c r="AP4" s="136"/>
      <c r="AQ4" s="136"/>
      <c r="AR4" s="136"/>
    </row>
    <row r="5" ht="13.5" customHeight="1">
      <c r="A5" s="136"/>
      <c r="B5" s="21" t="s">
        <v>30</v>
      </c>
      <c r="C5" s="22">
        <v>2.0</v>
      </c>
      <c r="D5" s="19" t="s">
        <v>31</v>
      </c>
      <c r="E5" s="23">
        <v>1.0</v>
      </c>
      <c r="F5" s="24" t="s">
        <v>32</v>
      </c>
      <c r="G5" s="59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2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  <c r="AI5" s="136"/>
      <c r="AJ5" s="136"/>
      <c r="AK5" s="136"/>
      <c r="AL5" s="136"/>
      <c r="AM5" s="136"/>
      <c r="AN5" s="136"/>
      <c r="AO5" s="136"/>
      <c r="AP5" s="136"/>
      <c r="AQ5" s="136"/>
      <c r="AR5" s="136"/>
    </row>
    <row r="6" ht="13.5" customHeight="1">
      <c r="A6" s="136"/>
      <c r="B6" s="21" t="s">
        <v>40</v>
      </c>
      <c r="C6" s="22">
        <v>1.0</v>
      </c>
      <c r="D6" s="19" t="s">
        <v>31</v>
      </c>
      <c r="E6" s="23">
        <v>1.0</v>
      </c>
      <c r="F6" s="34" t="s">
        <v>41</v>
      </c>
      <c r="G6" s="59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2</v>
      </c>
      <c r="M6" s="19" t="str">
        <f t="shared" ref="M6:M9" si="5">N6-O6</f>
        <v>-1</v>
      </c>
      <c r="N6" s="19" t="str">
        <f t="shared" ref="N6:N9" si="6">SUM(INDIRECT($AC6),INDIRECT($AD6),INDIRECT($AE6))</f>
        <v>2</v>
      </c>
      <c r="O6" s="19" t="str">
        <f t="shared" ref="O6:O9" si="7">SUM(INDIRECT($AF6),INDIRECT($AG6),INDIRECT($AH6))</f>
        <v>3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0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2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/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  <c r="AI6" s="136"/>
      <c r="AJ6" s="136"/>
      <c r="AK6" s="136"/>
      <c r="AL6" s="136"/>
      <c r="AM6" s="136"/>
      <c r="AN6" s="136"/>
      <c r="AO6" s="136"/>
      <c r="AP6" s="136"/>
      <c r="AQ6" s="136"/>
      <c r="AR6" s="136"/>
    </row>
    <row r="7" ht="12.75" customHeight="1">
      <c r="A7" s="136"/>
      <c r="B7" s="21" t="s">
        <v>41</v>
      </c>
      <c r="C7" s="22">
        <v>2.0</v>
      </c>
      <c r="D7" s="19" t="s">
        <v>31</v>
      </c>
      <c r="E7" s="23">
        <v>0.0</v>
      </c>
      <c r="F7" s="34" t="s">
        <v>32</v>
      </c>
      <c r="G7" s="59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9</v>
      </c>
      <c r="M7" s="19" t="str">
        <f t="shared" si="5"/>
        <v>4</v>
      </c>
      <c r="N7" s="19" t="str">
        <f t="shared" si="6"/>
        <v>5</v>
      </c>
      <c r="O7" s="19" t="str">
        <f t="shared" si="7"/>
        <v>1</v>
      </c>
      <c r="P7" s="19" t="str">
        <f t="shared" si="8"/>
        <v>3</v>
      </c>
      <c r="Q7" s="19" t="str">
        <f t="shared" si="9"/>
        <v>0</v>
      </c>
      <c r="R7" s="36" t="str">
        <f t="shared" si="10"/>
        <v>0</v>
      </c>
      <c r="S7" s="59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  <c r="AI7" s="136"/>
      <c r="AJ7" s="136"/>
      <c r="AK7" s="136"/>
      <c r="AL7" s="136"/>
      <c r="AM7" s="136"/>
      <c r="AN7" s="136"/>
      <c r="AO7" s="136"/>
      <c r="AP7" s="136"/>
      <c r="AQ7" s="136"/>
      <c r="AR7" s="136"/>
    </row>
    <row r="8" ht="12.75" customHeight="1">
      <c r="A8" s="136"/>
      <c r="B8" s="21" t="s">
        <v>30</v>
      </c>
      <c r="C8" s="22">
        <v>1.0</v>
      </c>
      <c r="D8" s="19" t="s">
        <v>31</v>
      </c>
      <c r="E8" s="23">
        <v>0.0</v>
      </c>
      <c r="F8" s="34" t="s">
        <v>40</v>
      </c>
      <c r="G8" s="59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4</v>
      </c>
      <c r="M8" s="19" t="str">
        <f t="shared" si="5"/>
        <v>0</v>
      </c>
      <c r="N8" s="19" t="str">
        <f t="shared" si="6"/>
        <v>3</v>
      </c>
      <c r="O8" s="19" t="str">
        <f t="shared" si="7"/>
        <v>3</v>
      </c>
      <c r="P8" s="19" t="str">
        <f t="shared" si="8"/>
        <v>1</v>
      </c>
      <c r="Q8" s="19" t="str">
        <f t="shared" si="9"/>
        <v>1</v>
      </c>
      <c r="R8" s="36" t="str">
        <f t="shared" si="10"/>
        <v>1</v>
      </c>
      <c r="S8" s="59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  <c r="AI8" s="136"/>
      <c r="AJ8" s="136"/>
      <c r="AK8" s="136"/>
      <c r="AL8" s="136"/>
      <c r="AM8" s="136"/>
      <c r="AN8" s="136"/>
      <c r="AO8" s="136"/>
      <c r="AP8" s="136"/>
      <c r="AQ8" s="136"/>
      <c r="AR8" s="136"/>
    </row>
    <row r="9" ht="12.75" customHeight="1">
      <c r="A9" s="136"/>
      <c r="B9" s="21" t="s">
        <v>32</v>
      </c>
      <c r="C9" s="22">
        <v>1.0</v>
      </c>
      <c r="D9" s="19" t="s">
        <v>31</v>
      </c>
      <c r="E9" s="23">
        <v>1.0</v>
      </c>
      <c r="F9" s="34" t="s">
        <v>40</v>
      </c>
      <c r="G9" s="59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1</v>
      </c>
      <c r="M9" s="38" t="str">
        <f t="shared" si="5"/>
        <v>-3</v>
      </c>
      <c r="N9" s="38" t="str">
        <f t="shared" si="6"/>
        <v>2</v>
      </c>
      <c r="O9" s="38" t="str">
        <f t="shared" si="7"/>
        <v>5</v>
      </c>
      <c r="P9" s="38" t="str">
        <f t="shared" si="8"/>
        <v>0</v>
      </c>
      <c r="Q9" s="38" t="str">
        <f t="shared" si="9"/>
        <v>1</v>
      </c>
      <c r="R9" s="39" t="str">
        <f t="shared" si="10"/>
        <v>2</v>
      </c>
      <c r="S9" s="59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  <c r="AI9" s="136"/>
      <c r="AJ9" s="136"/>
      <c r="AK9" s="136"/>
      <c r="AL9" s="136"/>
      <c r="AM9" s="136"/>
      <c r="AN9" s="136"/>
      <c r="AO9" s="136"/>
      <c r="AP9" s="136"/>
      <c r="AQ9" s="136"/>
      <c r="AR9" s="136"/>
    </row>
    <row r="10" ht="13.5" customHeight="1">
      <c r="A10" s="136"/>
      <c r="B10" s="40" t="s">
        <v>41</v>
      </c>
      <c r="C10" s="41">
        <v>0.0</v>
      </c>
      <c r="D10" s="38" t="s">
        <v>31</v>
      </c>
      <c r="E10" s="42">
        <v>2.0</v>
      </c>
      <c r="F10" s="43" t="s">
        <v>30</v>
      </c>
      <c r="G10" s="59"/>
      <c r="H10" s="44">
        <v>46197.0</v>
      </c>
      <c r="I10" s="45">
        <v>0.916666666666667</v>
      </c>
      <c r="J10" s="27"/>
      <c r="K10" s="31"/>
      <c r="L10" s="136"/>
      <c r="M10" s="136"/>
      <c r="N10" s="136"/>
      <c r="O10" s="136"/>
      <c r="P10" s="136"/>
      <c r="Q10" s="136"/>
      <c r="R10" s="136"/>
      <c r="S10" s="59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</row>
    <row r="11" ht="13.5" customHeight="1">
      <c r="A11" s="136"/>
      <c r="B11" s="4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136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</row>
    <row r="12" ht="13.5" customHeight="1">
      <c r="A12" s="136"/>
      <c r="B12" s="15" t="s">
        <v>54</v>
      </c>
      <c r="C12" s="9"/>
      <c r="D12" s="9"/>
      <c r="E12" s="9"/>
      <c r="F12" s="10"/>
      <c r="G12" s="59"/>
      <c r="H12" s="16" t="s">
        <v>28</v>
      </c>
      <c r="I12" s="17" t="s">
        <v>29</v>
      </c>
      <c r="J12" s="18"/>
      <c r="K12" s="59"/>
      <c r="L12" s="59"/>
      <c r="M12" s="59"/>
      <c r="N12" s="59"/>
      <c r="O12" s="59"/>
      <c r="P12" s="59"/>
      <c r="Q12" s="59"/>
      <c r="R12" s="59"/>
      <c r="S12" s="59"/>
      <c r="T12" s="136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</row>
    <row r="13" ht="13.5" customHeight="1">
      <c r="A13" s="136"/>
      <c r="B13" s="21" t="s">
        <v>55</v>
      </c>
      <c r="C13" s="22">
        <v>0.0</v>
      </c>
      <c r="D13" s="19" t="s">
        <v>31</v>
      </c>
      <c r="E13" s="23">
        <v>0.0</v>
      </c>
      <c r="F13" s="24" t="s">
        <v>56</v>
      </c>
      <c r="G13" s="59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2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2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</row>
    <row r="14" ht="13.5" customHeight="1">
      <c r="A14" s="136"/>
      <c r="B14" s="21" t="s">
        <v>57</v>
      </c>
      <c r="C14" s="22">
        <v>1.0</v>
      </c>
      <c r="D14" s="19" t="s">
        <v>31</v>
      </c>
      <c r="E14" s="23">
        <v>1.0</v>
      </c>
      <c r="F14" s="24" t="s">
        <v>58</v>
      </c>
      <c r="G14" s="59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5</v>
      </c>
      <c r="M14" s="19" t="str">
        <f t="shared" ref="M14:M17" si="18">N14-O14</f>
        <v>1</v>
      </c>
      <c r="N14" s="19" t="str">
        <f t="shared" ref="N14:N17" si="19">SUM(INDIRECT($AC14),INDIRECT($AD14),INDIRECT($AE14))</f>
        <v>1</v>
      </c>
      <c r="O14" s="19" t="str">
        <f t="shared" ref="O14:O17" si="20">SUM(INDIRECT($AF14),INDIRECT($AG14),INDIRECT($AH14))</f>
        <v>0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2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0</v>
      </c>
      <c r="S14" s="31"/>
      <c r="T14" s="32" t="str">
        <f t="shared" si="14"/>
        <v/>
      </c>
      <c r="U14" s="19" t="str">
        <f t="shared" si="15"/>
        <v>4</v>
      </c>
      <c r="Y14" s="33" t="str">
        <f>IF(AND(ISNUMBER(RESULTADOS!C14),ISNUMBER(RESULTADOS!E14),ISNUMBER(C14),ISNUMBER(E14),C14=RESULTADOS!C14,E14=RESULTADOS!E14),2,0)</f>
        <v>2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2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</row>
    <row r="15" ht="12.75" customHeight="1">
      <c r="A15" s="136"/>
      <c r="B15" s="21" t="s">
        <v>58</v>
      </c>
      <c r="C15" s="22">
        <v>0.0</v>
      </c>
      <c r="D15" s="19" t="s">
        <v>31</v>
      </c>
      <c r="E15" s="23">
        <v>0.0</v>
      </c>
      <c r="F15" s="24" t="s">
        <v>56</v>
      </c>
      <c r="G15" s="59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2</v>
      </c>
      <c r="M15" s="19" t="str">
        <f t="shared" si="18"/>
        <v>-1</v>
      </c>
      <c r="N15" s="19" t="str">
        <f t="shared" si="19"/>
        <v>2</v>
      </c>
      <c r="O15" s="19" t="str">
        <f t="shared" si="20"/>
        <v>3</v>
      </c>
      <c r="P15" s="19" t="str">
        <f t="shared" si="21"/>
        <v>0</v>
      </c>
      <c r="Q15" s="19" t="str">
        <f t="shared" si="22"/>
        <v>2</v>
      </c>
      <c r="R15" s="36" t="str">
        <f t="shared" si="23"/>
        <v>1</v>
      </c>
      <c r="S15" s="59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</row>
    <row r="16" ht="12.75" customHeight="1">
      <c r="A16" s="136"/>
      <c r="B16" s="21" t="s">
        <v>55</v>
      </c>
      <c r="C16" s="22">
        <v>0.0</v>
      </c>
      <c r="D16" s="19" t="s">
        <v>31</v>
      </c>
      <c r="E16" s="23">
        <v>1.0</v>
      </c>
      <c r="F16" s="24" t="s">
        <v>57</v>
      </c>
      <c r="G16" s="59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4</v>
      </c>
      <c r="M16" s="19" t="str">
        <f t="shared" si="18"/>
        <v>0</v>
      </c>
      <c r="N16" s="19" t="str">
        <f t="shared" si="19"/>
        <v>2</v>
      </c>
      <c r="O16" s="19" t="str">
        <f t="shared" si="20"/>
        <v>2</v>
      </c>
      <c r="P16" s="19" t="str">
        <f t="shared" si="21"/>
        <v>1</v>
      </c>
      <c r="Q16" s="19" t="str">
        <f t="shared" si="22"/>
        <v>1</v>
      </c>
      <c r="R16" s="36" t="str">
        <f t="shared" si="23"/>
        <v>1</v>
      </c>
      <c r="S16" s="59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</row>
    <row r="17" ht="12.75" customHeight="1">
      <c r="A17" s="136"/>
      <c r="B17" s="21" t="s">
        <v>58</v>
      </c>
      <c r="C17" s="22">
        <v>2.0</v>
      </c>
      <c r="D17" s="19" t="s">
        <v>31</v>
      </c>
      <c r="E17" s="23">
        <v>2.0</v>
      </c>
      <c r="F17" s="24" t="s">
        <v>55</v>
      </c>
      <c r="G17" s="59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3</v>
      </c>
      <c r="M17" s="38" t="str">
        <f t="shared" si="18"/>
        <v>0</v>
      </c>
      <c r="N17" s="38" t="str">
        <f t="shared" si="19"/>
        <v>3</v>
      </c>
      <c r="O17" s="38" t="str">
        <f t="shared" si="20"/>
        <v>3</v>
      </c>
      <c r="P17" s="38" t="str">
        <f t="shared" si="21"/>
        <v>0</v>
      </c>
      <c r="Q17" s="38" t="str">
        <f t="shared" si="22"/>
        <v>3</v>
      </c>
      <c r="R17" s="39" t="str">
        <f t="shared" si="23"/>
        <v>0</v>
      </c>
      <c r="S17" s="59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</row>
    <row r="18" ht="13.5" customHeight="1">
      <c r="A18" s="136"/>
      <c r="B18" s="40" t="s">
        <v>56</v>
      </c>
      <c r="C18" s="41">
        <v>1.0</v>
      </c>
      <c r="D18" s="38" t="s">
        <v>31</v>
      </c>
      <c r="E18" s="42">
        <v>0.0</v>
      </c>
      <c r="F18" s="48" t="s">
        <v>57</v>
      </c>
      <c r="G18" s="59"/>
      <c r="H18" s="44">
        <v>46197.0</v>
      </c>
      <c r="I18" s="45">
        <v>0.666666666666667</v>
      </c>
      <c r="J18" s="27"/>
      <c r="K18" s="31"/>
      <c r="L18" s="136"/>
      <c r="M18" s="136"/>
      <c r="N18" s="136"/>
      <c r="O18" s="136"/>
      <c r="P18" s="136"/>
      <c r="Q18" s="136"/>
      <c r="R18" s="136"/>
      <c r="S18" s="59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</row>
    <row r="19" ht="13.5" customHeight="1">
      <c r="A19" s="136"/>
      <c r="B19" s="4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136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</row>
    <row r="20" ht="13.5" customHeight="1">
      <c r="A20" s="136"/>
      <c r="B20" s="15" t="s">
        <v>71</v>
      </c>
      <c r="C20" s="9"/>
      <c r="D20" s="9"/>
      <c r="E20" s="9"/>
      <c r="F20" s="10"/>
      <c r="G20" s="59"/>
      <c r="H20" s="16" t="s">
        <v>28</v>
      </c>
      <c r="I20" s="17" t="s">
        <v>29</v>
      </c>
      <c r="J20" s="18"/>
      <c r="K20" s="59"/>
      <c r="L20" s="59"/>
      <c r="M20" s="59"/>
      <c r="N20" s="59"/>
      <c r="O20" s="59"/>
      <c r="P20" s="59"/>
      <c r="Q20" s="59"/>
      <c r="R20" s="59"/>
      <c r="S20" s="59"/>
      <c r="T20" s="136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</row>
    <row r="21" ht="13.5" customHeight="1">
      <c r="A21" s="136"/>
      <c r="B21" s="21" t="s">
        <v>72</v>
      </c>
      <c r="C21" s="22">
        <v>2.0</v>
      </c>
      <c r="D21" s="19" t="s">
        <v>31</v>
      </c>
      <c r="E21" s="23">
        <v>0.0</v>
      </c>
      <c r="F21" s="24" t="s">
        <v>73</v>
      </c>
      <c r="G21" s="59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</row>
    <row r="22" ht="13.5" customHeight="1">
      <c r="A22" s="136"/>
      <c r="B22" s="21" t="s">
        <v>74</v>
      </c>
      <c r="C22" s="22">
        <v>0.0</v>
      </c>
      <c r="D22" s="19" t="s">
        <v>31</v>
      </c>
      <c r="E22" s="23">
        <v>1.0</v>
      </c>
      <c r="F22" s="24" t="s">
        <v>75</v>
      </c>
      <c r="G22" s="59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8</v>
      </c>
      <c r="N22" s="19" t="str">
        <f t="shared" ref="N22:N25" si="32">SUM(INDIRECT($AC22),INDIRECT($AD22),INDIRECT($AE22))</f>
        <v>8</v>
      </c>
      <c r="O22" s="19" t="str">
        <f t="shared" ref="O22:O25" si="33">SUM(INDIRECT($AF22),INDIRECT($AG22),INDIRECT($AH22))</f>
        <v>0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4</v>
      </c>
      <c r="Y22" s="33" t="str">
        <f>IF(AND(ISNUMBER(RESULTADOS!C22),ISNUMBER(RESULTADOS!E22),ISNUMBER(C22),ISNUMBER(E22),C22=RESULTADOS!C22,E22=RESULTADOS!E22),2,0)</f>
        <v>2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1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</row>
    <row r="23" ht="12.75" customHeight="1">
      <c r="A23" s="136"/>
      <c r="B23" s="21" t="s">
        <v>75</v>
      </c>
      <c r="C23" s="22">
        <v>0.0</v>
      </c>
      <c r="D23" s="19" t="s">
        <v>31</v>
      </c>
      <c r="E23" s="23">
        <v>2.0</v>
      </c>
      <c r="F23" s="24" t="s">
        <v>73</v>
      </c>
      <c r="G23" s="59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-3</v>
      </c>
      <c r="N23" s="19" t="str">
        <f t="shared" si="32"/>
        <v>1</v>
      </c>
      <c r="O23" s="19" t="str">
        <f t="shared" si="33"/>
        <v>4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59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</row>
    <row r="24" ht="12.75" customHeight="1">
      <c r="A24" s="136"/>
      <c r="B24" s="21" t="s">
        <v>72</v>
      </c>
      <c r="C24" s="22">
        <v>4.0</v>
      </c>
      <c r="D24" s="19" t="s">
        <v>31</v>
      </c>
      <c r="E24" s="23">
        <v>0.0</v>
      </c>
      <c r="F24" s="24" t="s">
        <v>74</v>
      </c>
      <c r="G24" s="59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-8</v>
      </c>
      <c r="N24" s="19" t="str">
        <f t="shared" si="32"/>
        <v>0</v>
      </c>
      <c r="O24" s="19" t="str">
        <f t="shared" si="33"/>
        <v>8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59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</row>
    <row r="25" ht="12.75" customHeight="1">
      <c r="A25" s="136"/>
      <c r="B25" s="21" t="s">
        <v>73</v>
      </c>
      <c r="C25" s="22">
        <v>3.0</v>
      </c>
      <c r="D25" s="19" t="s">
        <v>31</v>
      </c>
      <c r="E25" s="23">
        <v>0.0</v>
      </c>
      <c r="F25" s="24" t="s">
        <v>74</v>
      </c>
      <c r="G25" s="59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3</v>
      </c>
      <c r="N25" s="38" t="str">
        <f t="shared" si="32"/>
        <v>5</v>
      </c>
      <c r="O25" s="38" t="str">
        <f t="shared" si="33"/>
        <v>2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59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</row>
    <row r="26" ht="13.5" customHeight="1">
      <c r="A26" s="136"/>
      <c r="B26" s="40" t="s">
        <v>75</v>
      </c>
      <c r="C26" s="41">
        <v>0.0</v>
      </c>
      <c r="D26" s="38" t="s">
        <v>31</v>
      </c>
      <c r="E26" s="42">
        <v>2.0</v>
      </c>
      <c r="F26" s="48" t="s">
        <v>72</v>
      </c>
      <c r="G26" s="59"/>
      <c r="H26" s="44">
        <v>46197.0</v>
      </c>
      <c r="I26" s="45">
        <v>0.791666666666667</v>
      </c>
      <c r="J26" s="27"/>
      <c r="K26" s="46"/>
      <c r="L26" s="136"/>
      <c r="M26" s="136"/>
      <c r="N26" s="136"/>
      <c r="O26" s="136"/>
      <c r="P26" s="136"/>
      <c r="Q26" s="136"/>
      <c r="R26" s="136"/>
      <c r="S26" s="59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</row>
    <row r="27" ht="13.5" customHeight="1">
      <c r="A27" s="136"/>
      <c r="B27" s="4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136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</row>
    <row r="28" ht="13.5" customHeight="1">
      <c r="A28" s="136"/>
      <c r="B28" s="15" t="s">
        <v>88</v>
      </c>
      <c r="C28" s="9"/>
      <c r="D28" s="9"/>
      <c r="E28" s="9"/>
      <c r="F28" s="10"/>
      <c r="G28" s="59"/>
      <c r="H28" s="16" t="s">
        <v>28</v>
      </c>
      <c r="I28" s="17" t="s">
        <v>29</v>
      </c>
      <c r="J28" s="18"/>
      <c r="K28" s="59"/>
      <c r="L28" s="59"/>
      <c r="M28" s="59"/>
      <c r="N28" s="59"/>
      <c r="O28" s="59"/>
      <c r="P28" s="59"/>
      <c r="Q28" s="59"/>
      <c r="R28" s="59"/>
      <c r="S28" s="59"/>
      <c r="T28" s="136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</row>
    <row r="29" ht="13.5" customHeight="1">
      <c r="A29" s="136"/>
      <c r="B29" s="21" t="s">
        <v>89</v>
      </c>
      <c r="C29" s="22">
        <v>2.0</v>
      </c>
      <c r="D29" s="19" t="s">
        <v>31</v>
      </c>
      <c r="E29" s="23">
        <v>1.0</v>
      </c>
      <c r="F29" s="24" t="s">
        <v>90</v>
      </c>
      <c r="G29" s="59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2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1</v>
      </c>
      <c r="AA29" s="33" t="str">
        <f>IF(AND(ISNUMBER(RESULTADOS!C29),ISNUMBER(RESULTADOS!E29),ISNUMBER(C29),ISNUMBER(E29),AND(Z29=1,OR(C29=RESULTADOS!C29,E29=RESULTADOS!E29))),1,0)</f>
        <v>1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</row>
    <row r="30" ht="13.5" customHeight="1">
      <c r="A30" s="136"/>
      <c r="B30" s="21" t="s">
        <v>91</v>
      </c>
      <c r="C30" s="22">
        <v>0.0</v>
      </c>
      <c r="D30" s="19" t="s">
        <v>31</v>
      </c>
      <c r="E30" s="23">
        <v>0.0</v>
      </c>
      <c r="F30" s="24" t="s">
        <v>92</v>
      </c>
      <c r="G30" s="59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2</v>
      </c>
      <c r="M30" s="19" t="str">
        <f t="shared" ref="M30:M33" si="44">N30-O30</f>
        <v>-1</v>
      </c>
      <c r="N30" s="19" t="str">
        <f t="shared" ref="N30:N33" si="45">SUM(INDIRECT($AC30),INDIRECT($AD30),INDIRECT($AE30))</f>
        <v>2</v>
      </c>
      <c r="O30" s="19" t="str">
        <f t="shared" ref="O30:O33" si="46">SUM(INDIRECT($AF30),INDIRECT($AG30),INDIRECT($AH30))</f>
        <v>3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2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1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</row>
    <row r="31" ht="12.75" customHeight="1">
      <c r="A31" s="136"/>
      <c r="B31" s="21" t="s">
        <v>89</v>
      </c>
      <c r="C31" s="22">
        <v>2.0</v>
      </c>
      <c r="D31" s="19" t="s">
        <v>31</v>
      </c>
      <c r="E31" s="23">
        <v>1.0</v>
      </c>
      <c r="F31" s="24" t="s">
        <v>91</v>
      </c>
      <c r="G31" s="59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9</v>
      </c>
      <c r="M31" s="19" t="str">
        <f t="shared" si="44"/>
        <v>4</v>
      </c>
      <c r="N31" s="19" t="str">
        <f t="shared" si="45"/>
        <v>6</v>
      </c>
      <c r="O31" s="19" t="str">
        <f t="shared" si="46"/>
        <v>2</v>
      </c>
      <c r="P31" s="19" t="str">
        <f t="shared" si="47"/>
        <v>3</v>
      </c>
      <c r="Q31" s="19" t="str">
        <f t="shared" si="48"/>
        <v>0</v>
      </c>
      <c r="R31" s="36" t="str">
        <f t="shared" si="49"/>
        <v>0</v>
      </c>
      <c r="S31" s="59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</row>
    <row r="32" ht="12.75" customHeight="1">
      <c r="A32" s="136"/>
      <c r="B32" s="21" t="s">
        <v>92</v>
      </c>
      <c r="C32" s="22">
        <v>0.0</v>
      </c>
      <c r="D32" s="19" t="s">
        <v>31</v>
      </c>
      <c r="E32" s="23">
        <v>1.0</v>
      </c>
      <c r="F32" s="24" t="s">
        <v>90</v>
      </c>
      <c r="G32" s="59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4</v>
      </c>
      <c r="M32" s="19" t="str">
        <f t="shared" si="44"/>
        <v>0</v>
      </c>
      <c r="N32" s="19" t="str">
        <f t="shared" si="45"/>
        <v>3</v>
      </c>
      <c r="O32" s="19" t="str">
        <f t="shared" si="46"/>
        <v>3</v>
      </c>
      <c r="P32" s="19" t="str">
        <f t="shared" si="47"/>
        <v>1</v>
      </c>
      <c r="Q32" s="19" t="str">
        <f t="shared" si="48"/>
        <v>1</v>
      </c>
      <c r="R32" s="36" t="str">
        <f t="shared" si="49"/>
        <v>1</v>
      </c>
      <c r="S32" s="59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</row>
    <row r="33" ht="12.75" customHeight="1">
      <c r="A33" s="136"/>
      <c r="B33" s="21" t="s">
        <v>92</v>
      </c>
      <c r="C33" s="22">
        <v>0.0</v>
      </c>
      <c r="D33" s="19" t="s">
        <v>31</v>
      </c>
      <c r="E33" s="23">
        <v>2.0</v>
      </c>
      <c r="F33" s="24" t="s">
        <v>89</v>
      </c>
      <c r="G33" s="59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1</v>
      </c>
      <c r="M33" s="38" t="str">
        <f t="shared" si="44"/>
        <v>-3</v>
      </c>
      <c r="N33" s="38" t="str">
        <f t="shared" si="45"/>
        <v>0</v>
      </c>
      <c r="O33" s="38" t="str">
        <f t="shared" si="46"/>
        <v>3</v>
      </c>
      <c r="P33" s="38" t="str">
        <f t="shared" si="47"/>
        <v>0</v>
      </c>
      <c r="Q33" s="38" t="str">
        <f t="shared" si="48"/>
        <v>1</v>
      </c>
      <c r="R33" s="39" t="str">
        <f t="shared" si="49"/>
        <v>2</v>
      </c>
      <c r="S33" s="59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</row>
    <row r="34" ht="13.5" customHeight="1">
      <c r="A34" s="136"/>
      <c r="B34" s="40" t="s">
        <v>90</v>
      </c>
      <c r="C34" s="41">
        <v>1.0</v>
      </c>
      <c r="D34" s="38" t="s">
        <v>31</v>
      </c>
      <c r="E34" s="42">
        <v>1.0</v>
      </c>
      <c r="F34" s="48" t="s">
        <v>91</v>
      </c>
      <c r="G34" s="59"/>
      <c r="H34" s="44">
        <v>46198.0</v>
      </c>
      <c r="I34" s="45">
        <v>0.958333333333333</v>
      </c>
      <c r="J34" s="27"/>
      <c r="K34" s="46"/>
      <c r="L34" s="136"/>
      <c r="M34" s="136"/>
      <c r="N34" s="136"/>
      <c r="O34" s="136"/>
      <c r="P34" s="136"/>
      <c r="Q34" s="136"/>
      <c r="R34" s="136"/>
      <c r="S34" s="59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</row>
    <row r="35" ht="13.5" customHeight="1">
      <c r="A35" s="136"/>
      <c r="B35" s="4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136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</row>
    <row r="36" ht="13.5" customHeight="1">
      <c r="A36" s="136"/>
      <c r="B36" s="15" t="s">
        <v>104</v>
      </c>
      <c r="C36" s="9"/>
      <c r="D36" s="9"/>
      <c r="E36" s="9"/>
      <c r="F36" s="10"/>
      <c r="G36" s="59"/>
      <c r="H36" s="16" t="s">
        <v>28</v>
      </c>
      <c r="I36" s="17" t="s">
        <v>29</v>
      </c>
      <c r="J36" s="18"/>
      <c r="K36" s="59"/>
      <c r="L36" s="59"/>
      <c r="M36" s="59"/>
      <c r="N36" s="59"/>
      <c r="O36" s="59"/>
      <c r="P36" s="59"/>
      <c r="Q36" s="59"/>
      <c r="R36" s="59"/>
      <c r="S36" s="59"/>
      <c r="T36" s="136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</row>
    <row r="37" ht="13.5" customHeight="1">
      <c r="A37" s="136"/>
      <c r="B37" s="21" t="s">
        <v>105</v>
      </c>
      <c r="C37" s="22">
        <v>3.0</v>
      </c>
      <c r="D37" s="19" t="s">
        <v>31</v>
      </c>
      <c r="E37" s="23">
        <v>0.0</v>
      </c>
      <c r="F37" s="34" t="s">
        <v>106</v>
      </c>
      <c r="G37" s="59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</row>
    <row r="38" ht="13.5" customHeight="1">
      <c r="A38" s="136"/>
      <c r="B38" s="21" t="s">
        <v>107</v>
      </c>
      <c r="C38" s="22">
        <v>0.0</v>
      </c>
      <c r="D38" s="19" t="s">
        <v>31</v>
      </c>
      <c r="E38" s="23">
        <v>2.0</v>
      </c>
      <c r="F38" s="34" t="s">
        <v>108</v>
      </c>
      <c r="G38" s="59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9</v>
      </c>
      <c r="M38" s="19" t="str">
        <f t="shared" ref="M38:M41" si="57">N38-O38</f>
        <v>6</v>
      </c>
      <c r="N38" s="19" t="str">
        <f t="shared" ref="N38:N41" si="58">SUM(INDIRECT($AC38),INDIRECT($AD38),INDIRECT($AE38))</f>
        <v>8</v>
      </c>
      <c r="O38" s="19" t="str">
        <f t="shared" ref="O38:O41" si="59">SUM(INDIRECT($AF38),INDIRECT($AG38),INDIRECT($AH38))</f>
        <v>2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3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</row>
    <row r="39" ht="12.75" customHeight="1">
      <c r="A39" s="136"/>
      <c r="B39" s="21" t="s">
        <v>105</v>
      </c>
      <c r="C39" s="22">
        <v>3.0</v>
      </c>
      <c r="D39" s="19" t="s">
        <v>31</v>
      </c>
      <c r="E39" s="23">
        <v>1.0</v>
      </c>
      <c r="F39" s="34" t="s">
        <v>107</v>
      </c>
      <c r="G39" s="59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1</v>
      </c>
      <c r="M39" s="19" t="str">
        <f t="shared" si="57"/>
        <v>-4</v>
      </c>
      <c r="N39" s="19" t="str">
        <f t="shared" si="58"/>
        <v>1</v>
      </c>
      <c r="O39" s="19" t="str">
        <f t="shared" si="59"/>
        <v>5</v>
      </c>
      <c r="P39" s="19" t="str">
        <f t="shared" si="60"/>
        <v>0</v>
      </c>
      <c r="Q39" s="19" t="str">
        <f t="shared" si="61"/>
        <v>1</v>
      </c>
      <c r="R39" s="36" t="str">
        <f t="shared" si="62"/>
        <v>2</v>
      </c>
      <c r="S39" s="59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</row>
    <row r="40" ht="12.75" customHeight="1">
      <c r="A40" s="136"/>
      <c r="B40" s="21" t="s">
        <v>108</v>
      </c>
      <c r="C40" s="22">
        <v>2.0</v>
      </c>
      <c r="D40" s="19" t="s">
        <v>31</v>
      </c>
      <c r="E40" s="23">
        <v>0.0</v>
      </c>
      <c r="F40" s="34" t="s">
        <v>106</v>
      </c>
      <c r="G40" s="59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1</v>
      </c>
      <c r="M40" s="19" t="str">
        <f t="shared" si="57"/>
        <v>-5</v>
      </c>
      <c r="N40" s="19" t="str">
        <f t="shared" si="58"/>
        <v>0</v>
      </c>
      <c r="O40" s="19" t="str">
        <f t="shared" si="59"/>
        <v>5</v>
      </c>
      <c r="P40" s="19" t="str">
        <f t="shared" si="60"/>
        <v>0</v>
      </c>
      <c r="Q40" s="19" t="str">
        <f t="shared" si="61"/>
        <v>1</v>
      </c>
      <c r="R40" s="36" t="str">
        <f t="shared" si="62"/>
        <v>2</v>
      </c>
      <c r="S40" s="59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</row>
    <row r="41" ht="12.75" customHeight="1">
      <c r="A41" s="136"/>
      <c r="B41" s="21" t="s">
        <v>108</v>
      </c>
      <c r="C41" s="22">
        <v>1.0</v>
      </c>
      <c r="D41" s="19" t="s">
        <v>31</v>
      </c>
      <c r="E41" s="23">
        <v>2.0</v>
      </c>
      <c r="F41" s="34" t="s">
        <v>105</v>
      </c>
      <c r="G41" s="59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6</v>
      </c>
      <c r="M41" s="38" t="str">
        <f t="shared" si="57"/>
        <v>3</v>
      </c>
      <c r="N41" s="38" t="str">
        <f t="shared" si="58"/>
        <v>5</v>
      </c>
      <c r="O41" s="38" t="str">
        <f t="shared" si="59"/>
        <v>2</v>
      </c>
      <c r="P41" s="38" t="str">
        <f t="shared" si="60"/>
        <v>2</v>
      </c>
      <c r="Q41" s="38" t="str">
        <f t="shared" si="61"/>
        <v>0</v>
      </c>
      <c r="R41" s="39" t="str">
        <f t="shared" si="62"/>
        <v>1</v>
      </c>
      <c r="S41" s="59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</row>
    <row r="42" ht="13.5" customHeight="1">
      <c r="A42" s="136"/>
      <c r="B42" s="40" t="s">
        <v>106</v>
      </c>
      <c r="C42" s="41">
        <v>0.0</v>
      </c>
      <c r="D42" s="38" t="s">
        <v>31</v>
      </c>
      <c r="E42" s="42">
        <v>0.0</v>
      </c>
      <c r="F42" s="43" t="s">
        <v>107</v>
      </c>
      <c r="G42" s="59"/>
      <c r="H42" s="44">
        <v>46198.0</v>
      </c>
      <c r="I42" s="45">
        <v>0.708333333333333</v>
      </c>
      <c r="J42" s="27"/>
      <c r="K42" s="46"/>
      <c r="L42" s="136"/>
      <c r="M42" s="136"/>
      <c r="N42" s="136"/>
      <c r="O42" s="136"/>
      <c r="P42" s="136"/>
      <c r="Q42" s="136"/>
      <c r="R42" s="136"/>
      <c r="S42" s="59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</row>
    <row r="43" ht="13.5" customHeight="1">
      <c r="A43" s="136"/>
      <c r="B43" s="4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136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</row>
    <row r="44" ht="13.5" customHeight="1">
      <c r="A44" s="136"/>
      <c r="B44" s="15" t="s">
        <v>121</v>
      </c>
      <c r="C44" s="9"/>
      <c r="D44" s="9"/>
      <c r="E44" s="9"/>
      <c r="F44" s="10"/>
      <c r="G44" s="59"/>
      <c r="H44" s="16" t="s">
        <v>28</v>
      </c>
      <c r="I44" s="17" t="s">
        <v>29</v>
      </c>
      <c r="J44" s="18"/>
      <c r="K44" s="59"/>
      <c r="L44" s="59"/>
      <c r="M44" s="59"/>
      <c r="N44" s="59"/>
      <c r="O44" s="59"/>
      <c r="P44" s="59"/>
      <c r="Q44" s="59"/>
      <c r="R44" s="59"/>
      <c r="S44" s="59"/>
      <c r="T44" s="136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</row>
    <row r="45" ht="13.5" customHeight="1">
      <c r="A45" s="136"/>
      <c r="B45" s="21" t="s">
        <v>122</v>
      </c>
      <c r="C45" s="22">
        <v>2.0</v>
      </c>
      <c r="D45" s="19" t="s">
        <v>31</v>
      </c>
      <c r="E45" s="23">
        <v>1.0</v>
      </c>
      <c r="F45" s="34" t="s">
        <v>123</v>
      </c>
      <c r="G45" s="59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</row>
    <row r="46" ht="13.5" customHeight="1">
      <c r="A46" s="136"/>
      <c r="B46" s="21" t="s">
        <v>124</v>
      </c>
      <c r="C46" s="22">
        <v>3.0</v>
      </c>
      <c r="D46" s="19" t="s">
        <v>31</v>
      </c>
      <c r="E46" s="23">
        <v>1.0</v>
      </c>
      <c r="F46" s="34" t="s">
        <v>125</v>
      </c>
      <c r="G46" s="59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9</v>
      </c>
      <c r="M46" s="19" t="str">
        <f t="shared" ref="M46:M49" si="70">N46-O46</f>
        <v>5</v>
      </c>
      <c r="N46" s="19" t="str">
        <f t="shared" ref="N46:N49" si="71">SUM(INDIRECT($AC46),INDIRECT($AD46),INDIRECT($AE46))</f>
        <v>6</v>
      </c>
      <c r="O46" s="19" t="str">
        <f t="shared" ref="O46:O49" si="72">SUM(INDIRECT($AF46),INDIRECT($AG46),INDIRECT($AH46))</f>
        <v>1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3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2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1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</row>
    <row r="47" ht="12.75" customHeight="1">
      <c r="A47" s="136"/>
      <c r="B47" s="21" t="s">
        <v>122</v>
      </c>
      <c r="C47" s="22">
        <v>1.0</v>
      </c>
      <c r="D47" s="19" t="s">
        <v>31</v>
      </c>
      <c r="E47" s="23">
        <v>0.0</v>
      </c>
      <c r="F47" s="34" t="s">
        <v>124</v>
      </c>
      <c r="G47" s="59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4</v>
      </c>
      <c r="M47" s="19" t="str">
        <f t="shared" si="70"/>
        <v>1</v>
      </c>
      <c r="N47" s="19" t="str">
        <f t="shared" si="71"/>
        <v>4</v>
      </c>
      <c r="O47" s="19" t="str">
        <f t="shared" si="72"/>
        <v>3</v>
      </c>
      <c r="P47" s="19" t="str">
        <f t="shared" si="73"/>
        <v>1</v>
      </c>
      <c r="Q47" s="19" t="str">
        <f t="shared" si="74"/>
        <v>1</v>
      </c>
      <c r="R47" s="36" t="str">
        <f t="shared" si="75"/>
        <v>1</v>
      </c>
      <c r="S47" s="59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</row>
    <row r="48" ht="12.75" customHeight="1">
      <c r="A48" s="136"/>
      <c r="B48" s="21" t="s">
        <v>125</v>
      </c>
      <c r="C48" s="22">
        <v>0.0</v>
      </c>
      <c r="D48" s="19" t="s">
        <v>31</v>
      </c>
      <c r="E48" s="23">
        <v>2.0</v>
      </c>
      <c r="F48" s="34" t="s">
        <v>123</v>
      </c>
      <c r="G48" s="59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4</v>
      </c>
      <c r="M48" s="19" t="str">
        <f t="shared" si="70"/>
        <v>1</v>
      </c>
      <c r="N48" s="19" t="str">
        <f t="shared" si="71"/>
        <v>4</v>
      </c>
      <c r="O48" s="19" t="str">
        <f t="shared" si="72"/>
        <v>3</v>
      </c>
      <c r="P48" s="19" t="str">
        <f t="shared" si="73"/>
        <v>1</v>
      </c>
      <c r="Q48" s="19" t="str">
        <f t="shared" si="74"/>
        <v>1</v>
      </c>
      <c r="R48" s="36" t="str">
        <f t="shared" si="75"/>
        <v>1</v>
      </c>
      <c r="S48" s="59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</row>
    <row r="49" ht="12.75" customHeight="1">
      <c r="A49" s="136"/>
      <c r="B49" s="21" t="s">
        <v>125</v>
      </c>
      <c r="C49" s="22">
        <v>0.0</v>
      </c>
      <c r="D49" s="19" t="s">
        <v>31</v>
      </c>
      <c r="E49" s="23">
        <v>3.0</v>
      </c>
      <c r="F49" s="34" t="s">
        <v>122</v>
      </c>
      <c r="G49" s="59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-7</v>
      </c>
      <c r="N49" s="38" t="str">
        <f t="shared" si="71"/>
        <v>1</v>
      </c>
      <c r="O49" s="38" t="str">
        <f t="shared" si="72"/>
        <v>8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59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</row>
    <row r="50" ht="13.5" customHeight="1">
      <c r="A50" s="136"/>
      <c r="B50" s="40" t="s">
        <v>123</v>
      </c>
      <c r="C50" s="41">
        <v>1.0</v>
      </c>
      <c r="D50" s="38" t="s">
        <v>31</v>
      </c>
      <c r="E50" s="42">
        <v>1.0</v>
      </c>
      <c r="F50" s="43" t="s">
        <v>124</v>
      </c>
      <c r="G50" s="59"/>
      <c r="H50" s="44">
        <v>46198.0</v>
      </c>
      <c r="I50" s="45">
        <v>0.833333333333333</v>
      </c>
      <c r="J50" s="27"/>
      <c r="K50" s="46"/>
      <c r="L50" s="136"/>
      <c r="M50" s="136"/>
      <c r="N50" s="136"/>
      <c r="O50" s="136"/>
      <c r="P50" s="136"/>
      <c r="Q50" s="136"/>
      <c r="R50" s="136"/>
      <c r="S50" s="59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</row>
    <row r="51" ht="13.5" customHeight="1">
      <c r="A51" s="136"/>
      <c r="B51" s="4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136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</row>
    <row r="52" ht="13.5" customHeight="1">
      <c r="A52" s="136"/>
      <c r="B52" s="15" t="s">
        <v>138</v>
      </c>
      <c r="C52" s="9"/>
      <c r="D52" s="9"/>
      <c r="E52" s="9"/>
      <c r="F52" s="10"/>
      <c r="G52" s="59"/>
      <c r="H52" s="16" t="s">
        <v>28</v>
      </c>
      <c r="I52" s="17" t="s">
        <v>29</v>
      </c>
      <c r="J52" s="18"/>
      <c r="K52" s="59"/>
      <c r="L52" s="59"/>
      <c r="M52" s="59"/>
      <c r="N52" s="59"/>
      <c r="O52" s="59"/>
      <c r="P52" s="59"/>
      <c r="Q52" s="59"/>
      <c r="R52" s="59"/>
      <c r="S52" s="59"/>
      <c r="T52" s="136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</row>
    <row r="53" ht="13.5" customHeight="1">
      <c r="A53" s="136"/>
      <c r="B53" s="21" t="s">
        <v>139</v>
      </c>
      <c r="C53" s="22">
        <v>3.0</v>
      </c>
      <c r="D53" s="19" t="s">
        <v>31</v>
      </c>
      <c r="E53" s="23">
        <v>0.0</v>
      </c>
      <c r="F53" s="34" t="s">
        <v>140</v>
      </c>
      <c r="G53" s="59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</row>
    <row r="54" ht="13.5" customHeight="1">
      <c r="A54" s="136"/>
      <c r="B54" s="21" t="s">
        <v>141</v>
      </c>
      <c r="C54" s="22">
        <v>1.0</v>
      </c>
      <c r="D54" s="19" t="s">
        <v>31</v>
      </c>
      <c r="E54" s="23">
        <v>1.0</v>
      </c>
      <c r="F54" s="34" t="s">
        <v>142</v>
      </c>
      <c r="G54" s="59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9</v>
      </c>
      <c r="M54" s="19" t="str">
        <f t="shared" ref="M54:M57" si="83">N54-O54</f>
        <v>6</v>
      </c>
      <c r="N54" s="19" t="str">
        <f t="shared" ref="N54:N57" si="84">SUM(INDIRECT($AC54),INDIRECT($AD54),INDIRECT($AE54))</f>
        <v>7</v>
      </c>
      <c r="O54" s="19" t="str">
        <f t="shared" ref="O54:O57" si="85">SUM(INDIRECT($AF54),INDIRECT($AG54),INDIRECT($AH54))</f>
        <v>1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3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2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2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</row>
    <row r="55" ht="12.75" customHeight="1">
      <c r="A55" s="136"/>
      <c r="B55" s="21" t="s">
        <v>139</v>
      </c>
      <c r="C55" s="22">
        <v>2.0</v>
      </c>
      <c r="D55" s="19" t="s">
        <v>31</v>
      </c>
      <c r="E55" s="23">
        <v>1.0</v>
      </c>
      <c r="F55" s="34" t="s">
        <v>141</v>
      </c>
      <c r="G55" s="59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4</v>
      </c>
      <c r="M55" s="19" t="str">
        <f t="shared" si="83"/>
        <v>-2</v>
      </c>
      <c r="N55" s="19" t="str">
        <f t="shared" si="84"/>
        <v>3</v>
      </c>
      <c r="O55" s="19" t="str">
        <f t="shared" si="85"/>
        <v>5</v>
      </c>
      <c r="P55" s="19" t="str">
        <f t="shared" si="86"/>
        <v>1</v>
      </c>
      <c r="Q55" s="19" t="str">
        <f t="shared" si="87"/>
        <v>1</v>
      </c>
      <c r="R55" s="36" t="str">
        <f t="shared" si="88"/>
        <v>1</v>
      </c>
      <c r="S55" s="59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</row>
    <row r="56" ht="12.75" customHeight="1">
      <c r="A56" s="136"/>
      <c r="B56" s="21" t="s">
        <v>142</v>
      </c>
      <c r="C56" s="22">
        <v>1.0</v>
      </c>
      <c r="D56" s="19" t="s">
        <v>31</v>
      </c>
      <c r="E56" s="23">
        <v>1.0</v>
      </c>
      <c r="F56" s="34" t="s">
        <v>140</v>
      </c>
      <c r="G56" s="59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1</v>
      </c>
      <c r="M56" s="19" t="str">
        <f t="shared" si="83"/>
        <v>-2</v>
      </c>
      <c r="N56" s="19" t="str">
        <f t="shared" si="84"/>
        <v>3</v>
      </c>
      <c r="O56" s="19" t="str">
        <f t="shared" si="85"/>
        <v>5</v>
      </c>
      <c r="P56" s="19" t="str">
        <f t="shared" si="86"/>
        <v>0</v>
      </c>
      <c r="Q56" s="19" t="str">
        <f t="shared" si="87"/>
        <v>1</v>
      </c>
      <c r="R56" s="36" t="str">
        <f t="shared" si="88"/>
        <v>2</v>
      </c>
      <c r="S56" s="59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</row>
    <row r="57" ht="12.75" customHeight="1">
      <c r="A57" s="136"/>
      <c r="B57" s="21" t="s">
        <v>140</v>
      </c>
      <c r="C57" s="22">
        <v>2.0</v>
      </c>
      <c r="D57" s="19" t="s">
        <v>31</v>
      </c>
      <c r="E57" s="23">
        <v>1.0</v>
      </c>
      <c r="F57" s="34" t="s">
        <v>141</v>
      </c>
      <c r="G57" s="59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2</v>
      </c>
      <c r="M57" s="38" t="str">
        <f t="shared" si="83"/>
        <v>-2</v>
      </c>
      <c r="N57" s="38" t="str">
        <f t="shared" si="84"/>
        <v>2</v>
      </c>
      <c r="O57" s="38" t="str">
        <f t="shared" si="85"/>
        <v>4</v>
      </c>
      <c r="P57" s="38" t="str">
        <f t="shared" si="86"/>
        <v>0</v>
      </c>
      <c r="Q57" s="38" t="str">
        <f t="shared" si="87"/>
        <v>2</v>
      </c>
      <c r="R57" s="39" t="str">
        <f t="shared" si="88"/>
        <v>1</v>
      </c>
      <c r="S57" s="59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</row>
    <row r="58" ht="13.5" customHeight="1">
      <c r="A58" s="136"/>
      <c r="B58" s="40" t="s">
        <v>142</v>
      </c>
      <c r="C58" s="41">
        <v>0.0</v>
      </c>
      <c r="D58" s="38" t="s">
        <v>31</v>
      </c>
      <c r="E58" s="42">
        <v>2.0</v>
      </c>
      <c r="F58" s="43" t="s">
        <v>139</v>
      </c>
      <c r="G58" s="59"/>
      <c r="H58" s="44">
        <v>46200.0</v>
      </c>
      <c r="I58" s="45">
        <v>0.0</v>
      </c>
      <c r="J58" s="27"/>
      <c r="K58" s="46"/>
      <c r="L58" s="136"/>
      <c r="M58" s="136"/>
      <c r="N58" s="136"/>
      <c r="O58" s="136"/>
      <c r="P58" s="136"/>
      <c r="Q58" s="136"/>
      <c r="R58" s="136"/>
      <c r="S58" s="59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</row>
    <row r="59" ht="13.5" customHeight="1">
      <c r="A59" s="136"/>
      <c r="B59" s="4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136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</row>
    <row r="60" ht="13.5" customHeight="1">
      <c r="A60" s="136"/>
      <c r="B60" s="15" t="s">
        <v>155</v>
      </c>
      <c r="C60" s="9"/>
      <c r="D60" s="9"/>
      <c r="E60" s="9"/>
      <c r="F60" s="10"/>
      <c r="G60" s="59"/>
      <c r="H60" s="16" t="s">
        <v>28</v>
      </c>
      <c r="I60" s="17" t="s">
        <v>29</v>
      </c>
      <c r="J60" s="18"/>
      <c r="K60" s="59"/>
      <c r="L60" s="59"/>
      <c r="M60" s="59"/>
      <c r="N60" s="59"/>
      <c r="O60" s="59"/>
      <c r="P60" s="59"/>
      <c r="Q60" s="59"/>
      <c r="R60" s="59"/>
      <c r="S60" s="59"/>
      <c r="T60" s="136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</row>
    <row r="61" ht="13.5" customHeight="1">
      <c r="A61" s="136"/>
      <c r="B61" s="21" t="s">
        <v>156</v>
      </c>
      <c r="C61" s="22">
        <v>3.0</v>
      </c>
      <c r="D61" s="19" t="s">
        <v>31</v>
      </c>
      <c r="E61" s="23">
        <v>0.0</v>
      </c>
      <c r="F61" s="34" t="s">
        <v>157</v>
      </c>
      <c r="G61" s="59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</row>
    <row r="62" ht="13.5" customHeight="1">
      <c r="A62" s="136"/>
      <c r="B62" s="21" t="s">
        <v>158</v>
      </c>
      <c r="C62" s="22">
        <v>2.0</v>
      </c>
      <c r="D62" s="19" t="s">
        <v>31</v>
      </c>
      <c r="E62" s="23">
        <v>2.0</v>
      </c>
      <c r="F62" s="34" t="s">
        <v>159</v>
      </c>
      <c r="G62" s="59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4</v>
      </c>
      <c r="M62" s="19" t="str">
        <f t="shared" ref="M62:M65" si="96">N62-O62</f>
        <v>0</v>
      </c>
      <c r="N62" s="19" t="str">
        <f t="shared" ref="N62:N65" si="97">SUM(INDIRECT($AC62),INDIRECT($AD62),INDIRECT($AE62))</f>
        <v>4</v>
      </c>
      <c r="O62" s="19" t="str">
        <f t="shared" ref="O62:O65" si="98">SUM(INDIRECT($AF62),INDIRECT($AG62),INDIRECT($AH62))</f>
        <v>4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1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1</v>
      </c>
      <c r="S62" s="31"/>
      <c r="T62" s="32" t="str">
        <f t="shared" si="92"/>
        <v/>
      </c>
      <c r="U62" s="19" t="str">
        <f t="shared" si="93"/>
        <v>2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2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</row>
    <row r="63" ht="12.75" customHeight="1">
      <c r="A63" s="136"/>
      <c r="B63" s="21" t="s">
        <v>156</v>
      </c>
      <c r="C63" s="22">
        <v>1.0</v>
      </c>
      <c r="D63" s="19" t="s">
        <v>31</v>
      </c>
      <c r="E63" s="23">
        <v>0.0</v>
      </c>
      <c r="F63" s="34" t="s">
        <v>158</v>
      </c>
      <c r="G63" s="59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-7</v>
      </c>
      <c r="N63" s="19" t="str">
        <f t="shared" si="97"/>
        <v>1</v>
      </c>
      <c r="O63" s="19" t="str">
        <f t="shared" si="98"/>
        <v>8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3</v>
      </c>
      <c r="S63" s="59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</row>
    <row r="64" ht="12.75" customHeight="1">
      <c r="A64" s="136"/>
      <c r="B64" s="21" t="s">
        <v>159</v>
      </c>
      <c r="C64" s="22">
        <v>3.0</v>
      </c>
      <c r="D64" s="19" t="s">
        <v>31</v>
      </c>
      <c r="E64" s="23">
        <v>0.0</v>
      </c>
      <c r="F64" s="34" t="s">
        <v>157</v>
      </c>
      <c r="G64" s="59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7</v>
      </c>
      <c r="M64" s="19" t="str">
        <f t="shared" si="96"/>
        <v>4</v>
      </c>
      <c r="N64" s="19" t="str">
        <f t="shared" si="97"/>
        <v>6</v>
      </c>
      <c r="O64" s="19" t="str">
        <f t="shared" si="98"/>
        <v>2</v>
      </c>
      <c r="P64" s="19" t="str">
        <f t="shared" si="99"/>
        <v>2</v>
      </c>
      <c r="Q64" s="19" t="str">
        <f t="shared" si="100"/>
        <v>1</v>
      </c>
      <c r="R64" s="36" t="str">
        <f t="shared" si="101"/>
        <v>0</v>
      </c>
      <c r="S64" s="59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</row>
    <row r="65" ht="12.75" customHeight="1">
      <c r="A65" s="136"/>
      <c r="B65" s="21" t="s">
        <v>157</v>
      </c>
      <c r="C65" s="22">
        <v>1.0</v>
      </c>
      <c r="D65" s="19" t="s">
        <v>31</v>
      </c>
      <c r="E65" s="23">
        <v>2.0</v>
      </c>
      <c r="F65" s="34" t="s">
        <v>158</v>
      </c>
      <c r="G65" s="59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5</v>
      </c>
      <c r="M65" s="38" t="str">
        <f t="shared" si="96"/>
        <v>3</v>
      </c>
      <c r="N65" s="38" t="str">
        <f t="shared" si="97"/>
        <v>7</v>
      </c>
      <c r="O65" s="38" t="str">
        <f t="shared" si="98"/>
        <v>4</v>
      </c>
      <c r="P65" s="38" t="str">
        <f t="shared" si="99"/>
        <v>1</v>
      </c>
      <c r="Q65" s="38" t="str">
        <f t="shared" si="100"/>
        <v>2</v>
      </c>
      <c r="R65" s="39" t="str">
        <f t="shared" si="101"/>
        <v>0</v>
      </c>
      <c r="S65" s="59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</row>
    <row r="66" ht="13.5" customHeight="1">
      <c r="A66" s="136"/>
      <c r="B66" s="40" t="s">
        <v>159</v>
      </c>
      <c r="C66" s="41">
        <v>2.0</v>
      </c>
      <c r="D66" s="38" t="s">
        <v>31</v>
      </c>
      <c r="E66" s="42">
        <v>2.0</v>
      </c>
      <c r="F66" s="43" t="s">
        <v>156</v>
      </c>
      <c r="G66" s="59"/>
      <c r="H66" s="44">
        <v>46199.0</v>
      </c>
      <c r="I66" s="45">
        <v>0.875</v>
      </c>
      <c r="J66" s="27"/>
      <c r="K66" s="46"/>
      <c r="L66" s="136"/>
      <c r="M66" s="136"/>
      <c r="N66" s="136"/>
      <c r="O66" s="136"/>
      <c r="P66" s="136"/>
      <c r="Q66" s="136"/>
      <c r="R66" s="136"/>
      <c r="S66" s="59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</row>
    <row r="67" ht="12.75" customHeight="1">
      <c r="A67" s="136"/>
      <c r="B67" s="13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</row>
    <row r="68" ht="12.75" customHeight="1">
      <c r="A68" s="136"/>
      <c r="B68" s="15" t="s">
        <v>172</v>
      </c>
      <c r="C68" s="9"/>
      <c r="D68" s="9"/>
      <c r="E68" s="9"/>
      <c r="F68" s="10"/>
      <c r="G68" s="59"/>
      <c r="H68" s="16" t="s">
        <v>28</v>
      </c>
      <c r="I68" s="17" t="s">
        <v>29</v>
      </c>
      <c r="J68" s="18"/>
      <c r="K68" s="59"/>
      <c r="L68" s="59"/>
      <c r="M68" s="59"/>
      <c r="N68" s="59"/>
      <c r="O68" s="59"/>
      <c r="P68" s="59"/>
      <c r="Q68" s="59"/>
      <c r="R68" s="59"/>
      <c r="S68" s="59"/>
      <c r="T68" s="136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</row>
    <row r="69" ht="12.75" customHeight="1">
      <c r="A69" s="136"/>
      <c r="B69" s="21" t="s">
        <v>173</v>
      </c>
      <c r="C69" s="22">
        <v>3.0</v>
      </c>
      <c r="D69" s="19" t="s">
        <v>31</v>
      </c>
      <c r="E69" s="23">
        <v>2.0</v>
      </c>
      <c r="F69" s="34" t="s">
        <v>174</v>
      </c>
      <c r="G69" s="59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</row>
    <row r="70" ht="12.75" customHeight="1">
      <c r="A70" s="136"/>
      <c r="B70" s="21" t="s">
        <v>175</v>
      </c>
      <c r="C70" s="22">
        <v>1.0</v>
      </c>
      <c r="D70" s="19" t="s">
        <v>31</v>
      </c>
      <c r="E70" s="23">
        <v>1.0</v>
      </c>
      <c r="F70" s="34" t="s">
        <v>176</v>
      </c>
      <c r="G70" s="59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5</v>
      </c>
      <c r="N70" s="19" t="str">
        <f t="shared" ref="N70:N73" si="110">SUM(INDIRECT($AC70),INDIRECT($AD70),INDIRECT($AE70))</f>
        <v>8</v>
      </c>
      <c r="O70" s="19" t="str">
        <f t="shared" ref="O70:O73" si="111">SUM(INDIRECT($AF70),INDIRECT($AG70),INDIRECT($AH70))</f>
        <v>3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0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0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</row>
    <row r="71" ht="12.75" customHeight="1">
      <c r="A71" s="136"/>
      <c r="B71" s="21" t="s">
        <v>173</v>
      </c>
      <c r="C71" s="22">
        <v>2.0</v>
      </c>
      <c r="D71" s="19" t="s">
        <v>31</v>
      </c>
      <c r="E71" s="23">
        <v>0.0</v>
      </c>
      <c r="F71" s="34" t="s">
        <v>175</v>
      </c>
      <c r="G71" s="59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2</v>
      </c>
      <c r="M71" s="19" t="str">
        <f t="shared" si="109"/>
        <v>-2</v>
      </c>
      <c r="N71" s="19" t="str">
        <f t="shared" si="110"/>
        <v>2</v>
      </c>
      <c r="O71" s="19" t="str">
        <f t="shared" si="111"/>
        <v>4</v>
      </c>
      <c r="P71" s="19" t="str">
        <f t="shared" si="112"/>
        <v>0</v>
      </c>
      <c r="Q71" s="19" t="str">
        <f t="shared" si="113"/>
        <v>2</v>
      </c>
      <c r="R71" s="36" t="str">
        <f t="shared" si="114"/>
        <v>1</v>
      </c>
      <c r="S71" s="59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</row>
    <row r="72" ht="12.75" customHeight="1">
      <c r="A72" s="136"/>
      <c r="B72" s="21" t="s">
        <v>176</v>
      </c>
      <c r="C72" s="22">
        <v>0.0</v>
      </c>
      <c r="D72" s="19" t="s">
        <v>31</v>
      </c>
      <c r="E72" s="23">
        <v>2.0</v>
      </c>
      <c r="F72" s="34" t="s">
        <v>174</v>
      </c>
      <c r="G72" s="59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1</v>
      </c>
      <c r="M72" s="19" t="str">
        <f t="shared" si="109"/>
        <v>-4</v>
      </c>
      <c r="N72" s="19" t="str">
        <f t="shared" si="110"/>
        <v>2</v>
      </c>
      <c r="O72" s="19" t="str">
        <f t="shared" si="111"/>
        <v>6</v>
      </c>
      <c r="P72" s="19" t="str">
        <f t="shared" si="112"/>
        <v>0</v>
      </c>
      <c r="Q72" s="19" t="str">
        <f t="shared" si="113"/>
        <v>1</v>
      </c>
      <c r="R72" s="36" t="str">
        <f t="shared" si="114"/>
        <v>2</v>
      </c>
      <c r="S72" s="59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</row>
    <row r="73" ht="12.75" customHeight="1">
      <c r="A73" s="136"/>
      <c r="B73" s="21" t="s">
        <v>174</v>
      </c>
      <c r="C73" s="22">
        <v>1.0</v>
      </c>
      <c r="D73" s="19" t="s">
        <v>31</v>
      </c>
      <c r="E73" s="23">
        <v>1.0</v>
      </c>
      <c r="F73" s="34" t="s">
        <v>175</v>
      </c>
      <c r="G73" s="59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4</v>
      </c>
      <c r="M73" s="38" t="str">
        <f t="shared" si="109"/>
        <v>1</v>
      </c>
      <c r="N73" s="38" t="str">
        <f t="shared" si="110"/>
        <v>5</v>
      </c>
      <c r="O73" s="38" t="str">
        <f t="shared" si="111"/>
        <v>4</v>
      </c>
      <c r="P73" s="38" t="str">
        <f t="shared" si="112"/>
        <v>1</v>
      </c>
      <c r="Q73" s="38" t="str">
        <f t="shared" si="113"/>
        <v>1</v>
      </c>
      <c r="R73" s="39" t="str">
        <f t="shared" si="114"/>
        <v>1</v>
      </c>
      <c r="S73" s="59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</row>
    <row r="74" ht="12.75" customHeight="1">
      <c r="A74" s="136"/>
      <c r="B74" s="40" t="s">
        <v>176</v>
      </c>
      <c r="C74" s="41">
        <v>1.0</v>
      </c>
      <c r="D74" s="38" t="s">
        <v>31</v>
      </c>
      <c r="E74" s="42">
        <v>3.0</v>
      </c>
      <c r="F74" s="43" t="s">
        <v>173</v>
      </c>
      <c r="G74" s="59"/>
      <c r="H74" s="44">
        <v>46199.0</v>
      </c>
      <c r="I74" s="45">
        <v>0.666666666666667</v>
      </c>
      <c r="J74" s="27"/>
      <c r="K74" s="46"/>
      <c r="L74" s="136"/>
      <c r="M74" s="136"/>
      <c r="N74" s="136"/>
      <c r="O74" s="136"/>
      <c r="P74" s="136"/>
      <c r="Q74" s="136"/>
      <c r="R74" s="136"/>
      <c r="S74" s="59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</row>
    <row r="75" ht="12.75" customHeight="1">
      <c r="A75" s="136"/>
      <c r="B75" s="4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136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</row>
    <row r="76" ht="12.75" customHeight="1">
      <c r="A76" s="136"/>
      <c r="B76" s="15" t="s">
        <v>189</v>
      </c>
      <c r="C76" s="9"/>
      <c r="D76" s="9"/>
      <c r="E76" s="9"/>
      <c r="F76" s="10"/>
      <c r="G76" s="59"/>
      <c r="H76" s="16" t="s">
        <v>28</v>
      </c>
      <c r="I76" s="17" t="s">
        <v>29</v>
      </c>
      <c r="J76" s="18"/>
      <c r="K76" s="59"/>
      <c r="L76" s="59"/>
      <c r="M76" s="59"/>
      <c r="N76" s="59"/>
      <c r="O76" s="59"/>
      <c r="P76" s="59"/>
      <c r="Q76" s="59"/>
      <c r="R76" s="59"/>
      <c r="S76" s="59"/>
      <c r="T76" s="136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</row>
    <row r="77" ht="12.75" customHeight="1">
      <c r="A77" s="136"/>
      <c r="B77" s="21" t="s">
        <v>190</v>
      </c>
      <c r="C77" s="22">
        <v>2.0</v>
      </c>
      <c r="D77" s="19" t="s">
        <v>31</v>
      </c>
      <c r="E77" s="23">
        <v>0.0</v>
      </c>
      <c r="F77" s="34" t="s">
        <v>191</v>
      </c>
      <c r="G77" s="59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</row>
    <row r="78" ht="12.75" customHeight="1">
      <c r="A78" s="136"/>
      <c r="B78" s="21" t="s">
        <v>192</v>
      </c>
      <c r="C78" s="22">
        <v>2.0</v>
      </c>
      <c r="D78" s="19" t="s">
        <v>31</v>
      </c>
      <c r="E78" s="23">
        <v>0.0</v>
      </c>
      <c r="F78" s="34" t="s">
        <v>193</v>
      </c>
      <c r="G78" s="59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6</v>
      </c>
      <c r="N78" s="19" t="str">
        <f t="shared" ref="N78:N81" si="123">SUM(INDIRECT($AC78),INDIRECT($AD78),INDIRECT($AE78))</f>
        <v>6</v>
      </c>
      <c r="O78" s="19" t="str">
        <f t="shared" ref="O78:O81" si="124">SUM(INDIRECT($AF78),INDIRECT($AG78),INDIRECT($AH78))</f>
        <v>0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2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1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</row>
    <row r="79" ht="12.75" customHeight="1">
      <c r="A79" s="136"/>
      <c r="B79" s="21" t="s">
        <v>190</v>
      </c>
      <c r="C79" s="22">
        <v>1.0</v>
      </c>
      <c r="D79" s="19" t="s">
        <v>31</v>
      </c>
      <c r="E79" s="23">
        <v>0.0</v>
      </c>
      <c r="F79" s="34" t="s">
        <v>192</v>
      </c>
      <c r="G79" s="59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1</v>
      </c>
      <c r="M79" s="19" t="str">
        <f t="shared" si="122"/>
        <v>-4</v>
      </c>
      <c r="N79" s="19" t="str">
        <f t="shared" si="123"/>
        <v>1</v>
      </c>
      <c r="O79" s="19" t="str">
        <f t="shared" si="124"/>
        <v>5</v>
      </c>
      <c r="P79" s="19" t="str">
        <f t="shared" si="125"/>
        <v>0</v>
      </c>
      <c r="Q79" s="19" t="str">
        <f t="shared" si="126"/>
        <v>1</v>
      </c>
      <c r="R79" s="36" t="str">
        <f t="shared" si="127"/>
        <v>2</v>
      </c>
      <c r="S79" s="59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</row>
    <row r="80" ht="12.75" customHeight="1">
      <c r="A80" s="136"/>
      <c r="B80" s="21" t="s">
        <v>193</v>
      </c>
      <c r="C80" s="22">
        <v>1.0</v>
      </c>
      <c r="D80" s="19" t="s">
        <v>31</v>
      </c>
      <c r="E80" s="23">
        <v>1.0</v>
      </c>
      <c r="F80" s="34" t="s">
        <v>191</v>
      </c>
      <c r="G80" s="59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1</v>
      </c>
      <c r="M80" s="19" t="str">
        <f t="shared" si="122"/>
        <v>-5</v>
      </c>
      <c r="N80" s="19" t="str">
        <f t="shared" si="123"/>
        <v>1</v>
      </c>
      <c r="O80" s="19" t="str">
        <f t="shared" si="124"/>
        <v>6</v>
      </c>
      <c r="P80" s="19" t="str">
        <f t="shared" si="125"/>
        <v>0</v>
      </c>
      <c r="Q80" s="19" t="str">
        <f t="shared" si="126"/>
        <v>1</v>
      </c>
      <c r="R80" s="36" t="str">
        <f t="shared" si="127"/>
        <v>2</v>
      </c>
      <c r="S80" s="59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</row>
    <row r="81" ht="12.75" customHeight="1">
      <c r="A81" s="136"/>
      <c r="B81" s="21" t="s">
        <v>193</v>
      </c>
      <c r="C81" s="22">
        <v>0.0</v>
      </c>
      <c r="D81" s="19" t="s">
        <v>31</v>
      </c>
      <c r="E81" s="23">
        <v>3.0</v>
      </c>
      <c r="F81" s="34" t="s">
        <v>190</v>
      </c>
      <c r="G81" s="59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6</v>
      </c>
      <c r="M81" s="38" t="str">
        <f t="shared" si="122"/>
        <v>3</v>
      </c>
      <c r="N81" s="38" t="str">
        <f t="shared" si="123"/>
        <v>4</v>
      </c>
      <c r="O81" s="38" t="str">
        <f t="shared" si="124"/>
        <v>1</v>
      </c>
      <c r="P81" s="38" t="str">
        <f t="shared" si="125"/>
        <v>2</v>
      </c>
      <c r="Q81" s="38" t="str">
        <f t="shared" si="126"/>
        <v>0</v>
      </c>
      <c r="R81" s="39" t="str">
        <f t="shared" si="127"/>
        <v>1</v>
      </c>
      <c r="S81" s="59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</row>
    <row r="82" ht="12.75" customHeight="1">
      <c r="A82" s="136"/>
      <c r="B82" s="40" t="s">
        <v>191</v>
      </c>
      <c r="C82" s="41">
        <v>0.0</v>
      </c>
      <c r="D82" s="38" t="s">
        <v>31</v>
      </c>
      <c r="E82" s="42">
        <v>2.0</v>
      </c>
      <c r="F82" s="43" t="s">
        <v>192</v>
      </c>
      <c r="G82" s="59"/>
      <c r="H82" s="44">
        <v>46200.0</v>
      </c>
      <c r="I82" s="45">
        <v>0.958333333333333</v>
      </c>
      <c r="J82" s="27"/>
      <c r="K82" s="46"/>
      <c r="L82" s="136"/>
      <c r="M82" s="136"/>
      <c r="N82" s="136"/>
      <c r="O82" s="136"/>
      <c r="P82" s="136"/>
      <c r="Q82" s="136"/>
      <c r="R82" s="136"/>
      <c r="S82" s="59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</row>
    <row r="83" ht="12.75" customHeight="1">
      <c r="A83" s="136"/>
      <c r="B83" s="4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136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</row>
    <row r="84" ht="12.75" customHeight="1">
      <c r="A84" s="136"/>
      <c r="B84" s="15" t="s">
        <v>206</v>
      </c>
      <c r="C84" s="9"/>
      <c r="D84" s="9"/>
      <c r="E84" s="9"/>
      <c r="F84" s="10"/>
      <c r="G84" s="59"/>
      <c r="H84" s="16" t="s">
        <v>28</v>
      </c>
      <c r="I84" s="17" t="s">
        <v>29</v>
      </c>
      <c r="J84" s="18"/>
      <c r="K84" s="59"/>
      <c r="L84" s="59"/>
      <c r="M84" s="59"/>
      <c r="N84" s="59"/>
      <c r="O84" s="59"/>
      <c r="P84" s="59"/>
      <c r="Q84" s="59"/>
      <c r="R84" s="59"/>
      <c r="S84" s="59"/>
      <c r="T84" s="136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</row>
    <row r="85" ht="12.75" customHeight="1">
      <c r="A85" s="136"/>
      <c r="B85" s="21" t="s">
        <v>207</v>
      </c>
      <c r="C85" s="22">
        <v>4.0</v>
      </c>
      <c r="D85" s="19" t="s">
        <v>31</v>
      </c>
      <c r="E85" s="23">
        <v>0.0</v>
      </c>
      <c r="F85" s="34" t="s">
        <v>208</v>
      </c>
      <c r="G85" s="59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</row>
    <row r="86" ht="12.75" customHeight="1">
      <c r="A86" s="136"/>
      <c r="B86" s="21" t="s">
        <v>209</v>
      </c>
      <c r="C86" s="22">
        <v>0.0</v>
      </c>
      <c r="D86" s="19" t="s">
        <v>31</v>
      </c>
      <c r="E86" s="23">
        <v>2.0</v>
      </c>
      <c r="F86" s="34" t="s">
        <v>210</v>
      </c>
      <c r="G86" s="59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2</v>
      </c>
      <c r="N86" s="19" t="str">
        <f t="shared" ref="N86:N89" si="136">SUM(INDIRECT($AC86),INDIRECT($AD86),INDIRECT($AE86))</f>
        <v>5</v>
      </c>
      <c r="O86" s="19" t="str">
        <f t="shared" ref="O86:O89" si="137">SUM(INDIRECT($AF86),INDIRECT($AG86),INDIRECT($AH86))</f>
        <v>3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1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</row>
    <row r="87" ht="12.75" customHeight="1">
      <c r="A87" s="136"/>
      <c r="B87" s="21" t="s">
        <v>207</v>
      </c>
      <c r="C87" s="22">
        <v>2.0</v>
      </c>
      <c r="D87" s="19" t="s">
        <v>31</v>
      </c>
      <c r="E87" s="23">
        <v>0.0</v>
      </c>
      <c r="F87" s="34" t="s">
        <v>209</v>
      </c>
      <c r="G87" s="59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7</v>
      </c>
      <c r="N87" s="19" t="str">
        <f t="shared" si="136"/>
        <v>8</v>
      </c>
      <c r="O87" s="19" t="str">
        <f t="shared" si="137"/>
        <v>1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59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</row>
    <row r="88" ht="12.75" customHeight="1">
      <c r="A88" s="136"/>
      <c r="B88" s="21" t="s">
        <v>210</v>
      </c>
      <c r="C88" s="22">
        <v>2.0</v>
      </c>
      <c r="D88" s="19" t="s">
        <v>31</v>
      </c>
      <c r="E88" s="23">
        <v>1.0</v>
      </c>
      <c r="F88" s="34" t="s">
        <v>208</v>
      </c>
      <c r="G88" s="59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-4</v>
      </c>
      <c r="N88" s="19" t="str">
        <f t="shared" si="136"/>
        <v>2</v>
      </c>
      <c r="O88" s="19" t="str">
        <f t="shared" si="137"/>
        <v>6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59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</row>
    <row r="89" ht="12.75" customHeight="1">
      <c r="A89" s="136"/>
      <c r="B89" s="21" t="s">
        <v>208</v>
      </c>
      <c r="C89" s="22">
        <v>1.0</v>
      </c>
      <c r="D89" s="19" t="s">
        <v>31</v>
      </c>
      <c r="E89" s="23">
        <v>0.0</v>
      </c>
      <c r="F89" s="34" t="s">
        <v>209</v>
      </c>
      <c r="G89" s="59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-5</v>
      </c>
      <c r="N89" s="38" t="str">
        <f t="shared" si="136"/>
        <v>0</v>
      </c>
      <c r="O89" s="38" t="str">
        <f t="shared" si="137"/>
        <v>5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59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</row>
    <row r="90" ht="12.75" customHeight="1">
      <c r="A90" s="136"/>
      <c r="B90" s="40" t="s">
        <v>210</v>
      </c>
      <c r="C90" s="41">
        <v>1.0</v>
      </c>
      <c r="D90" s="38" t="s">
        <v>31</v>
      </c>
      <c r="E90" s="42">
        <v>2.0</v>
      </c>
      <c r="F90" s="43" t="s">
        <v>207</v>
      </c>
      <c r="G90" s="59"/>
      <c r="H90" s="44">
        <v>46200.0</v>
      </c>
      <c r="I90" s="45">
        <v>0.854166666666667</v>
      </c>
      <c r="J90" s="27"/>
      <c r="K90" s="46"/>
      <c r="L90" s="136"/>
      <c r="M90" s="136"/>
      <c r="N90" s="136"/>
      <c r="O90" s="136"/>
      <c r="P90" s="136"/>
      <c r="Q90" s="136"/>
      <c r="R90" s="136"/>
      <c r="S90" s="59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</row>
    <row r="91" ht="12.75" customHeight="1">
      <c r="A91" s="136"/>
      <c r="B91" s="4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136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</row>
    <row r="92" ht="12.75" customHeight="1">
      <c r="A92" s="136"/>
      <c r="B92" s="15" t="s">
        <v>223</v>
      </c>
      <c r="C92" s="9"/>
      <c r="D92" s="9"/>
      <c r="E92" s="9"/>
      <c r="F92" s="10"/>
      <c r="G92" s="59"/>
      <c r="H92" s="16" t="s">
        <v>28</v>
      </c>
      <c r="I92" s="17" t="s">
        <v>29</v>
      </c>
      <c r="J92" s="18"/>
      <c r="K92" s="59"/>
      <c r="L92" s="59"/>
      <c r="M92" s="59"/>
      <c r="N92" s="59"/>
      <c r="O92" s="59"/>
      <c r="P92" s="59"/>
      <c r="Q92" s="59"/>
      <c r="R92" s="59"/>
      <c r="S92" s="59"/>
      <c r="T92" s="136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</row>
    <row r="93" ht="12.75" customHeight="1">
      <c r="A93" s="136"/>
      <c r="B93" s="21" t="s">
        <v>224</v>
      </c>
      <c r="C93" s="22">
        <v>1.0</v>
      </c>
      <c r="D93" s="19" t="s">
        <v>31</v>
      </c>
      <c r="E93" s="23">
        <v>1.0</v>
      </c>
      <c r="F93" s="34" t="s">
        <v>225</v>
      </c>
      <c r="G93" s="59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</row>
    <row r="94" ht="12.75" customHeight="1">
      <c r="A94" s="136"/>
      <c r="B94" s="21" t="s">
        <v>226</v>
      </c>
      <c r="C94" s="22">
        <v>0.0</v>
      </c>
      <c r="D94" s="19" t="s">
        <v>31</v>
      </c>
      <c r="E94" s="23">
        <v>0.0</v>
      </c>
      <c r="F94" s="34" t="s">
        <v>227</v>
      </c>
      <c r="G94" s="59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7</v>
      </c>
      <c r="M94" s="19" t="str">
        <f t="shared" ref="M94:M97" si="148">N94-O94</f>
        <v>5</v>
      </c>
      <c r="N94" s="19" t="str">
        <f t="shared" ref="N94:N97" si="149">SUM(INDIRECT($AC94),INDIRECT($AD94),INDIRECT($AE94))</f>
        <v>6</v>
      </c>
      <c r="O94" s="19" t="str">
        <f t="shared" ref="O94:O97" si="150">SUM(INDIRECT($AF94),INDIRECT($AG94),INDIRECT($AH94))</f>
        <v>1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1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/>
      </c>
      <c r="U94" s="19" t="str">
        <f t="shared" si="145"/>
        <v>0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0</v>
      </c>
      <c r="AA94" s="33" t="str">
        <f>IF(AND(ISNUMBER(RESULTADOS!C94),ISNUMBER(RESULTADOS!E94),ISNUMBER(C94),ISNUMBER(E94),AND(Z94=1,OR(C94=RESULTADOS!C94,E94=RESULTADOS!E94))),1,0)</f>
        <v>0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</row>
    <row r="95" ht="12.75" customHeight="1">
      <c r="A95" s="136"/>
      <c r="B95" s="21" t="s">
        <v>224</v>
      </c>
      <c r="C95" s="22">
        <v>2.0</v>
      </c>
      <c r="D95" s="19" t="s">
        <v>31</v>
      </c>
      <c r="E95" s="23">
        <v>0.0</v>
      </c>
      <c r="F95" s="34" t="s">
        <v>226</v>
      </c>
      <c r="G95" s="59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1</v>
      </c>
      <c r="M95" s="19" t="str">
        <f t="shared" si="148"/>
        <v>-5</v>
      </c>
      <c r="N95" s="19" t="str">
        <f t="shared" si="149"/>
        <v>0</v>
      </c>
      <c r="O95" s="19" t="str">
        <f t="shared" si="150"/>
        <v>5</v>
      </c>
      <c r="P95" s="19" t="str">
        <f t="shared" si="151"/>
        <v>0</v>
      </c>
      <c r="Q95" s="19" t="str">
        <f t="shared" si="152"/>
        <v>1</v>
      </c>
      <c r="R95" s="36" t="str">
        <f t="shared" si="153"/>
        <v>2</v>
      </c>
      <c r="S95" s="59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</row>
    <row r="96" ht="12.75" customHeight="1">
      <c r="A96" s="136"/>
      <c r="B96" s="21" t="s">
        <v>227</v>
      </c>
      <c r="C96" s="22">
        <v>0.0</v>
      </c>
      <c r="D96" s="19" t="s">
        <v>31</v>
      </c>
      <c r="E96" s="23">
        <v>2.0</v>
      </c>
      <c r="F96" s="34" t="s">
        <v>225</v>
      </c>
      <c r="G96" s="59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7</v>
      </c>
      <c r="M96" s="19" t="str">
        <f t="shared" si="148"/>
        <v>5</v>
      </c>
      <c r="N96" s="19" t="str">
        <f t="shared" si="149"/>
        <v>6</v>
      </c>
      <c r="O96" s="19" t="str">
        <f t="shared" si="150"/>
        <v>1</v>
      </c>
      <c r="P96" s="19" t="str">
        <f t="shared" si="151"/>
        <v>2</v>
      </c>
      <c r="Q96" s="19" t="str">
        <f t="shared" si="152"/>
        <v>1</v>
      </c>
      <c r="R96" s="36" t="str">
        <f t="shared" si="153"/>
        <v>0</v>
      </c>
      <c r="S96" s="59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</row>
    <row r="97" ht="12.75" customHeight="1">
      <c r="A97" s="136"/>
      <c r="B97" s="21" t="s">
        <v>225</v>
      </c>
      <c r="C97" s="22">
        <v>3.0</v>
      </c>
      <c r="D97" s="19" t="s">
        <v>31</v>
      </c>
      <c r="E97" s="23">
        <v>0.0</v>
      </c>
      <c r="F97" s="34" t="s">
        <v>226</v>
      </c>
      <c r="G97" s="59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1</v>
      </c>
      <c r="M97" s="38" t="str">
        <f t="shared" si="148"/>
        <v>-5</v>
      </c>
      <c r="N97" s="38" t="str">
        <f t="shared" si="149"/>
        <v>0</v>
      </c>
      <c r="O97" s="38" t="str">
        <f t="shared" si="150"/>
        <v>5</v>
      </c>
      <c r="P97" s="38" t="str">
        <f t="shared" si="151"/>
        <v>0</v>
      </c>
      <c r="Q97" s="38" t="str">
        <f t="shared" si="152"/>
        <v>1</v>
      </c>
      <c r="R97" s="39" t="str">
        <f t="shared" si="153"/>
        <v>2</v>
      </c>
      <c r="S97" s="59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</row>
    <row r="98" ht="12.75" customHeight="1">
      <c r="A98" s="136"/>
      <c r="B98" s="40" t="s">
        <v>227</v>
      </c>
      <c r="C98" s="41">
        <v>0.0</v>
      </c>
      <c r="D98" s="38" t="s">
        <v>31</v>
      </c>
      <c r="E98" s="42">
        <v>3.0</v>
      </c>
      <c r="F98" s="43" t="s">
        <v>224</v>
      </c>
      <c r="G98" s="59"/>
      <c r="H98" s="44">
        <v>46200.0</v>
      </c>
      <c r="I98" s="45">
        <v>0.75</v>
      </c>
      <c r="J98" s="27"/>
      <c r="K98" s="46"/>
      <c r="L98" s="136"/>
      <c r="M98" s="136"/>
      <c r="N98" s="136"/>
      <c r="O98" s="136"/>
      <c r="P98" s="136"/>
      <c r="Q98" s="136"/>
      <c r="R98" s="136"/>
      <c r="S98" s="59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</row>
    <row r="99" ht="12.75" customHeight="1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</row>
    <row r="100" ht="12.75" customHeight="1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</row>
    <row r="101" ht="13.5" customHeight="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</row>
    <row r="102" ht="12.75" customHeight="1">
      <c r="A102" s="136"/>
      <c r="B102" s="136"/>
      <c r="C102" s="136"/>
      <c r="D102" s="136"/>
      <c r="E102" s="136"/>
      <c r="F102" s="136"/>
      <c r="G102" s="136"/>
      <c r="H102" s="52"/>
      <c r="I102" s="52"/>
      <c r="J102" s="52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</row>
    <row r="103" ht="12.75" customHeight="1">
      <c r="A103" s="136"/>
      <c r="B103" s="136"/>
      <c r="C103" s="136"/>
      <c r="D103" s="136"/>
      <c r="E103" s="136"/>
      <c r="F103" s="136"/>
      <c r="G103" s="136"/>
      <c r="H103" s="52"/>
      <c r="I103" s="52"/>
      <c r="J103" s="52"/>
      <c r="K103" s="136"/>
      <c r="L103" s="53"/>
      <c r="M103" s="53"/>
      <c r="N103" s="53"/>
      <c r="O103" s="53"/>
      <c r="P103" s="53"/>
      <c r="Q103" s="53"/>
      <c r="R103" s="53"/>
      <c r="S103" s="136"/>
      <c r="T103" s="136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</row>
    <row r="104" ht="12.75" customHeight="1">
      <c r="A104" s="136"/>
      <c r="B104" s="136"/>
      <c r="C104" s="136"/>
      <c r="D104" s="136"/>
      <c r="E104" s="136"/>
      <c r="F104" s="136"/>
      <c r="G104" s="136"/>
      <c r="H104" s="52"/>
      <c r="I104" s="52"/>
      <c r="J104" s="52"/>
      <c r="K104" s="136"/>
      <c r="L104" s="53"/>
      <c r="M104" s="53"/>
      <c r="N104" s="53"/>
      <c r="O104" s="53"/>
      <c r="P104" s="53"/>
      <c r="Q104" s="53"/>
      <c r="R104" s="53"/>
      <c r="S104" s="136"/>
      <c r="T104" s="136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</row>
    <row r="105" ht="12.75" customHeight="1">
      <c r="A105" s="136"/>
      <c r="B105" s="136"/>
      <c r="C105" s="136"/>
      <c r="D105" s="136"/>
      <c r="E105" s="136"/>
      <c r="F105" s="136"/>
      <c r="G105" s="136"/>
      <c r="H105" s="52"/>
      <c r="I105" s="52"/>
      <c r="J105" s="52"/>
      <c r="K105" s="136"/>
      <c r="L105" s="53"/>
      <c r="M105" s="53"/>
      <c r="N105" s="53"/>
      <c r="O105" s="53"/>
      <c r="P105" s="53"/>
      <c r="Q105" s="53"/>
      <c r="R105" s="53"/>
      <c r="S105" s="136"/>
      <c r="T105" s="136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</row>
    <row r="106" ht="12.75" customHeight="1">
      <c r="A106" s="136"/>
      <c r="B106" s="136"/>
      <c r="C106" s="136"/>
      <c r="D106" s="136"/>
      <c r="E106" s="136"/>
      <c r="F106" s="136"/>
      <c r="G106" s="136"/>
      <c r="H106" s="52"/>
      <c r="I106" s="52"/>
      <c r="J106" s="52"/>
      <c r="K106" s="136"/>
      <c r="L106" s="53"/>
      <c r="M106" s="53"/>
      <c r="N106" s="53"/>
      <c r="O106" s="53"/>
      <c r="P106" s="53"/>
      <c r="Q106" s="53"/>
      <c r="R106" s="53"/>
      <c r="S106" s="136"/>
      <c r="T106" s="136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</row>
    <row r="107" ht="12.75" customHeight="1">
      <c r="A107" s="136"/>
      <c r="B107" s="136"/>
      <c r="C107" s="136"/>
      <c r="D107" s="136"/>
      <c r="E107" s="136"/>
      <c r="F107" s="136"/>
      <c r="G107" s="136"/>
      <c r="H107" s="52"/>
      <c r="I107" s="52"/>
      <c r="J107" s="52"/>
      <c r="K107" s="136"/>
      <c r="L107" s="53"/>
      <c r="M107" s="53"/>
      <c r="N107" s="53"/>
      <c r="O107" s="53"/>
      <c r="P107" s="53"/>
      <c r="Q107" s="53"/>
      <c r="R107" s="53"/>
      <c r="S107" s="136"/>
      <c r="T107" s="136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</row>
    <row r="108" ht="12.75" customHeight="1">
      <c r="A108" s="136"/>
      <c r="B108" s="136"/>
      <c r="C108" s="136"/>
      <c r="D108" s="136"/>
      <c r="E108" s="136"/>
      <c r="F108" s="136"/>
      <c r="G108" s="136"/>
      <c r="H108" s="52"/>
      <c r="I108" s="52"/>
      <c r="J108" s="52"/>
      <c r="K108" s="136"/>
      <c r="L108" s="53"/>
      <c r="M108" s="53"/>
      <c r="N108" s="53"/>
      <c r="O108" s="53"/>
      <c r="P108" s="53"/>
      <c r="Q108" s="53"/>
      <c r="R108" s="53"/>
      <c r="S108" s="136"/>
      <c r="T108" s="136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</row>
    <row r="109" ht="12.75" customHeight="1">
      <c r="A109" s="136"/>
      <c r="B109" s="136"/>
      <c r="C109" s="136"/>
      <c r="D109" s="136"/>
      <c r="E109" s="136"/>
      <c r="F109" s="136"/>
      <c r="G109" s="136"/>
      <c r="H109" s="52"/>
      <c r="I109" s="52"/>
      <c r="J109" s="52"/>
      <c r="K109" s="136"/>
      <c r="L109" s="53"/>
      <c r="M109" s="53"/>
      <c r="N109" s="53"/>
      <c r="O109" s="53"/>
      <c r="P109" s="53"/>
      <c r="Q109" s="53"/>
      <c r="R109" s="53"/>
      <c r="S109" s="136"/>
      <c r="T109" s="136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</row>
    <row r="110" ht="12.75" customHeight="1">
      <c r="A110" s="136"/>
      <c r="B110" s="136"/>
      <c r="C110" s="136"/>
      <c r="D110" s="136"/>
      <c r="E110" s="136"/>
      <c r="F110" s="136"/>
      <c r="G110" s="136"/>
      <c r="H110" s="52"/>
      <c r="I110" s="52"/>
      <c r="J110" s="52"/>
      <c r="K110" s="136"/>
      <c r="L110" s="53"/>
      <c r="M110" s="53"/>
      <c r="N110" s="53"/>
      <c r="O110" s="53"/>
      <c r="P110" s="53"/>
      <c r="Q110" s="53"/>
      <c r="R110" s="53"/>
      <c r="S110" s="136"/>
      <c r="T110" s="136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</row>
    <row r="111" ht="12.75" customHeight="1">
      <c r="A111" s="136"/>
      <c r="B111" s="136"/>
      <c r="C111" s="136"/>
      <c r="D111" s="136"/>
      <c r="E111" s="136"/>
      <c r="F111" s="136"/>
      <c r="G111" s="136"/>
      <c r="H111" s="52"/>
      <c r="I111" s="52"/>
      <c r="J111" s="52"/>
      <c r="K111" s="136"/>
      <c r="L111" s="53"/>
      <c r="M111" s="53"/>
      <c r="N111" s="53"/>
      <c r="O111" s="53"/>
      <c r="P111" s="53"/>
      <c r="Q111" s="53"/>
      <c r="R111" s="53"/>
      <c r="S111" s="136"/>
      <c r="T111" s="136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</row>
    <row r="112" ht="12.75" customHeight="1">
      <c r="A112" s="136"/>
      <c r="B112" s="136"/>
      <c r="C112" s="136"/>
      <c r="D112" s="136"/>
      <c r="E112" s="136"/>
      <c r="F112" s="136"/>
      <c r="G112" s="136"/>
      <c r="H112" s="52"/>
      <c r="I112" s="52"/>
      <c r="J112" s="52"/>
      <c r="K112" s="136"/>
      <c r="L112" s="53"/>
      <c r="M112" s="53"/>
      <c r="N112" s="53"/>
      <c r="O112" s="53"/>
      <c r="P112" s="53"/>
      <c r="Q112" s="53"/>
      <c r="R112" s="53"/>
      <c r="S112" s="136"/>
      <c r="T112" s="136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</row>
    <row r="113" ht="12.75" customHeight="1">
      <c r="A113" s="136"/>
      <c r="B113" s="136"/>
      <c r="C113" s="136"/>
      <c r="D113" s="136"/>
      <c r="E113" s="136"/>
      <c r="F113" s="136"/>
      <c r="G113" s="136"/>
      <c r="H113" s="52"/>
      <c r="I113" s="52"/>
      <c r="J113" s="52"/>
      <c r="K113" s="136"/>
      <c r="L113" s="53"/>
      <c r="M113" s="53"/>
      <c r="N113" s="53"/>
      <c r="O113" s="53"/>
      <c r="P113" s="53"/>
      <c r="Q113" s="53"/>
      <c r="R113" s="53"/>
      <c r="S113" s="136"/>
      <c r="T113" s="136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</row>
    <row r="114" ht="12.75" customHeight="1">
      <c r="A114" s="136"/>
      <c r="B114" s="136"/>
      <c r="C114" s="136"/>
      <c r="D114" s="136"/>
      <c r="E114" s="136"/>
      <c r="F114" s="136"/>
      <c r="G114" s="136"/>
      <c r="H114" s="52"/>
      <c r="I114" s="52"/>
      <c r="J114" s="52"/>
      <c r="K114" s="136"/>
      <c r="L114" s="53"/>
      <c r="M114" s="53"/>
      <c r="N114" s="53"/>
      <c r="O114" s="53"/>
      <c r="P114" s="53"/>
      <c r="Q114" s="53"/>
      <c r="R114" s="53"/>
      <c r="S114" s="136"/>
      <c r="T114" s="136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</row>
    <row r="115" ht="12.75" customHeight="1">
      <c r="A115" s="136"/>
      <c r="B115" s="136"/>
      <c r="C115" s="136"/>
      <c r="D115" s="136"/>
      <c r="E115" s="136"/>
      <c r="F115" s="136"/>
      <c r="G115" s="136"/>
      <c r="H115" s="52"/>
      <c r="I115" s="52"/>
      <c r="J115" s="52"/>
      <c r="K115" s="136"/>
      <c r="L115" s="53"/>
      <c r="M115" s="53"/>
      <c r="N115" s="53"/>
      <c r="O115" s="53"/>
      <c r="P115" s="53"/>
      <c r="Q115" s="53"/>
      <c r="R115" s="53"/>
      <c r="S115" s="136"/>
      <c r="T115" s="136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</row>
    <row r="116" ht="12.75" customHeight="1">
      <c r="A116" s="136"/>
      <c r="B116" s="136"/>
      <c r="C116" s="136"/>
      <c r="D116" s="136"/>
      <c r="E116" s="136"/>
      <c r="F116" s="136"/>
      <c r="G116" s="136"/>
      <c r="H116" s="52"/>
      <c r="I116" s="52"/>
      <c r="J116" s="52"/>
      <c r="K116" s="136"/>
      <c r="L116" s="53"/>
      <c r="M116" s="53"/>
      <c r="N116" s="53"/>
      <c r="O116" s="53"/>
      <c r="P116" s="53"/>
      <c r="Q116" s="53"/>
      <c r="R116" s="53"/>
      <c r="S116" s="136"/>
      <c r="T116" s="136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</row>
    <row r="117" ht="12.75" customHeight="1">
      <c r="A117" s="136"/>
      <c r="B117" s="136"/>
      <c r="C117" s="136"/>
      <c r="D117" s="136"/>
      <c r="E117" s="136"/>
      <c r="F117" s="136"/>
      <c r="G117" s="136"/>
      <c r="H117" s="52"/>
      <c r="I117" s="52"/>
      <c r="J117" s="52"/>
      <c r="K117" s="136"/>
      <c r="L117" s="53"/>
      <c r="M117" s="53"/>
      <c r="N117" s="53"/>
      <c r="O117" s="53"/>
      <c r="P117" s="53"/>
      <c r="Q117" s="53"/>
      <c r="R117" s="53"/>
      <c r="S117" s="136"/>
      <c r="T117" s="136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</row>
    <row r="118" ht="12.75" customHeight="1">
      <c r="A118" s="136"/>
      <c r="B118" s="136"/>
      <c r="C118" s="136"/>
      <c r="D118" s="136"/>
      <c r="E118" s="136"/>
      <c r="F118" s="136"/>
      <c r="G118" s="136"/>
      <c r="H118" s="52"/>
      <c r="I118" s="52"/>
      <c r="J118" s="52"/>
      <c r="K118" s="136"/>
      <c r="L118" s="53"/>
      <c r="M118" s="53"/>
      <c r="N118" s="53"/>
      <c r="O118" s="53"/>
      <c r="P118" s="53"/>
      <c r="Q118" s="53"/>
      <c r="R118" s="53"/>
      <c r="S118" s="136"/>
      <c r="T118" s="136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</row>
    <row r="119" ht="12.75" customHeight="1">
      <c r="A119" s="136"/>
      <c r="B119" s="136"/>
      <c r="C119" s="136"/>
      <c r="D119" s="136"/>
      <c r="E119" s="136"/>
      <c r="F119" s="136"/>
      <c r="G119" s="136"/>
      <c r="H119" s="52"/>
      <c r="I119" s="52"/>
      <c r="J119" s="52"/>
      <c r="K119" s="136"/>
      <c r="L119" s="53"/>
      <c r="M119" s="53"/>
      <c r="N119" s="53"/>
      <c r="O119" s="53"/>
      <c r="P119" s="53"/>
      <c r="Q119" s="53"/>
      <c r="R119" s="53"/>
      <c r="S119" s="136"/>
      <c r="T119" s="136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</row>
    <row r="120" ht="12.75" customHeight="1">
      <c r="A120" s="136"/>
      <c r="B120" s="136"/>
      <c r="C120" s="136"/>
      <c r="D120" s="136"/>
      <c r="E120" s="136"/>
      <c r="F120" s="136"/>
      <c r="G120" s="136"/>
      <c r="H120" s="52"/>
      <c r="I120" s="52"/>
      <c r="J120" s="52"/>
      <c r="K120" s="136"/>
      <c r="L120" s="53"/>
      <c r="M120" s="53"/>
      <c r="N120" s="53"/>
      <c r="O120" s="53"/>
      <c r="P120" s="53"/>
      <c r="Q120" s="53"/>
      <c r="R120" s="53"/>
      <c r="S120" s="136"/>
      <c r="T120" s="136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</row>
    <row r="121" ht="12.75" customHeight="1">
      <c r="A121" s="136"/>
      <c r="B121" s="136"/>
      <c r="C121" s="136"/>
      <c r="D121" s="136"/>
      <c r="E121" s="136"/>
      <c r="F121" s="136"/>
      <c r="G121" s="136"/>
      <c r="H121" s="52"/>
      <c r="I121" s="52"/>
      <c r="J121" s="52"/>
      <c r="K121" s="136"/>
      <c r="L121" s="53"/>
      <c r="M121" s="53"/>
      <c r="N121" s="53"/>
      <c r="O121" s="53"/>
      <c r="P121" s="53"/>
      <c r="Q121" s="53"/>
      <c r="R121" s="53"/>
      <c r="S121" s="136"/>
      <c r="T121" s="136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</row>
    <row r="122" ht="12.75" customHeight="1">
      <c r="A122" s="136"/>
      <c r="B122" s="136"/>
      <c r="C122" s="136"/>
      <c r="D122" s="136"/>
      <c r="E122" s="136"/>
      <c r="F122" s="136"/>
      <c r="G122" s="136"/>
      <c r="H122" s="52"/>
      <c r="I122" s="52"/>
      <c r="J122" s="52"/>
      <c r="K122" s="136"/>
      <c r="L122" s="53"/>
      <c r="M122" s="53"/>
      <c r="N122" s="53"/>
      <c r="O122" s="53"/>
      <c r="P122" s="53"/>
      <c r="Q122" s="53"/>
      <c r="R122" s="53"/>
      <c r="S122" s="136"/>
      <c r="T122" s="136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</row>
    <row r="123" ht="12.75" customHeight="1">
      <c r="A123" s="136"/>
      <c r="B123" s="136"/>
      <c r="C123" s="136"/>
      <c r="D123" s="136"/>
      <c r="E123" s="136"/>
      <c r="F123" s="136"/>
      <c r="G123" s="136"/>
      <c r="H123" s="52"/>
      <c r="I123" s="52"/>
      <c r="J123" s="52"/>
      <c r="K123" s="136"/>
      <c r="L123" s="53"/>
      <c r="M123" s="53"/>
      <c r="N123" s="53"/>
      <c r="O123" s="53"/>
      <c r="P123" s="53"/>
      <c r="Q123" s="53"/>
      <c r="R123" s="53"/>
      <c r="S123" s="136"/>
      <c r="T123" s="136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</row>
    <row r="124" ht="12.75" customHeight="1">
      <c r="A124" s="136"/>
      <c r="B124" s="136"/>
      <c r="C124" s="136"/>
      <c r="D124" s="136"/>
      <c r="E124" s="136"/>
      <c r="F124" s="136"/>
      <c r="G124" s="136"/>
      <c r="H124" s="52"/>
      <c r="I124" s="52"/>
      <c r="J124" s="52"/>
      <c r="K124" s="136"/>
      <c r="L124" s="53"/>
      <c r="M124" s="53"/>
      <c r="N124" s="53"/>
      <c r="O124" s="53"/>
      <c r="P124" s="53"/>
      <c r="Q124" s="53"/>
      <c r="R124" s="53"/>
      <c r="S124" s="136"/>
      <c r="T124" s="136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</row>
    <row r="125" ht="12.75" customHeight="1">
      <c r="A125" s="136"/>
      <c r="B125" s="136"/>
      <c r="C125" s="136"/>
      <c r="D125" s="136"/>
      <c r="E125" s="136"/>
      <c r="F125" s="136"/>
      <c r="G125" s="136"/>
      <c r="H125" s="52"/>
      <c r="I125" s="52"/>
      <c r="J125" s="52"/>
      <c r="K125" s="136"/>
      <c r="L125" s="53"/>
      <c r="M125" s="53"/>
      <c r="N125" s="53"/>
      <c r="O125" s="53"/>
      <c r="P125" s="53"/>
      <c r="Q125" s="53"/>
      <c r="R125" s="53"/>
      <c r="S125" s="136"/>
      <c r="T125" s="136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</row>
    <row r="126" ht="12.75" customHeight="1">
      <c r="A126" s="136"/>
      <c r="B126" s="136"/>
      <c r="C126" s="136"/>
      <c r="D126" s="136"/>
      <c r="E126" s="136"/>
      <c r="F126" s="136"/>
      <c r="G126" s="136"/>
      <c r="H126" s="52"/>
      <c r="I126" s="52"/>
      <c r="J126" s="52"/>
      <c r="K126" s="136"/>
      <c r="L126" s="53"/>
      <c r="M126" s="53"/>
      <c r="N126" s="53"/>
      <c r="O126" s="53"/>
      <c r="P126" s="53"/>
      <c r="Q126" s="53"/>
      <c r="R126" s="53"/>
      <c r="S126" s="136"/>
      <c r="T126" s="136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</row>
    <row r="127" ht="12.75" customHeight="1">
      <c r="A127" s="136"/>
      <c r="B127" s="136"/>
      <c r="C127" s="136"/>
      <c r="D127" s="136"/>
      <c r="E127" s="136"/>
      <c r="F127" s="136"/>
      <c r="G127" s="136"/>
      <c r="H127" s="52"/>
      <c r="I127" s="52"/>
      <c r="J127" s="52"/>
      <c r="K127" s="136"/>
      <c r="L127" s="53"/>
      <c r="M127" s="53"/>
      <c r="N127" s="53"/>
      <c r="O127" s="53"/>
      <c r="P127" s="53"/>
      <c r="Q127" s="53"/>
      <c r="R127" s="53"/>
      <c r="S127" s="136"/>
      <c r="T127" s="136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</row>
    <row r="128" ht="12.75" customHeight="1">
      <c r="A128" s="136"/>
      <c r="B128" s="136"/>
      <c r="C128" s="136"/>
      <c r="D128" s="136"/>
      <c r="E128" s="136"/>
      <c r="F128" s="136"/>
      <c r="G128" s="136"/>
      <c r="H128" s="52"/>
      <c r="I128" s="52"/>
      <c r="J128" s="52"/>
      <c r="K128" s="136"/>
      <c r="L128" s="53"/>
      <c r="M128" s="53"/>
      <c r="N128" s="53"/>
      <c r="O128" s="53"/>
      <c r="P128" s="53"/>
      <c r="Q128" s="53"/>
      <c r="R128" s="53"/>
      <c r="S128" s="136"/>
      <c r="T128" s="136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</row>
    <row r="129" ht="12.75" customHeight="1">
      <c r="A129" s="136"/>
      <c r="B129" s="136"/>
      <c r="C129" s="136"/>
      <c r="D129" s="136"/>
      <c r="E129" s="136"/>
      <c r="F129" s="136"/>
      <c r="G129" s="136"/>
      <c r="H129" s="52"/>
      <c r="I129" s="52"/>
      <c r="J129" s="52"/>
      <c r="K129" s="136"/>
      <c r="L129" s="53"/>
      <c r="M129" s="53"/>
      <c r="N129" s="53"/>
      <c r="O129" s="53"/>
      <c r="P129" s="53"/>
      <c r="Q129" s="53"/>
      <c r="R129" s="53"/>
      <c r="S129" s="136"/>
      <c r="T129" s="136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</row>
    <row r="130" ht="12.75" customHeight="1">
      <c r="A130" s="136"/>
      <c r="B130" s="136"/>
      <c r="C130" s="136"/>
      <c r="D130" s="136"/>
      <c r="E130" s="136"/>
      <c r="F130" s="136"/>
      <c r="G130" s="136"/>
      <c r="H130" s="52"/>
      <c r="I130" s="52"/>
      <c r="J130" s="52"/>
      <c r="K130" s="136"/>
      <c r="L130" s="53"/>
      <c r="M130" s="53"/>
      <c r="N130" s="53"/>
      <c r="O130" s="53"/>
      <c r="P130" s="53"/>
      <c r="Q130" s="53"/>
      <c r="R130" s="53"/>
      <c r="S130" s="136"/>
      <c r="T130" s="136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</row>
    <row r="131" ht="12.75" customHeight="1">
      <c r="A131" s="136"/>
      <c r="B131" s="136"/>
      <c r="C131" s="136"/>
      <c r="D131" s="136"/>
      <c r="E131" s="136"/>
      <c r="F131" s="136"/>
      <c r="G131" s="136"/>
      <c r="H131" s="52"/>
      <c r="I131" s="52"/>
      <c r="J131" s="52"/>
      <c r="K131" s="136"/>
      <c r="L131" s="53"/>
      <c r="M131" s="53"/>
      <c r="N131" s="53"/>
      <c r="O131" s="53"/>
      <c r="P131" s="53"/>
      <c r="Q131" s="53"/>
      <c r="R131" s="53"/>
      <c r="S131" s="136"/>
      <c r="T131" s="136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</row>
    <row r="132" ht="12.75" customHeight="1">
      <c r="A132" s="136"/>
      <c r="B132" s="136"/>
      <c r="C132" s="136"/>
      <c r="D132" s="136"/>
      <c r="E132" s="136"/>
      <c r="F132" s="136"/>
      <c r="G132" s="136"/>
      <c r="H132" s="52"/>
      <c r="I132" s="52"/>
      <c r="J132" s="52"/>
      <c r="K132" s="136"/>
      <c r="L132" s="53"/>
      <c r="M132" s="53"/>
      <c r="N132" s="53"/>
      <c r="O132" s="53"/>
      <c r="P132" s="53"/>
      <c r="Q132" s="53"/>
      <c r="R132" s="53"/>
      <c r="S132" s="136"/>
      <c r="T132" s="136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</row>
    <row r="133" ht="12.75" customHeight="1">
      <c r="A133" s="136"/>
      <c r="B133" s="136"/>
      <c r="C133" s="136"/>
      <c r="D133" s="136"/>
      <c r="E133" s="136"/>
      <c r="F133" s="136"/>
      <c r="G133" s="136"/>
      <c r="H133" s="52"/>
      <c r="I133" s="52"/>
      <c r="J133" s="52"/>
      <c r="K133" s="136"/>
      <c r="L133" s="53"/>
      <c r="M133" s="53"/>
      <c r="N133" s="53"/>
      <c r="O133" s="53"/>
      <c r="P133" s="53"/>
      <c r="Q133" s="53"/>
      <c r="R133" s="53"/>
      <c r="S133" s="136"/>
      <c r="T133" s="136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</row>
    <row r="134" ht="12.75" customHeight="1">
      <c r="A134" s="136"/>
      <c r="B134" s="136"/>
      <c r="C134" s="136"/>
      <c r="D134" s="136"/>
      <c r="E134" s="136"/>
      <c r="F134" s="136"/>
      <c r="G134" s="136"/>
      <c r="H134" s="52"/>
      <c r="I134" s="52"/>
      <c r="J134" s="52"/>
      <c r="K134" s="136"/>
      <c r="L134" s="53"/>
      <c r="M134" s="53"/>
      <c r="N134" s="53"/>
      <c r="O134" s="53"/>
      <c r="P134" s="53"/>
      <c r="Q134" s="53"/>
      <c r="R134" s="53"/>
      <c r="S134" s="136"/>
      <c r="T134" s="136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</row>
    <row r="135" ht="12.75" customHeight="1">
      <c r="A135" s="136"/>
      <c r="B135" s="136"/>
      <c r="C135" s="136"/>
      <c r="D135" s="136"/>
      <c r="E135" s="136"/>
      <c r="F135" s="136"/>
      <c r="G135" s="136"/>
      <c r="H135" s="52"/>
      <c r="I135" s="52"/>
      <c r="J135" s="52"/>
      <c r="K135" s="136"/>
      <c r="L135" s="53"/>
      <c r="M135" s="53"/>
      <c r="N135" s="53"/>
      <c r="O135" s="53"/>
      <c r="P135" s="53"/>
      <c r="Q135" s="53"/>
      <c r="R135" s="53"/>
      <c r="S135" s="136"/>
      <c r="T135" s="136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</row>
    <row r="136" ht="12.75" customHeight="1">
      <c r="A136" s="136"/>
      <c r="B136" s="136"/>
      <c r="C136" s="136"/>
      <c r="D136" s="136"/>
      <c r="E136" s="136"/>
      <c r="F136" s="136"/>
      <c r="G136" s="136"/>
      <c r="H136" s="52"/>
      <c r="I136" s="52"/>
      <c r="J136" s="52"/>
      <c r="K136" s="136"/>
      <c r="L136" s="53"/>
      <c r="M136" s="53"/>
      <c r="N136" s="53"/>
      <c r="O136" s="53"/>
      <c r="P136" s="53"/>
      <c r="Q136" s="53"/>
      <c r="R136" s="53"/>
      <c r="S136" s="136"/>
      <c r="T136" s="136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</row>
    <row r="137" ht="12.75" customHeight="1">
      <c r="A137" s="136"/>
      <c r="B137" s="136"/>
      <c r="C137" s="136"/>
      <c r="D137" s="136"/>
      <c r="E137" s="136"/>
      <c r="F137" s="136"/>
      <c r="G137" s="136"/>
      <c r="H137" s="52"/>
      <c r="I137" s="52"/>
      <c r="J137" s="52"/>
      <c r="K137" s="136"/>
      <c r="L137" s="53"/>
      <c r="M137" s="53"/>
      <c r="N137" s="53"/>
      <c r="O137" s="53"/>
      <c r="P137" s="53"/>
      <c r="Q137" s="53"/>
      <c r="R137" s="53"/>
      <c r="S137" s="136"/>
      <c r="T137" s="136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</row>
    <row r="138" ht="12.75" customHeight="1">
      <c r="A138" s="136"/>
      <c r="B138" s="136"/>
      <c r="C138" s="136"/>
      <c r="D138" s="136"/>
      <c r="E138" s="136"/>
      <c r="F138" s="136"/>
      <c r="G138" s="136"/>
      <c r="H138" s="52"/>
      <c r="I138" s="52"/>
      <c r="J138" s="52"/>
      <c r="K138" s="136"/>
      <c r="L138" s="53"/>
      <c r="M138" s="53"/>
      <c r="N138" s="53"/>
      <c r="O138" s="53"/>
      <c r="P138" s="53"/>
      <c r="Q138" s="53"/>
      <c r="R138" s="53"/>
      <c r="S138" s="136"/>
      <c r="T138" s="136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</row>
    <row r="139" ht="12.75" customHeight="1">
      <c r="A139" s="136"/>
      <c r="B139" s="136"/>
      <c r="C139" s="136"/>
      <c r="D139" s="136"/>
      <c r="E139" s="136"/>
      <c r="F139" s="136"/>
      <c r="G139" s="136"/>
      <c r="H139" s="52"/>
      <c r="I139" s="52"/>
      <c r="J139" s="52"/>
      <c r="K139" s="136"/>
      <c r="L139" s="53"/>
      <c r="M139" s="53"/>
      <c r="N139" s="53"/>
      <c r="O139" s="53"/>
      <c r="P139" s="53"/>
      <c r="Q139" s="53"/>
      <c r="R139" s="53"/>
      <c r="S139" s="136"/>
      <c r="T139" s="136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</row>
    <row r="140" ht="12.75" customHeight="1">
      <c r="A140" s="136"/>
      <c r="B140" s="136"/>
      <c r="C140" s="136"/>
      <c r="D140" s="136"/>
      <c r="E140" s="136"/>
      <c r="F140" s="136"/>
      <c r="G140" s="136"/>
      <c r="H140" s="52"/>
      <c r="I140" s="52"/>
      <c r="J140" s="52"/>
      <c r="K140" s="136"/>
      <c r="L140" s="53"/>
      <c r="M140" s="53"/>
      <c r="N140" s="53"/>
      <c r="O140" s="53"/>
      <c r="P140" s="53"/>
      <c r="Q140" s="53"/>
      <c r="R140" s="53"/>
      <c r="S140" s="136"/>
      <c r="T140" s="136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</row>
    <row r="141" ht="12.75" customHeight="1">
      <c r="A141" s="136"/>
      <c r="B141" s="136"/>
      <c r="C141" s="136"/>
      <c r="D141" s="136"/>
      <c r="E141" s="136"/>
      <c r="F141" s="136"/>
      <c r="G141" s="136"/>
      <c r="H141" s="52"/>
      <c r="I141" s="52"/>
      <c r="J141" s="52"/>
      <c r="K141" s="136"/>
      <c r="L141" s="53"/>
      <c r="M141" s="53"/>
      <c r="N141" s="53"/>
      <c r="O141" s="53"/>
      <c r="P141" s="53"/>
      <c r="Q141" s="53"/>
      <c r="R141" s="53"/>
      <c r="S141" s="136"/>
      <c r="T141" s="136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</row>
    <row r="142" ht="12.75" customHeight="1">
      <c r="A142" s="136"/>
      <c r="B142" s="136"/>
      <c r="C142" s="136"/>
      <c r="D142" s="136"/>
      <c r="E142" s="136"/>
      <c r="F142" s="136"/>
      <c r="G142" s="136"/>
      <c r="H142" s="52"/>
      <c r="I142" s="52"/>
      <c r="J142" s="52"/>
      <c r="K142" s="136"/>
      <c r="L142" s="53"/>
      <c r="M142" s="53"/>
      <c r="N142" s="53"/>
      <c r="O142" s="53"/>
      <c r="P142" s="53"/>
      <c r="Q142" s="53"/>
      <c r="R142" s="53"/>
      <c r="S142" s="136"/>
      <c r="T142" s="136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</row>
    <row r="143" ht="12.75" customHeight="1">
      <c r="A143" s="136"/>
      <c r="B143" s="136"/>
      <c r="C143" s="136"/>
      <c r="D143" s="136"/>
      <c r="E143" s="136"/>
      <c r="F143" s="136"/>
      <c r="G143" s="136"/>
      <c r="H143" s="52"/>
      <c r="I143" s="52"/>
      <c r="J143" s="52"/>
      <c r="K143" s="136"/>
      <c r="L143" s="53"/>
      <c r="M143" s="53"/>
      <c r="N143" s="53"/>
      <c r="O143" s="53"/>
      <c r="P143" s="53"/>
      <c r="Q143" s="53"/>
      <c r="R143" s="53"/>
      <c r="S143" s="136"/>
      <c r="T143" s="136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</row>
    <row r="144" ht="12.75" customHeight="1">
      <c r="A144" s="136"/>
      <c r="B144" s="136"/>
      <c r="C144" s="136"/>
      <c r="D144" s="136"/>
      <c r="E144" s="136"/>
      <c r="F144" s="136"/>
      <c r="G144" s="136"/>
      <c r="H144" s="52"/>
      <c r="I144" s="52"/>
      <c r="J144" s="52"/>
      <c r="K144" s="136"/>
      <c r="L144" s="53"/>
      <c r="M144" s="53"/>
      <c r="N144" s="53"/>
      <c r="O144" s="53"/>
      <c r="P144" s="53"/>
      <c r="Q144" s="53"/>
      <c r="R144" s="53"/>
      <c r="S144" s="136"/>
      <c r="T144" s="136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</row>
    <row r="145" ht="12.75" customHeight="1">
      <c r="A145" s="136"/>
      <c r="B145" s="136"/>
      <c r="C145" s="136"/>
      <c r="D145" s="136"/>
      <c r="E145" s="136"/>
      <c r="F145" s="136"/>
      <c r="G145" s="136"/>
      <c r="H145" s="52"/>
      <c r="I145" s="52"/>
      <c r="J145" s="52"/>
      <c r="K145" s="136"/>
      <c r="L145" s="53"/>
      <c r="M145" s="53"/>
      <c r="N145" s="53"/>
      <c r="O145" s="53"/>
      <c r="P145" s="53"/>
      <c r="Q145" s="53"/>
      <c r="R145" s="53"/>
      <c r="S145" s="136"/>
      <c r="T145" s="136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</row>
    <row r="146" ht="12.75" customHeight="1">
      <c r="A146" s="136"/>
      <c r="B146" s="136"/>
      <c r="C146" s="136"/>
      <c r="D146" s="136"/>
      <c r="E146" s="136"/>
      <c r="F146" s="136"/>
      <c r="G146" s="136"/>
      <c r="H146" s="52"/>
      <c r="I146" s="52"/>
      <c r="J146" s="52"/>
      <c r="K146" s="136"/>
      <c r="L146" s="53"/>
      <c r="M146" s="53"/>
      <c r="N146" s="53"/>
      <c r="O146" s="53"/>
      <c r="P146" s="53"/>
      <c r="Q146" s="53"/>
      <c r="R146" s="53"/>
      <c r="S146" s="136"/>
      <c r="T146" s="136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</row>
    <row r="147" ht="12.75" customHeight="1">
      <c r="A147" s="136"/>
      <c r="B147" s="136"/>
      <c r="C147" s="136"/>
      <c r="D147" s="136"/>
      <c r="E147" s="136"/>
      <c r="F147" s="136"/>
      <c r="G147" s="136"/>
      <c r="H147" s="52"/>
      <c r="I147" s="52"/>
      <c r="J147" s="52"/>
      <c r="K147" s="136"/>
      <c r="L147" s="53"/>
      <c r="M147" s="53"/>
      <c r="N147" s="53"/>
      <c r="O147" s="53"/>
      <c r="P147" s="53"/>
      <c r="Q147" s="53"/>
      <c r="R147" s="53"/>
      <c r="S147" s="136"/>
      <c r="T147" s="136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</row>
    <row r="148" ht="12.75" customHeight="1">
      <c r="A148" s="136"/>
      <c r="B148" s="136"/>
      <c r="C148" s="136"/>
      <c r="D148" s="136"/>
      <c r="E148" s="136"/>
      <c r="F148" s="136"/>
      <c r="G148" s="136"/>
      <c r="H148" s="52"/>
      <c r="I148" s="52"/>
      <c r="J148" s="52"/>
      <c r="K148" s="136"/>
      <c r="L148" s="53"/>
      <c r="M148" s="53"/>
      <c r="N148" s="53"/>
      <c r="O148" s="53"/>
      <c r="P148" s="53"/>
      <c r="Q148" s="53"/>
      <c r="R148" s="53"/>
      <c r="S148" s="136"/>
      <c r="T148" s="136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</row>
    <row r="149" ht="12.75" customHeight="1">
      <c r="A149" s="136"/>
      <c r="B149" s="136"/>
      <c r="C149" s="136"/>
      <c r="D149" s="136"/>
      <c r="E149" s="136"/>
      <c r="F149" s="136"/>
      <c r="G149" s="136"/>
      <c r="H149" s="52"/>
      <c r="I149" s="52"/>
      <c r="J149" s="52"/>
      <c r="K149" s="136"/>
      <c r="L149" s="53"/>
      <c r="M149" s="53"/>
      <c r="N149" s="53"/>
      <c r="O149" s="53"/>
      <c r="P149" s="53"/>
      <c r="Q149" s="53"/>
      <c r="R149" s="53"/>
      <c r="S149" s="136"/>
      <c r="T149" s="136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</row>
    <row r="150" ht="12.75" customHeight="1">
      <c r="A150" s="136"/>
      <c r="B150" s="136"/>
      <c r="C150" s="136"/>
      <c r="D150" s="136"/>
      <c r="E150" s="136"/>
      <c r="F150" s="136"/>
      <c r="G150" s="136"/>
      <c r="H150" s="52"/>
      <c r="I150" s="52"/>
      <c r="J150" s="52"/>
      <c r="K150" s="136"/>
      <c r="L150" s="53"/>
      <c r="M150" s="53"/>
      <c r="N150" s="53"/>
      <c r="O150" s="53"/>
      <c r="P150" s="53"/>
      <c r="Q150" s="53"/>
      <c r="R150" s="53"/>
      <c r="S150" s="136"/>
      <c r="T150" s="136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</row>
    <row r="151" ht="12.75" customHeight="1">
      <c r="A151" s="136"/>
      <c r="B151" s="136"/>
      <c r="C151" s="136"/>
      <c r="D151" s="136"/>
      <c r="E151" s="136"/>
      <c r="F151" s="136"/>
      <c r="G151" s="136"/>
      <c r="H151" s="52"/>
      <c r="I151" s="52"/>
      <c r="J151" s="52"/>
      <c r="K151" s="136"/>
      <c r="L151" s="53"/>
      <c r="M151" s="53"/>
      <c r="N151" s="53"/>
      <c r="O151" s="53"/>
      <c r="P151" s="53"/>
      <c r="Q151" s="53"/>
      <c r="R151" s="53"/>
      <c r="S151" s="136"/>
      <c r="T151" s="136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</row>
    <row r="152" ht="12.75" customHeight="1">
      <c r="A152" s="136"/>
      <c r="B152" s="136"/>
      <c r="C152" s="136"/>
      <c r="D152" s="136"/>
      <c r="E152" s="136"/>
      <c r="F152" s="136"/>
      <c r="G152" s="136"/>
      <c r="H152" s="52"/>
      <c r="I152" s="52"/>
      <c r="J152" s="52"/>
      <c r="K152" s="136"/>
      <c r="L152" s="53"/>
      <c r="M152" s="53"/>
      <c r="N152" s="53"/>
      <c r="O152" s="53"/>
      <c r="P152" s="53"/>
      <c r="Q152" s="53"/>
      <c r="R152" s="53"/>
      <c r="S152" s="136"/>
      <c r="T152" s="136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</row>
    <row r="153" ht="12.75" customHeight="1">
      <c r="A153" s="136"/>
      <c r="B153" s="136"/>
      <c r="C153" s="136"/>
      <c r="D153" s="136"/>
      <c r="E153" s="136"/>
      <c r="F153" s="136"/>
      <c r="G153" s="136"/>
      <c r="H153" s="52"/>
      <c r="I153" s="52"/>
      <c r="J153" s="52"/>
      <c r="K153" s="136"/>
      <c r="L153" s="53"/>
      <c r="M153" s="53"/>
      <c r="N153" s="53"/>
      <c r="O153" s="53"/>
      <c r="P153" s="53"/>
      <c r="Q153" s="53"/>
      <c r="R153" s="53"/>
      <c r="S153" s="136"/>
      <c r="T153" s="136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</row>
    <row r="154" ht="12.75" customHeight="1">
      <c r="A154" s="136"/>
      <c r="B154" s="136"/>
      <c r="C154" s="136"/>
      <c r="D154" s="136"/>
      <c r="E154" s="136"/>
      <c r="F154" s="136"/>
      <c r="G154" s="136"/>
      <c r="H154" s="52"/>
      <c r="I154" s="52"/>
      <c r="J154" s="52"/>
      <c r="K154" s="136"/>
      <c r="L154" s="53"/>
      <c r="M154" s="53"/>
      <c r="N154" s="53"/>
      <c r="O154" s="53"/>
      <c r="P154" s="53"/>
      <c r="Q154" s="53"/>
      <c r="R154" s="53"/>
      <c r="S154" s="136"/>
      <c r="T154" s="136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</row>
    <row r="155" ht="12.75" customHeight="1">
      <c r="A155" s="136"/>
      <c r="B155" s="136"/>
      <c r="C155" s="136"/>
      <c r="D155" s="136"/>
      <c r="E155" s="136"/>
      <c r="F155" s="136"/>
      <c r="G155" s="136"/>
      <c r="H155" s="52"/>
      <c r="I155" s="52"/>
      <c r="J155" s="52"/>
      <c r="K155" s="136"/>
      <c r="L155" s="53"/>
      <c r="M155" s="53"/>
      <c r="N155" s="53"/>
      <c r="O155" s="53"/>
      <c r="P155" s="53"/>
      <c r="Q155" s="53"/>
      <c r="R155" s="53"/>
      <c r="S155" s="136"/>
      <c r="T155" s="136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</row>
    <row r="156" ht="12.75" customHeight="1">
      <c r="A156" s="136"/>
      <c r="B156" s="136"/>
      <c r="C156" s="136"/>
      <c r="D156" s="136"/>
      <c r="E156" s="136"/>
      <c r="F156" s="136"/>
      <c r="G156" s="136"/>
      <c r="H156" s="52"/>
      <c r="I156" s="52"/>
      <c r="J156" s="52"/>
      <c r="K156" s="136"/>
      <c r="L156" s="53"/>
      <c r="M156" s="53"/>
      <c r="N156" s="53"/>
      <c r="O156" s="53"/>
      <c r="P156" s="53"/>
      <c r="Q156" s="53"/>
      <c r="R156" s="53"/>
      <c r="S156" s="136"/>
      <c r="T156" s="136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</row>
    <row r="157" ht="12.75" customHeight="1">
      <c r="A157" s="136"/>
      <c r="B157" s="136"/>
      <c r="C157" s="136"/>
      <c r="D157" s="136"/>
      <c r="E157" s="136"/>
      <c r="F157" s="136"/>
      <c r="G157" s="136"/>
      <c r="H157" s="52"/>
      <c r="I157" s="52"/>
      <c r="J157" s="52"/>
      <c r="K157" s="136"/>
      <c r="L157" s="53"/>
      <c r="M157" s="53"/>
      <c r="N157" s="53"/>
      <c r="O157" s="53"/>
      <c r="P157" s="53"/>
      <c r="Q157" s="53"/>
      <c r="R157" s="53"/>
      <c r="S157" s="136"/>
      <c r="T157" s="136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</row>
    <row r="158" ht="12.75" customHeight="1">
      <c r="A158" s="136"/>
      <c r="B158" s="136"/>
      <c r="C158" s="136"/>
      <c r="D158" s="136"/>
      <c r="E158" s="136"/>
      <c r="F158" s="136"/>
      <c r="G158" s="136"/>
      <c r="H158" s="52"/>
      <c r="I158" s="52"/>
      <c r="J158" s="52"/>
      <c r="K158" s="136"/>
      <c r="L158" s="53"/>
      <c r="M158" s="53"/>
      <c r="N158" s="53"/>
      <c r="O158" s="53"/>
      <c r="P158" s="53"/>
      <c r="Q158" s="53"/>
      <c r="R158" s="53"/>
      <c r="S158" s="136"/>
      <c r="T158" s="136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</row>
    <row r="159" ht="12.75" customHeight="1">
      <c r="A159" s="136"/>
      <c r="B159" s="136"/>
      <c r="C159" s="136"/>
      <c r="D159" s="136"/>
      <c r="E159" s="136"/>
      <c r="F159" s="136"/>
      <c r="G159" s="136"/>
      <c r="H159" s="52"/>
      <c r="I159" s="52"/>
      <c r="J159" s="52"/>
      <c r="K159" s="136"/>
      <c r="L159" s="53"/>
      <c r="M159" s="53"/>
      <c r="N159" s="53"/>
      <c r="O159" s="53"/>
      <c r="P159" s="53"/>
      <c r="Q159" s="53"/>
      <c r="R159" s="53"/>
      <c r="S159" s="136"/>
      <c r="T159" s="136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</row>
    <row r="160" ht="12.75" customHeight="1">
      <c r="A160" s="136"/>
      <c r="B160" s="136"/>
      <c r="C160" s="136"/>
      <c r="D160" s="136"/>
      <c r="E160" s="136"/>
      <c r="F160" s="136"/>
      <c r="G160" s="136"/>
      <c r="H160" s="52"/>
      <c r="I160" s="52"/>
      <c r="J160" s="52"/>
      <c r="K160" s="136"/>
      <c r="L160" s="53"/>
      <c r="M160" s="53"/>
      <c r="N160" s="53"/>
      <c r="O160" s="53"/>
      <c r="P160" s="53"/>
      <c r="Q160" s="53"/>
      <c r="R160" s="53"/>
      <c r="S160" s="136"/>
      <c r="T160" s="136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</row>
    <row r="161" ht="12.75" customHeight="1">
      <c r="A161" s="136"/>
      <c r="B161" s="136"/>
      <c r="C161" s="136"/>
      <c r="D161" s="136"/>
      <c r="E161" s="136"/>
      <c r="F161" s="136"/>
      <c r="G161" s="136"/>
      <c r="H161" s="52"/>
      <c r="I161" s="52"/>
      <c r="J161" s="52"/>
      <c r="K161" s="136"/>
      <c r="L161" s="53"/>
      <c r="M161" s="53"/>
      <c r="N161" s="53"/>
      <c r="O161" s="53"/>
      <c r="P161" s="53"/>
      <c r="Q161" s="53"/>
      <c r="R161" s="53"/>
      <c r="S161" s="136"/>
      <c r="T161" s="136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</row>
    <row r="162" ht="12.75" customHeight="1">
      <c r="A162" s="136"/>
      <c r="B162" s="136"/>
      <c r="C162" s="136"/>
      <c r="D162" s="136"/>
      <c r="E162" s="136"/>
      <c r="F162" s="136"/>
      <c r="G162" s="136"/>
      <c r="H162" s="52"/>
      <c r="I162" s="52"/>
      <c r="J162" s="52"/>
      <c r="K162" s="136"/>
      <c r="L162" s="53"/>
      <c r="M162" s="53"/>
      <c r="N162" s="53"/>
      <c r="O162" s="53"/>
      <c r="P162" s="53"/>
      <c r="Q162" s="53"/>
      <c r="R162" s="53"/>
      <c r="S162" s="136"/>
      <c r="T162" s="136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</row>
    <row r="163" ht="12.75" customHeight="1">
      <c r="A163" s="136"/>
      <c r="B163" s="136"/>
      <c r="C163" s="136"/>
      <c r="D163" s="136"/>
      <c r="E163" s="136"/>
      <c r="F163" s="136"/>
      <c r="G163" s="136"/>
      <c r="H163" s="52"/>
      <c r="I163" s="52"/>
      <c r="J163" s="52"/>
      <c r="K163" s="136"/>
      <c r="L163" s="53"/>
      <c r="M163" s="53"/>
      <c r="N163" s="53"/>
      <c r="O163" s="53"/>
      <c r="P163" s="53"/>
      <c r="Q163" s="53"/>
      <c r="R163" s="53"/>
      <c r="S163" s="136"/>
      <c r="T163" s="136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</row>
    <row r="164" ht="12.75" customHeight="1">
      <c r="A164" s="136"/>
      <c r="B164" s="136"/>
      <c r="C164" s="136"/>
      <c r="D164" s="136"/>
      <c r="E164" s="136"/>
      <c r="F164" s="136"/>
      <c r="G164" s="136"/>
      <c r="H164" s="52"/>
      <c r="I164" s="52"/>
      <c r="J164" s="52"/>
      <c r="K164" s="136"/>
      <c r="L164" s="53"/>
      <c r="M164" s="53"/>
      <c r="N164" s="53"/>
      <c r="O164" s="53"/>
      <c r="P164" s="53"/>
      <c r="Q164" s="53"/>
      <c r="R164" s="53"/>
      <c r="S164" s="136"/>
      <c r="T164" s="136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</row>
    <row r="165" ht="12.75" customHeight="1">
      <c r="A165" s="136"/>
      <c r="B165" s="136"/>
      <c r="C165" s="136"/>
      <c r="D165" s="136"/>
      <c r="E165" s="136"/>
      <c r="F165" s="136"/>
      <c r="G165" s="136"/>
      <c r="H165" s="52"/>
      <c r="I165" s="52"/>
      <c r="J165" s="52"/>
      <c r="K165" s="136"/>
      <c r="L165" s="53"/>
      <c r="M165" s="53"/>
      <c r="N165" s="53"/>
      <c r="O165" s="53"/>
      <c r="P165" s="53"/>
      <c r="Q165" s="53"/>
      <c r="R165" s="53"/>
      <c r="S165" s="136"/>
      <c r="T165" s="136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</row>
    <row r="166" ht="12.75" customHeight="1">
      <c r="A166" s="136"/>
      <c r="B166" s="136"/>
      <c r="C166" s="136"/>
      <c r="D166" s="136"/>
      <c r="E166" s="136"/>
      <c r="F166" s="136"/>
      <c r="G166" s="136"/>
      <c r="H166" s="52"/>
      <c r="I166" s="52"/>
      <c r="J166" s="52"/>
      <c r="K166" s="136"/>
      <c r="L166" s="53"/>
      <c r="M166" s="53"/>
      <c r="N166" s="53"/>
      <c r="O166" s="53"/>
      <c r="P166" s="53"/>
      <c r="Q166" s="53"/>
      <c r="R166" s="53"/>
      <c r="S166" s="136"/>
      <c r="T166" s="136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</row>
    <row r="167" ht="12.75" customHeight="1">
      <c r="A167" s="136"/>
      <c r="B167" s="136"/>
      <c r="C167" s="136"/>
      <c r="D167" s="136"/>
      <c r="E167" s="136"/>
      <c r="F167" s="136"/>
      <c r="G167" s="136"/>
      <c r="H167" s="52"/>
      <c r="I167" s="52"/>
      <c r="J167" s="52"/>
      <c r="K167" s="136"/>
      <c r="L167" s="53"/>
      <c r="M167" s="53"/>
      <c r="N167" s="53"/>
      <c r="O167" s="53"/>
      <c r="P167" s="53"/>
      <c r="Q167" s="53"/>
      <c r="R167" s="53"/>
      <c r="S167" s="136"/>
      <c r="T167" s="136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</row>
    <row r="168" ht="12.75" customHeight="1">
      <c r="A168" s="136"/>
      <c r="B168" s="136"/>
      <c r="C168" s="136"/>
      <c r="D168" s="136"/>
      <c r="E168" s="136"/>
      <c r="F168" s="136"/>
      <c r="G168" s="136"/>
      <c r="H168" s="52"/>
      <c r="I168" s="52"/>
      <c r="J168" s="52"/>
      <c r="K168" s="136"/>
      <c r="L168" s="53"/>
      <c r="M168" s="53"/>
      <c r="N168" s="53"/>
      <c r="O168" s="53"/>
      <c r="P168" s="53"/>
      <c r="Q168" s="53"/>
      <c r="R168" s="53"/>
      <c r="S168" s="136"/>
      <c r="T168" s="136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</row>
    <row r="169" ht="12.75" customHeight="1">
      <c r="A169" s="136"/>
      <c r="B169" s="136"/>
      <c r="C169" s="136"/>
      <c r="D169" s="136"/>
      <c r="E169" s="136"/>
      <c r="F169" s="136"/>
      <c r="G169" s="136"/>
      <c r="H169" s="52"/>
      <c r="I169" s="52"/>
      <c r="J169" s="52"/>
      <c r="K169" s="136"/>
      <c r="L169" s="53"/>
      <c r="M169" s="53"/>
      <c r="N169" s="53"/>
      <c r="O169" s="53"/>
      <c r="P169" s="53"/>
      <c r="Q169" s="53"/>
      <c r="R169" s="53"/>
      <c r="S169" s="136"/>
      <c r="T169" s="136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</row>
    <row r="170" ht="12.75" customHeight="1">
      <c r="A170" s="136"/>
      <c r="B170" s="136"/>
      <c r="C170" s="136"/>
      <c r="D170" s="136"/>
      <c r="E170" s="136"/>
      <c r="F170" s="136"/>
      <c r="G170" s="136"/>
      <c r="H170" s="52"/>
      <c r="I170" s="52"/>
      <c r="J170" s="52"/>
      <c r="K170" s="136"/>
      <c r="L170" s="53"/>
      <c r="M170" s="53"/>
      <c r="N170" s="53"/>
      <c r="O170" s="53"/>
      <c r="P170" s="53"/>
      <c r="Q170" s="53"/>
      <c r="R170" s="53"/>
      <c r="S170" s="136"/>
      <c r="T170" s="136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</row>
    <row r="171" ht="12.75" customHeight="1">
      <c r="A171" s="136"/>
      <c r="B171" s="136"/>
      <c r="C171" s="136"/>
      <c r="D171" s="136"/>
      <c r="E171" s="136"/>
      <c r="F171" s="136"/>
      <c r="G171" s="136"/>
      <c r="H171" s="52"/>
      <c r="I171" s="52"/>
      <c r="J171" s="52"/>
      <c r="K171" s="136"/>
      <c r="L171" s="53"/>
      <c r="M171" s="53"/>
      <c r="N171" s="53"/>
      <c r="O171" s="53"/>
      <c r="P171" s="53"/>
      <c r="Q171" s="53"/>
      <c r="R171" s="53"/>
      <c r="S171" s="136"/>
      <c r="T171" s="136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</row>
    <row r="172" ht="12.75" customHeight="1">
      <c r="A172" s="136"/>
      <c r="B172" s="136"/>
      <c r="C172" s="136"/>
      <c r="D172" s="136"/>
      <c r="E172" s="136"/>
      <c r="F172" s="136"/>
      <c r="G172" s="136"/>
      <c r="H172" s="52"/>
      <c r="I172" s="52"/>
      <c r="J172" s="52"/>
      <c r="K172" s="136"/>
      <c r="L172" s="53"/>
      <c r="M172" s="53"/>
      <c r="N172" s="53"/>
      <c r="O172" s="53"/>
      <c r="P172" s="53"/>
      <c r="Q172" s="53"/>
      <c r="R172" s="53"/>
      <c r="S172" s="136"/>
      <c r="T172" s="136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</row>
    <row r="173" ht="12.75" customHeight="1">
      <c r="A173" s="136"/>
      <c r="B173" s="136"/>
      <c r="C173" s="136"/>
      <c r="D173" s="136"/>
      <c r="E173" s="136"/>
      <c r="F173" s="136"/>
      <c r="G173" s="136"/>
      <c r="H173" s="52"/>
      <c r="I173" s="52"/>
      <c r="J173" s="52"/>
      <c r="K173" s="136"/>
      <c r="L173" s="53"/>
      <c r="M173" s="53"/>
      <c r="N173" s="53"/>
      <c r="O173" s="53"/>
      <c r="P173" s="53"/>
      <c r="Q173" s="53"/>
      <c r="R173" s="53"/>
      <c r="S173" s="136"/>
      <c r="T173" s="136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</row>
    <row r="174" ht="12.75" customHeight="1">
      <c r="A174" s="136"/>
      <c r="B174" s="136"/>
      <c r="C174" s="136"/>
      <c r="D174" s="136"/>
      <c r="E174" s="136"/>
      <c r="F174" s="136"/>
      <c r="G174" s="136"/>
      <c r="H174" s="52"/>
      <c r="I174" s="52"/>
      <c r="J174" s="52"/>
      <c r="K174" s="136"/>
      <c r="L174" s="53"/>
      <c r="M174" s="53"/>
      <c r="N174" s="53"/>
      <c r="O174" s="53"/>
      <c r="P174" s="53"/>
      <c r="Q174" s="53"/>
      <c r="R174" s="53"/>
      <c r="S174" s="136"/>
      <c r="T174" s="136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</row>
    <row r="175" ht="12.75" customHeight="1">
      <c r="A175" s="136"/>
      <c r="B175" s="136"/>
      <c r="C175" s="136"/>
      <c r="D175" s="136"/>
      <c r="E175" s="136"/>
      <c r="F175" s="136"/>
      <c r="G175" s="136"/>
      <c r="H175" s="52"/>
      <c r="I175" s="52"/>
      <c r="J175" s="52"/>
      <c r="K175" s="136"/>
      <c r="L175" s="53"/>
      <c r="M175" s="53"/>
      <c r="N175" s="53"/>
      <c r="O175" s="53"/>
      <c r="P175" s="53"/>
      <c r="Q175" s="53"/>
      <c r="R175" s="53"/>
      <c r="S175" s="136"/>
      <c r="T175" s="136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</row>
    <row r="176" ht="12.75" customHeight="1">
      <c r="A176" s="136"/>
      <c r="B176" s="136"/>
      <c r="C176" s="136"/>
      <c r="D176" s="136"/>
      <c r="E176" s="136"/>
      <c r="F176" s="136"/>
      <c r="G176" s="136"/>
      <c r="H176" s="52"/>
      <c r="I176" s="52"/>
      <c r="J176" s="52"/>
      <c r="K176" s="136"/>
      <c r="L176" s="53"/>
      <c r="M176" s="53"/>
      <c r="N176" s="53"/>
      <c r="O176" s="53"/>
      <c r="P176" s="53"/>
      <c r="Q176" s="53"/>
      <c r="R176" s="53"/>
      <c r="S176" s="136"/>
      <c r="T176" s="136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</row>
    <row r="177" ht="12.75" customHeight="1">
      <c r="A177" s="136"/>
      <c r="B177" s="136"/>
      <c r="C177" s="136"/>
      <c r="D177" s="136"/>
      <c r="E177" s="136"/>
      <c r="F177" s="136"/>
      <c r="G177" s="136"/>
      <c r="H177" s="52"/>
      <c r="I177" s="52"/>
      <c r="J177" s="52"/>
      <c r="K177" s="136"/>
      <c r="L177" s="53"/>
      <c r="M177" s="53"/>
      <c r="N177" s="53"/>
      <c r="O177" s="53"/>
      <c r="P177" s="53"/>
      <c r="Q177" s="53"/>
      <c r="R177" s="53"/>
      <c r="S177" s="136"/>
      <c r="T177" s="136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</row>
    <row r="178" ht="12.75" customHeight="1">
      <c r="A178" s="136"/>
      <c r="B178" s="136"/>
      <c r="C178" s="136"/>
      <c r="D178" s="136"/>
      <c r="E178" s="136"/>
      <c r="F178" s="136"/>
      <c r="G178" s="136"/>
      <c r="H178" s="52"/>
      <c r="I178" s="52"/>
      <c r="J178" s="52"/>
      <c r="K178" s="136"/>
      <c r="L178" s="53"/>
      <c r="M178" s="53"/>
      <c r="N178" s="53"/>
      <c r="O178" s="53"/>
      <c r="P178" s="53"/>
      <c r="Q178" s="53"/>
      <c r="R178" s="53"/>
      <c r="S178" s="136"/>
      <c r="T178" s="136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</row>
    <row r="179" ht="12.75" customHeight="1">
      <c r="A179" s="136"/>
      <c r="B179" s="136"/>
      <c r="C179" s="136"/>
      <c r="D179" s="136"/>
      <c r="E179" s="136"/>
      <c r="F179" s="136"/>
      <c r="G179" s="136"/>
      <c r="H179" s="52"/>
      <c r="I179" s="52"/>
      <c r="J179" s="52"/>
      <c r="K179" s="136"/>
      <c r="L179" s="53"/>
      <c r="M179" s="53"/>
      <c r="N179" s="53"/>
      <c r="O179" s="53"/>
      <c r="P179" s="53"/>
      <c r="Q179" s="53"/>
      <c r="R179" s="53"/>
      <c r="S179" s="136"/>
      <c r="T179" s="136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</row>
    <row r="180" ht="12.75" customHeight="1">
      <c r="A180" s="136"/>
      <c r="B180" s="136"/>
      <c r="C180" s="136"/>
      <c r="D180" s="136"/>
      <c r="E180" s="136"/>
      <c r="F180" s="136"/>
      <c r="G180" s="136"/>
      <c r="H180" s="52"/>
      <c r="I180" s="52"/>
      <c r="J180" s="52"/>
      <c r="K180" s="136"/>
      <c r="L180" s="53"/>
      <c r="M180" s="53"/>
      <c r="N180" s="53"/>
      <c r="O180" s="53"/>
      <c r="P180" s="53"/>
      <c r="Q180" s="53"/>
      <c r="R180" s="53"/>
      <c r="S180" s="136"/>
      <c r="T180" s="136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</row>
    <row r="181" ht="12.75" customHeight="1">
      <c r="A181" s="136"/>
      <c r="B181" s="136"/>
      <c r="C181" s="136"/>
      <c r="D181" s="136"/>
      <c r="E181" s="136"/>
      <c r="F181" s="136"/>
      <c r="G181" s="136"/>
      <c r="H181" s="52"/>
      <c r="I181" s="52"/>
      <c r="J181" s="52"/>
      <c r="K181" s="136"/>
      <c r="L181" s="53"/>
      <c r="M181" s="53"/>
      <c r="N181" s="53"/>
      <c r="O181" s="53"/>
      <c r="P181" s="53"/>
      <c r="Q181" s="53"/>
      <c r="R181" s="53"/>
      <c r="S181" s="136"/>
      <c r="T181" s="136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</row>
    <row r="182" ht="12.75" customHeight="1">
      <c r="A182" s="136"/>
      <c r="B182" s="136"/>
      <c r="C182" s="136"/>
      <c r="D182" s="136"/>
      <c r="E182" s="136"/>
      <c r="F182" s="136"/>
      <c r="G182" s="136"/>
      <c r="H182" s="52"/>
      <c r="I182" s="52"/>
      <c r="J182" s="52"/>
      <c r="K182" s="136"/>
      <c r="L182" s="53"/>
      <c r="M182" s="53"/>
      <c r="N182" s="53"/>
      <c r="O182" s="53"/>
      <c r="P182" s="53"/>
      <c r="Q182" s="53"/>
      <c r="R182" s="53"/>
      <c r="S182" s="136"/>
      <c r="T182" s="136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</row>
    <row r="183" ht="12.75" customHeight="1">
      <c r="A183" s="136"/>
      <c r="B183" s="136"/>
      <c r="C183" s="136"/>
      <c r="D183" s="136"/>
      <c r="E183" s="136"/>
      <c r="F183" s="136"/>
      <c r="G183" s="136"/>
      <c r="H183" s="52"/>
      <c r="I183" s="52"/>
      <c r="J183" s="52"/>
      <c r="K183" s="136"/>
      <c r="L183" s="53"/>
      <c r="M183" s="53"/>
      <c r="N183" s="53"/>
      <c r="O183" s="53"/>
      <c r="P183" s="53"/>
      <c r="Q183" s="53"/>
      <c r="R183" s="53"/>
      <c r="S183" s="136"/>
      <c r="T183" s="136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</row>
    <row r="184" ht="12.75" customHeight="1">
      <c r="A184" s="136"/>
      <c r="B184" s="136"/>
      <c r="C184" s="136"/>
      <c r="D184" s="136"/>
      <c r="E184" s="136"/>
      <c r="F184" s="136"/>
      <c r="G184" s="136"/>
      <c r="H184" s="52"/>
      <c r="I184" s="52"/>
      <c r="J184" s="52"/>
      <c r="K184" s="136"/>
      <c r="L184" s="53"/>
      <c r="M184" s="53"/>
      <c r="N184" s="53"/>
      <c r="O184" s="53"/>
      <c r="P184" s="53"/>
      <c r="Q184" s="53"/>
      <c r="R184" s="53"/>
      <c r="S184" s="136"/>
      <c r="T184" s="136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</row>
    <row r="185" ht="12.75" customHeight="1">
      <c r="A185" s="136"/>
      <c r="B185" s="136"/>
      <c r="C185" s="136"/>
      <c r="D185" s="136"/>
      <c r="E185" s="136"/>
      <c r="F185" s="136"/>
      <c r="G185" s="136"/>
      <c r="H185" s="52"/>
      <c r="I185" s="52"/>
      <c r="J185" s="52"/>
      <c r="K185" s="136"/>
      <c r="L185" s="53"/>
      <c r="M185" s="53"/>
      <c r="N185" s="53"/>
      <c r="O185" s="53"/>
      <c r="P185" s="53"/>
      <c r="Q185" s="53"/>
      <c r="R185" s="53"/>
      <c r="S185" s="136"/>
      <c r="T185" s="136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</row>
    <row r="186" ht="12.75" customHeight="1">
      <c r="A186" s="136"/>
      <c r="B186" s="136"/>
      <c r="C186" s="136"/>
      <c r="D186" s="136"/>
      <c r="E186" s="136"/>
      <c r="F186" s="136"/>
      <c r="G186" s="136"/>
      <c r="H186" s="52"/>
      <c r="I186" s="52"/>
      <c r="J186" s="52"/>
      <c r="K186" s="136"/>
      <c r="L186" s="53"/>
      <c r="M186" s="53"/>
      <c r="N186" s="53"/>
      <c r="O186" s="53"/>
      <c r="P186" s="53"/>
      <c r="Q186" s="53"/>
      <c r="R186" s="53"/>
      <c r="S186" s="136"/>
      <c r="T186" s="136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</row>
    <row r="187" ht="12.75" customHeight="1">
      <c r="A187" s="136"/>
      <c r="B187" s="136"/>
      <c r="C187" s="136"/>
      <c r="D187" s="136"/>
      <c r="E187" s="136"/>
      <c r="F187" s="136"/>
      <c r="G187" s="136"/>
      <c r="H187" s="52"/>
      <c r="I187" s="52"/>
      <c r="J187" s="52"/>
      <c r="K187" s="136"/>
      <c r="L187" s="53"/>
      <c r="M187" s="53"/>
      <c r="N187" s="53"/>
      <c r="O187" s="53"/>
      <c r="P187" s="53"/>
      <c r="Q187" s="53"/>
      <c r="R187" s="53"/>
      <c r="S187" s="136"/>
      <c r="T187" s="136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</row>
    <row r="188" ht="12.75" customHeight="1">
      <c r="A188" s="136"/>
      <c r="B188" s="136"/>
      <c r="C188" s="136"/>
      <c r="D188" s="136"/>
      <c r="E188" s="136"/>
      <c r="F188" s="136"/>
      <c r="G188" s="136"/>
      <c r="H188" s="52"/>
      <c r="I188" s="52"/>
      <c r="J188" s="52"/>
      <c r="K188" s="136"/>
      <c r="L188" s="53"/>
      <c r="M188" s="53"/>
      <c r="N188" s="53"/>
      <c r="O188" s="53"/>
      <c r="P188" s="53"/>
      <c r="Q188" s="53"/>
      <c r="R188" s="53"/>
      <c r="S188" s="136"/>
      <c r="T188" s="136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</row>
    <row r="189" ht="12.75" customHeight="1">
      <c r="A189" s="136"/>
      <c r="B189" s="136"/>
      <c r="C189" s="136"/>
      <c r="D189" s="136"/>
      <c r="E189" s="136"/>
      <c r="F189" s="136"/>
      <c r="G189" s="136"/>
      <c r="H189" s="52"/>
      <c r="I189" s="52"/>
      <c r="J189" s="52"/>
      <c r="K189" s="136"/>
      <c r="L189" s="53"/>
      <c r="M189" s="53"/>
      <c r="N189" s="53"/>
      <c r="O189" s="53"/>
      <c r="P189" s="53"/>
      <c r="Q189" s="53"/>
      <c r="R189" s="53"/>
      <c r="S189" s="136"/>
      <c r="T189" s="136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</row>
    <row r="190" ht="12.75" customHeight="1">
      <c r="A190" s="136"/>
      <c r="B190" s="136"/>
      <c r="C190" s="136"/>
      <c r="D190" s="136"/>
      <c r="E190" s="136"/>
      <c r="F190" s="136"/>
      <c r="G190" s="136"/>
      <c r="H190" s="52"/>
      <c r="I190" s="52"/>
      <c r="J190" s="52"/>
      <c r="K190" s="136"/>
      <c r="L190" s="53"/>
      <c r="M190" s="53"/>
      <c r="N190" s="53"/>
      <c r="O190" s="53"/>
      <c r="P190" s="53"/>
      <c r="Q190" s="53"/>
      <c r="R190" s="53"/>
      <c r="S190" s="136"/>
      <c r="T190" s="136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</row>
    <row r="191" ht="12.75" customHeight="1">
      <c r="A191" s="136"/>
      <c r="B191" s="136"/>
      <c r="C191" s="136"/>
      <c r="D191" s="136"/>
      <c r="E191" s="136"/>
      <c r="F191" s="136"/>
      <c r="G191" s="136"/>
      <c r="H191" s="52"/>
      <c r="I191" s="52"/>
      <c r="J191" s="52"/>
      <c r="K191" s="136"/>
      <c r="L191" s="53"/>
      <c r="M191" s="53"/>
      <c r="N191" s="53"/>
      <c r="O191" s="53"/>
      <c r="P191" s="53"/>
      <c r="Q191" s="53"/>
      <c r="R191" s="53"/>
      <c r="S191" s="136"/>
      <c r="T191" s="136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</row>
    <row r="192" ht="12.75" customHeight="1">
      <c r="A192" s="136"/>
      <c r="B192" s="136"/>
      <c r="C192" s="136"/>
      <c r="D192" s="136"/>
      <c r="E192" s="136"/>
      <c r="F192" s="136"/>
      <c r="G192" s="136"/>
      <c r="H192" s="52"/>
      <c r="I192" s="52"/>
      <c r="J192" s="52"/>
      <c r="K192" s="136"/>
      <c r="L192" s="53"/>
      <c r="M192" s="53"/>
      <c r="N192" s="53"/>
      <c r="O192" s="53"/>
      <c r="P192" s="53"/>
      <c r="Q192" s="53"/>
      <c r="R192" s="53"/>
      <c r="S192" s="136"/>
      <c r="T192" s="136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</row>
    <row r="193" ht="12.75" customHeight="1">
      <c r="A193" s="136"/>
      <c r="B193" s="136"/>
      <c r="C193" s="136"/>
      <c r="D193" s="136"/>
      <c r="E193" s="136"/>
      <c r="F193" s="136"/>
      <c r="G193" s="136"/>
      <c r="H193" s="52"/>
      <c r="I193" s="52"/>
      <c r="J193" s="52"/>
      <c r="K193" s="136"/>
      <c r="L193" s="53"/>
      <c r="M193" s="53"/>
      <c r="N193" s="53"/>
      <c r="O193" s="53"/>
      <c r="P193" s="53"/>
      <c r="Q193" s="53"/>
      <c r="R193" s="53"/>
      <c r="S193" s="136"/>
      <c r="T193" s="136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</row>
    <row r="194" ht="12.75" customHeight="1">
      <c r="A194" s="136"/>
      <c r="B194" s="136"/>
      <c r="C194" s="136"/>
      <c r="D194" s="136"/>
      <c r="E194" s="136"/>
      <c r="F194" s="136"/>
      <c r="G194" s="136"/>
      <c r="H194" s="52"/>
      <c r="I194" s="52"/>
      <c r="J194" s="52"/>
      <c r="K194" s="136"/>
      <c r="L194" s="53"/>
      <c r="M194" s="53"/>
      <c r="N194" s="53"/>
      <c r="O194" s="53"/>
      <c r="P194" s="53"/>
      <c r="Q194" s="53"/>
      <c r="R194" s="53"/>
      <c r="S194" s="136"/>
      <c r="T194" s="136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</row>
    <row r="195" ht="12.75" customHeight="1">
      <c r="A195" s="136"/>
      <c r="B195" s="136"/>
      <c r="C195" s="136"/>
      <c r="D195" s="136"/>
      <c r="E195" s="136"/>
      <c r="F195" s="136"/>
      <c r="G195" s="136"/>
      <c r="H195" s="52"/>
      <c r="I195" s="52"/>
      <c r="J195" s="52"/>
      <c r="K195" s="136"/>
      <c r="L195" s="53"/>
      <c r="M195" s="53"/>
      <c r="N195" s="53"/>
      <c r="O195" s="53"/>
      <c r="P195" s="53"/>
      <c r="Q195" s="53"/>
      <c r="R195" s="53"/>
      <c r="S195" s="136"/>
      <c r="T195" s="136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</row>
    <row r="196" ht="12.75" customHeight="1">
      <c r="A196" s="136"/>
      <c r="B196" s="136"/>
      <c r="C196" s="136"/>
      <c r="D196" s="136"/>
      <c r="E196" s="136"/>
      <c r="F196" s="136"/>
      <c r="G196" s="136"/>
      <c r="H196" s="52"/>
      <c r="I196" s="52"/>
      <c r="J196" s="52"/>
      <c r="K196" s="136"/>
      <c r="L196" s="53"/>
      <c r="M196" s="53"/>
      <c r="N196" s="53"/>
      <c r="O196" s="53"/>
      <c r="P196" s="53"/>
      <c r="Q196" s="53"/>
      <c r="R196" s="53"/>
      <c r="S196" s="136"/>
      <c r="T196" s="136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</row>
    <row r="197" ht="12.75" customHeight="1">
      <c r="A197" s="136"/>
      <c r="B197" s="136"/>
      <c r="C197" s="136"/>
      <c r="D197" s="136"/>
      <c r="E197" s="136"/>
      <c r="F197" s="136"/>
      <c r="G197" s="136"/>
      <c r="H197" s="52"/>
      <c r="I197" s="52"/>
      <c r="J197" s="52"/>
      <c r="K197" s="136"/>
      <c r="L197" s="53"/>
      <c r="M197" s="53"/>
      <c r="N197" s="53"/>
      <c r="O197" s="53"/>
      <c r="P197" s="53"/>
      <c r="Q197" s="53"/>
      <c r="R197" s="53"/>
      <c r="S197" s="136"/>
      <c r="T197" s="136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</row>
    <row r="198" ht="12.75" customHeight="1">
      <c r="A198" s="136"/>
      <c r="B198" s="136"/>
      <c r="C198" s="136"/>
      <c r="D198" s="136"/>
      <c r="E198" s="136"/>
      <c r="F198" s="136"/>
      <c r="G198" s="136"/>
      <c r="H198" s="52"/>
      <c r="I198" s="52"/>
      <c r="J198" s="52"/>
      <c r="K198" s="136"/>
      <c r="L198" s="53"/>
      <c r="M198" s="53"/>
      <c r="N198" s="53"/>
      <c r="O198" s="53"/>
      <c r="P198" s="53"/>
      <c r="Q198" s="53"/>
      <c r="R198" s="53"/>
      <c r="S198" s="136"/>
      <c r="T198" s="136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</row>
    <row r="199" ht="12.75" customHeight="1">
      <c r="A199" s="136"/>
      <c r="B199" s="136"/>
      <c r="C199" s="136"/>
      <c r="D199" s="136"/>
      <c r="E199" s="136"/>
      <c r="F199" s="136"/>
      <c r="G199" s="136"/>
      <c r="H199" s="52"/>
      <c r="I199" s="52"/>
      <c r="J199" s="52"/>
      <c r="K199" s="136"/>
      <c r="L199" s="53"/>
      <c r="M199" s="53"/>
      <c r="N199" s="53"/>
      <c r="O199" s="53"/>
      <c r="P199" s="53"/>
      <c r="Q199" s="53"/>
      <c r="R199" s="53"/>
      <c r="S199" s="136"/>
      <c r="T199" s="136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</row>
    <row r="200" ht="12.75" customHeight="1">
      <c r="A200" s="136"/>
      <c r="B200" s="136"/>
      <c r="C200" s="136"/>
      <c r="D200" s="136"/>
      <c r="E200" s="136"/>
      <c r="F200" s="136"/>
      <c r="G200" s="136"/>
      <c r="H200" s="52"/>
      <c r="I200" s="52"/>
      <c r="J200" s="52"/>
      <c r="K200" s="136"/>
      <c r="L200" s="53"/>
      <c r="M200" s="53"/>
      <c r="N200" s="53"/>
      <c r="O200" s="53"/>
      <c r="P200" s="53"/>
      <c r="Q200" s="53"/>
      <c r="R200" s="53"/>
      <c r="S200" s="136"/>
      <c r="T200" s="136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</row>
    <row r="201" ht="12.75" customHeight="1">
      <c r="A201" s="136"/>
      <c r="B201" s="136"/>
      <c r="C201" s="136"/>
      <c r="D201" s="136"/>
      <c r="E201" s="136"/>
      <c r="F201" s="136"/>
      <c r="G201" s="136"/>
      <c r="H201" s="52"/>
      <c r="I201" s="52"/>
      <c r="J201" s="52"/>
      <c r="K201" s="136"/>
      <c r="L201" s="53"/>
      <c r="M201" s="53"/>
      <c r="N201" s="53"/>
      <c r="O201" s="53"/>
      <c r="P201" s="53"/>
      <c r="Q201" s="53"/>
      <c r="R201" s="53"/>
      <c r="S201" s="136"/>
      <c r="T201" s="136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</row>
    <row r="202" ht="12.75" customHeight="1">
      <c r="A202" s="136"/>
      <c r="B202" s="136"/>
      <c r="C202" s="136"/>
      <c r="D202" s="136"/>
      <c r="E202" s="136"/>
      <c r="F202" s="136"/>
      <c r="G202" s="136"/>
      <c r="H202" s="52"/>
      <c r="I202" s="52"/>
      <c r="J202" s="52"/>
      <c r="K202" s="136"/>
      <c r="L202" s="53"/>
      <c r="M202" s="53"/>
      <c r="N202" s="53"/>
      <c r="O202" s="53"/>
      <c r="P202" s="53"/>
      <c r="Q202" s="53"/>
      <c r="R202" s="53"/>
      <c r="S202" s="136"/>
      <c r="T202" s="136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</row>
    <row r="203" ht="12.75" customHeight="1">
      <c r="A203" s="136"/>
      <c r="B203" s="136"/>
      <c r="C203" s="136"/>
      <c r="D203" s="136"/>
      <c r="E203" s="136"/>
      <c r="F203" s="136"/>
      <c r="G203" s="136"/>
      <c r="H203" s="52"/>
      <c r="I203" s="52"/>
      <c r="J203" s="52"/>
      <c r="K203" s="136"/>
      <c r="L203" s="53"/>
      <c r="M203" s="53"/>
      <c r="N203" s="53"/>
      <c r="O203" s="53"/>
      <c r="P203" s="53"/>
      <c r="Q203" s="53"/>
      <c r="R203" s="53"/>
      <c r="S203" s="136"/>
      <c r="T203" s="136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</row>
    <row r="204" ht="12.75" customHeight="1">
      <c r="A204" s="136"/>
      <c r="B204" s="136"/>
      <c r="C204" s="136"/>
      <c r="D204" s="136"/>
      <c r="E204" s="136"/>
      <c r="F204" s="136"/>
      <c r="G204" s="136"/>
      <c r="H204" s="52"/>
      <c r="I204" s="52"/>
      <c r="J204" s="52"/>
      <c r="K204" s="136"/>
      <c r="L204" s="53"/>
      <c r="M204" s="53"/>
      <c r="N204" s="53"/>
      <c r="O204" s="53"/>
      <c r="P204" s="53"/>
      <c r="Q204" s="53"/>
      <c r="R204" s="53"/>
      <c r="S204" s="136"/>
      <c r="T204" s="136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</row>
    <row r="205" ht="12.75" customHeight="1">
      <c r="A205" s="136"/>
      <c r="B205" s="136"/>
      <c r="C205" s="136"/>
      <c r="D205" s="136"/>
      <c r="E205" s="136"/>
      <c r="F205" s="136"/>
      <c r="G205" s="136"/>
      <c r="H205" s="52"/>
      <c r="I205" s="52"/>
      <c r="J205" s="52"/>
      <c r="K205" s="136"/>
      <c r="L205" s="53"/>
      <c r="M205" s="53"/>
      <c r="N205" s="53"/>
      <c r="O205" s="53"/>
      <c r="P205" s="53"/>
      <c r="Q205" s="53"/>
      <c r="R205" s="53"/>
      <c r="S205" s="136"/>
      <c r="T205" s="136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</row>
    <row r="206" ht="12.75" customHeight="1">
      <c r="A206" s="136"/>
      <c r="B206" s="136"/>
      <c r="C206" s="136"/>
      <c r="D206" s="136"/>
      <c r="E206" s="136"/>
      <c r="F206" s="136"/>
      <c r="G206" s="136"/>
      <c r="H206" s="52"/>
      <c r="I206" s="52"/>
      <c r="J206" s="52"/>
      <c r="K206" s="136"/>
      <c r="L206" s="53"/>
      <c r="M206" s="53"/>
      <c r="N206" s="53"/>
      <c r="O206" s="53"/>
      <c r="P206" s="53"/>
      <c r="Q206" s="53"/>
      <c r="R206" s="53"/>
      <c r="S206" s="136"/>
      <c r="T206" s="136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</row>
    <row r="207" ht="12.75" customHeight="1">
      <c r="A207" s="136"/>
      <c r="B207" s="136"/>
      <c r="C207" s="136"/>
      <c r="D207" s="136"/>
      <c r="E207" s="136"/>
      <c r="F207" s="136"/>
      <c r="G207" s="136"/>
      <c r="H207" s="52"/>
      <c r="I207" s="52"/>
      <c r="J207" s="52"/>
      <c r="K207" s="136"/>
      <c r="L207" s="53"/>
      <c r="M207" s="53"/>
      <c r="N207" s="53"/>
      <c r="O207" s="53"/>
      <c r="P207" s="53"/>
      <c r="Q207" s="53"/>
      <c r="R207" s="53"/>
      <c r="S207" s="136"/>
      <c r="T207" s="136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</row>
    <row r="208" ht="12.75" customHeight="1">
      <c r="A208" s="136"/>
      <c r="B208" s="136"/>
      <c r="C208" s="136"/>
      <c r="D208" s="136"/>
      <c r="E208" s="136"/>
      <c r="F208" s="136"/>
      <c r="G208" s="136"/>
      <c r="H208" s="52"/>
      <c r="I208" s="52"/>
      <c r="J208" s="52"/>
      <c r="K208" s="136"/>
      <c r="L208" s="53"/>
      <c r="M208" s="53"/>
      <c r="N208" s="53"/>
      <c r="O208" s="53"/>
      <c r="P208" s="53"/>
      <c r="Q208" s="53"/>
      <c r="R208" s="53"/>
      <c r="S208" s="136"/>
      <c r="T208" s="136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</row>
    <row r="209" ht="12.75" customHeight="1">
      <c r="A209" s="136"/>
      <c r="B209" s="136"/>
      <c r="C209" s="136"/>
      <c r="D209" s="136"/>
      <c r="E209" s="136"/>
      <c r="F209" s="136"/>
      <c r="G209" s="136"/>
      <c r="H209" s="52"/>
      <c r="I209" s="52"/>
      <c r="J209" s="52"/>
      <c r="K209" s="136"/>
      <c r="L209" s="53"/>
      <c r="M209" s="53"/>
      <c r="N209" s="53"/>
      <c r="O209" s="53"/>
      <c r="P209" s="53"/>
      <c r="Q209" s="53"/>
      <c r="R209" s="53"/>
      <c r="S209" s="136"/>
      <c r="T209" s="136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</row>
    <row r="210" ht="12.75" customHeight="1">
      <c r="A210" s="136"/>
      <c r="B210" s="136"/>
      <c r="C210" s="136"/>
      <c r="D210" s="136"/>
      <c r="E210" s="136"/>
      <c r="F210" s="136"/>
      <c r="G210" s="136"/>
      <c r="H210" s="52"/>
      <c r="I210" s="52"/>
      <c r="J210" s="52"/>
      <c r="K210" s="136"/>
      <c r="L210" s="53"/>
      <c r="M210" s="53"/>
      <c r="N210" s="53"/>
      <c r="O210" s="53"/>
      <c r="P210" s="53"/>
      <c r="Q210" s="53"/>
      <c r="R210" s="53"/>
      <c r="S210" s="136"/>
      <c r="T210" s="136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</row>
    <row r="211" ht="12.75" customHeight="1">
      <c r="A211" s="136"/>
      <c r="B211" s="136"/>
      <c r="C211" s="136"/>
      <c r="D211" s="136"/>
      <c r="E211" s="136"/>
      <c r="F211" s="136"/>
      <c r="G211" s="136"/>
      <c r="H211" s="52"/>
      <c r="I211" s="52"/>
      <c r="J211" s="52"/>
      <c r="K211" s="136"/>
      <c r="L211" s="53"/>
      <c r="M211" s="53"/>
      <c r="N211" s="53"/>
      <c r="O211" s="53"/>
      <c r="P211" s="53"/>
      <c r="Q211" s="53"/>
      <c r="R211" s="53"/>
      <c r="S211" s="136"/>
      <c r="T211" s="136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</row>
    <row r="212" ht="12.75" customHeight="1">
      <c r="A212" s="136"/>
      <c r="B212" s="136"/>
      <c r="C212" s="136"/>
      <c r="D212" s="136"/>
      <c r="E212" s="136"/>
      <c r="F212" s="136"/>
      <c r="G212" s="136"/>
      <c r="H212" s="52"/>
      <c r="I212" s="52"/>
      <c r="J212" s="52"/>
      <c r="K212" s="136"/>
      <c r="L212" s="53"/>
      <c r="M212" s="53"/>
      <c r="N212" s="53"/>
      <c r="O212" s="53"/>
      <c r="P212" s="53"/>
      <c r="Q212" s="53"/>
      <c r="R212" s="53"/>
      <c r="S212" s="136"/>
      <c r="T212" s="136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</row>
    <row r="213" ht="12.75" customHeight="1">
      <c r="A213" s="136"/>
      <c r="B213" s="136"/>
      <c r="C213" s="136"/>
      <c r="D213" s="136"/>
      <c r="E213" s="136"/>
      <c r="F213" s="136"/>
      <c r="G213" s="136"/>
      <c r="H213" s="52"/>
      <c r="I213" s="52"/>
      <c r="J213" s="52"/>
      <c r="K213" s="136"/>
      <c r="L213" s="53"/>
      <c r="M213" s="53"/>
      <c r="N213" s="53"/>
      <c r="O213" s="53"/>
      <c r="P213" s="53"/>
      <c r="Q213" s="53"/>
      <c r="R213" s="53"/>
      <c r="S213" s="136"/>
      <c r="T213" s="136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</row>
    <row r="214" ht="12.75" customHeight="1">
      <c r="A214" s="136"/>
      <c r="B214" s="136"/>
      <c r="C214" s="136"/>
      <c r="D214" s="136"/>
      <c r="E214" s="136"/>
      <c r="F214" s="136"/>
      <c r="G214" s="136"/>
      <c r="H214" s="52"/>
      <c r="I214" s="52"/>
      <c r="J214" s="52"/>
      <c r="K214" s="136"/>
      <c r="L214" s="53"/>
      <c r="M214" s="53"/>
      <c r="N214" s="53"/>
      <c r="O214" s="53"/>
      <c r="P214" s="53"/>
      <c r="Q214" s="53"/>
      <c r="R214" s="53"/>
      <c r="S214" s="136"/>
      <c r="T214" s="136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</row>
    <row r="215" ht="12.75" customHeight="1">
      <c r="A215" s="136"/>
      <c r="B215" s="136"/>
      <c r="C215" s="136"/>
      <c r="D215" s="136"/>
      <c r="E215" s="136"/>
      <c r="F215" s="136"/>
      <c r="G215" s="136"/>
      <c r="H215" s="52"/>
      <c r="I215" s="52"/>
      <c r="J215" s="52"/>
      <c r="K215" s="136"/>
      <c r="L215" s="53"/>
      <c r="M215" s="53"/>
      <c r="N215" s="53"/>
      <c r="O215" s="53"/>
      <c r="P215" s="53"/>
      <c r="Q215" s="53"/>
      <c r="R215" s="53"/>
      <c r="S215" s="136"/>
      <c r="T215" s="136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</row>
    <row r="216" ht="12.75" customHeight="1">
      <c r="A216" s="136"/>
      <c r="B216" s="136"/>
      <c r="C216" s="136"/>
      <c r="D216" s="136"/>
      <c r="E216" s="136"/>
      <c r="F216" s="136"/>
      <c r="G216" s="136"/>
      <c r="H216" s="52"/>
      <c r="I216" s="52"/>
      <c r="J216" s="52"/>
      <c r="K216" s="136"/>
      <c r="L216" s="53"/>
      <c r="M216" s="53"/>
      <c r="N216" s="53"/>
      <c r="O216" s="53"/>
      <c r="P216" s="53"/>
      <c r="Q216" s="53"/>
      <c r="R216" s="53"/>
      <c r="S216" s="136"/>
      <c r="T216" s="136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</row>
    <row r="217" ht="12.75" customHeight="1">
      <c r="A217" s="136"/>
      <c r="B217" s="136"/>
      <c r="C217" s="136"/>
      <c r="D217" s="136"/>
      <c r="E217" s="136"/>
      <c r="F217" s="136"/>
      <c r="G217" s="136"/>
      <c r="H217" s="52"/>
      <c r="I217" s="52"/>
      <c r="J217" s="52"/>
      <c r="K217" s="136"/>
      <c r="L217" s="53"/>
      <c r="M217" s="53"/>
      <c r="N217" s="53"/>
      <c r="O217" s="53"/>
      <c r="P217" s="53"/>
      <c r="Q217" s="53"/>
      <c r="R217" s="53"/>
      <c r="S217" s="136"/>
      <c r="T217" s="136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</row>
    <row r="218" ht="12.75" customHeight="1">
      <c r="A218" s="136"/>
      <c r="B218" s="136"/>
      <c r="C218" s="136"/>
      <c r="D218" s="136"/>
      <c r="E218" s="136"/>
      <c r="F218" s="136"/>
      <c r="G218" s="136"/>
      <c r="H218" s="52"/>
      <c r="I218" s="52"/>
      <c r="J218" s="52"/>
      <c r="K218" s="136"/>
      <c r="L218" s="53"/>
      <c r="M218" s="53"/>
      <c r="N218" s="53"/>
      <c r="O218" s="53"/>
      <c r="P218" s="53"/>
      <c r="Q218" s="53"/>
      <c r="R218" s="53"/>
      <c r="S218" s="136"/>
      <c r="T218" s="136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</row>
    <row r="219" ht="12.75" customHeight="1">
      <c r="A219" s="136"/>
      <c r="B219" s="136"/>
      <c r="C219" s="136"/>
      <c r="D219" s="136"/>
      <c r="E219" s="136"/>
      <c r="F219" s="136"/>
      <c r="G219" s="136"/>
      <c r="H219" s="52"/>
      <c r="I219" s="52"/>
      <c r="J219" s="52"/>
      <c r="K219" s="136"/>
      <c r="L219" s="53"/>
      <c r="M219" s="53"/>
      <c r="N219" s="53"/>
      <c r="O219" s="53"/>
      <c r="P219" s="53"/>
      <c r="Q219" s="53"/>
      <c r="R219" s="53"/>
      <c r="S219" s="136"/>
      <c r="T219" s="136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</row>
    <row r="220" ht="12.75" customHeight="1">
      <c r="A220" s="136"/>
      <c r="B220" s="136"/>
      <c r="C220" s="136"/>
      <c r="D220" s="136"/>
      <c r="E220" s="136"/>
      <c r="F220" s="136"/>
      <c r="G220" s="136"/>
      <c r="H220" s="52"/>
      <c r="I220" s="52"/>
      <c r="J220" s="52"/>
      <c r="K220" s="136"/>
      <c r="L220" s="53"/>
      <c r="M220" s="53"/>
      <c r="N220" s="53"/>
      <c r="O220" s="53"/>
      <c r="P220" s="53"/>
      <c r="Q220" s="53"/>
      <c r="R220" s="53"/>
      <c r="S220" s="136"/>
      <c r="T220" s="136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</row>
    <row r="221" ht="12.75" customHeight="1">
      <c r="A221" s="136"/>
      <c r="B221" s="136"/>
      <c r="C221" s="136"/>
      <c r="D221" s="136"/>
      <c r="E221" s="136"/>
      <c r="F221" s="136"/>
      <c r="G221" s="136"/>
      <c r="H221" s="52"/>
      <c r="I221" s="52"/>
      <c r="J221" s="52"/>
      <c r="K221" s="136"/>
      <c r="L221" s="53"/>
      <c r="M221" s="53"/>
      <c r="N221" s="53"/>
      <c r="O221" s="53"/>
      <c r="P221" s="53"/>
      <c r="Q221" s="53"/>
      <c r="R221" s="53"/>
      <c r="S221" s="136"/>
      <c r="T221" s="136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</row>
    <row r="222" ht="12.75" customHeight="1">
      <c r="A222" s="136"/>
      <c r="B222" s="136"/>
      <c r="C222" s="136"/>
      <c r="D222" s="136"/>
      <c r="E222" s="136"/>
      <c r="F222" s="136"/>
      <c r="G222" s="136"/>
      <c r="H222" s="52"/>
      <c r="I222" s="52"/>
      <c r="J222" s="52"/>
      <c r="K222" s="136"/>
      <c r="L222" s="53"/>
      <c r="M222" s="53"/>
      <c r="N222" s="53"/>
      <c r="O222" s="53"/>
      <c r="P222" s="53"/>
      <c r="Q222" s="53"/>
      <c r="R222" s="53"/>
      <c r="S222" s="136"/>
      <c r="T222" s="136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</row>
    <row r="223" ht="12.75" customHeight="1">
      <c r="A223" s="136"/>
      <c r="B223" s="136"/>
      <c r="C223" s="136"/>
      <c r="D223" s="136"/>
      <c r="E223" s="136"/>
      <c r="F223" s="136"/>
      <c r="G223" s="136"/>
      <c r="H223" s="52"/>
      <c r="I223" s="52"/>
      <c r="J223" s="52"/>
      <c r="K223" s="136"/>
      <c r="L223" s="53"/>
      <c r="M223" s="53"/>
      <c r="N223" s="53"/>
      <c r="O223" s="53"/>
      <c r="P223" s="53"/>
      <c r="Q223" s="53"/>
      <c r="R223" s="53"/>
      <c r="S223" s="136"/>
      <c r="T223" s="136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</row>
    <row r="224" ht="12.75" customHeight="1">
      <c r="A224" s="136"/>
      <c r="B224" s="136"/>
      <c r="C224" s="136"/>
      <c r="D224" s="136"/>
      <c r="E224" s="136"/>
      <c r="F224" s="136"/>
      <c r="G224" s="136"/>
      <c r="H224" s="52"/>
      <c r="I224" s="52"/>
      <c r="J224" s="52"/>
      <c r="K224" s="136"/>
      <c r="L224" s="53"/>
      <c r="M224" s="53"/>
      <c r="N224" s="53"/>
      <c r="O224" s="53"/>
      <c r="P224" s="53"/>
      <c r="Q224" s="53"/>
      <c r="R224" s="53"/>
      <c r="S224" s="136"/>
      <c r="T224" s="136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</row>
    <row r="225" ht="12.75" customHeight="1">
      <c r="A225" s="136"/>
      <c r="B225" s="136"/>
      <c r="C225" s="136"/>
      <c r="D225" s="136"/>
      <c r="E225" s="136"/>
      <c r="F225" s="136"/>
      <c r="G225" s="136"/>
      <c r="H225" s="52"/>
      <c r="I225" s="52"/>
      <c r="J225" s="52"/>
      <c r="K225" s="136"/>
      <c r="L225" s="53"/>
      <c r="M225" s="53"/>
      <c r="N225" s="53"/>
      <c r="O225" s="53"/>
      <c r="P225" s="53"/>
      <c r="Q225" s="53"/>
      <c r="R225" s="53"/>
      <c r="S225" s="136"/>
      <c r="T225" s="136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</row>
    <row r="226" ht="12.75" customHeight="1">
      <c r="A226" s="136"/>
      <c r="B226" s="136"/>
      <c r="C226" s="136"/>
      <c r="D226" s="136"/>
      <c r="E226" s="136"/>
      <c r="F226" s="136"/>
      <c r="G226" s="136"/>
      <c r="H226" s="52"/>
      <c r="I226" s="52"/>
      <c r="J226" s="52"/>
      <c r="K226" s="136"/>
      <c r="L226" s="53"/>
      <c r="M226" s="53"/>
      <c r="N226" s="53"/>
      <c r="O226" s="53"/>
      <c r="P226" s="53"/>
      <c r="Q226" s="53"/>
      <c r="R226" s="53"/>
      <c r="S226" s="136"/>
      <c r="T226" s="136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</row>
    <row r="227" ht="12.75" customHeight="1">
      <c r="A227" s="136"/>
      <c r="B227" s="136"/>
      <c r="C227" s="136"/>
      <c r="D227" s="136"/>
      <c r="E227" s="136"/>
      <c r="F227" s="136"/>
      <c r="G227" s="136"/>
      <c r="H227" s="52"/>
      <c r="I227" s="52"/>
      <c r="J227" s="52"/>
      <c r="K227" s="136"/>
      <c r="L227" s="53"/>
      <c r="M227" s="53"/>
      <c r="N227" s="53"/>
      <c r="O227" s="53"/>
      <c r="P227" s="53"/>
      <c r="Q227" s="53"/>
      <c r="R227" s="53"/>
      <c r="S227" s="136"/>
      <c r="T227" s="136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</row>
    <row r="228" ht="12.75" customHeight="1">
      <c r="A228" s="136"/>
      <c r="B228" s="136"/>
      <c r="C228" s="136"/>
      <c r="D228" s="136"/>
      <c r="E228" s="136"/>
      <c r="F228" s="136"/>
      <c r="G228" s="136"/>
      <c r="H228" s="52"/>
      <c r="I228" s="52"/>
      <c r="J228" s="52"/>
      <c r="K228" s="136"/>
      <c r="L228" s="53"/>
      <c r="M228" s="53"/>
      <c r="N228" s="53"/>
      <c r="O228" s="53"/>
      <c r="P228" s="53"/>
      <c r="Q228" s="53"/>
      <c r="R228" s="53"/>
      <c r="S228" s="136"/>
      <c r="T228" s="136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</row>
    <row r="229" ht="12.75" customHeight="1">
      <c r="A229" s="136"/>
      <c r="B229" s="136"/>
      <c r="C229" s="136"/>
      <c r="D229" s="136"/>
      <c r="E229" s="136"/>
      <c r="F229" s="136"/>
      <c r="G229" s="136"/>
      <c r="H229" s="52"/>
      <c r="I229" s="52"/>
      <c r="J229" s="52"/>
      <c r="K229" s="136"/>
      <c r="L229" s="53"/>
      <c r="M229" s="53"/>
      <c r="N229" s="53"/>
      <c r="O229" s="53"/>
      <c r="P229" s="53"/>
      <c r="Q229" s="53"/>
      <c r="R229" s="53"/>
      <c r="S229" s="136"/>
      <c r="T229" s="136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</row>
    <row r="230" ht="12.75" customHeight="1">
      <c r="A230" s="136"/>
      <c r="B230" s="136"/>
      <c r="C230" s="136"/>
      <c r="D230" s="136"/>
      <c r="E230" s="136"/>
      <c r="F230" s="136"/>
      <c r="G230" s="136"/>
      <c r="H230" s="52"/>
      <c r="I230" s="52"/>
      <c r="J230" s="52"/>
      <c r="K230" s="136"/>
      <c r="L230" s="53"/>
      <c r="M230" s="53"/>
      <c r="N230" s="53"/>
      <c r="O230" s="53"/>
      <c r="P230" s="53"/>
      <c r="Q230" s="53"/>
      <c r="R230" s="53"/>
      <c r="S230" s="136"/>
      <c r="T230" s="136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</row>
    <row r="231" ht="12.75" customHeight="1">
      <c r="A231" s="136"/>
      <c r="B231" s="136"/>
      <c r="C231" s="136"/>
      <c r="D231" s="136"/>
      <c r="E231" s="136"/>
      <c r="F231" s="136"/>
      <c r="G231" s="136"/>
      <c r="H231" s="52"/>
      <c r="I231" s="52"/>
      <c r="J231" s="52"/>
      <c r="K231" s="136"/>
      <c r="L231" s="53"/>
      <c r="M231" s="53"/>
      <c r="N231" s="53"/>
      <c r="O231" s="53"/>
      <c r="P231" s="53"/>
      <c r="Q231" s="53"/>
      <c r="R231" s="53"/>
      <c r="S231" s="136"/>
      <c r="T231" s="136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</row>
    <row r="232" ht="12.75" customHeight="1">
      <c r="A232" s="136"/>
      <c r="B232" s="136"/>
      <c r="C232" s="136"/>
      <c r="D232" s="136"/>
      <c r="E232" s="136"/>
      <c r="F232" s="136"/>
      <c r="G232" s="136"/>
      <c r="H232" s="52"/>
      <c r="I232" s="52"/>
      <c r="J232" s="52"/>
      <c r="K232" s="136"/>
      <c r="L232" s="53"/>
      <c r="M232" s="53"/>
      <c r="N232" s="53"/>
      <c r="O232" s="53"/>
      <c r="P232" s="53"/>
      <c r="Q232" s="53"/>
      <c r="R232" s="53"/>
      <c r="S232" s="136"/>
      <c r="T232" s="136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</row>
    <row r="233" ht="12.75" customHeight="1">
      <c r="A233" s="136"/>
      <c r="B233" s="136"/>
      <c r="C233" s="136"/>
      <c r="D233" s="136"/>
      <c r="E233" s="136"/>
      <c r="F233" s="136"/>
      <c r="G233" s="136"/>
      <c r="H233" s="52"/>
      <c r="I233" s="52"/>
      <c r="J233" s="52"/>
      <c r="K233" s="136"/>
      <c r="L233" s="53"/>
      <c r="M233" s="53"/>
      <c r="N233" s="53"/>
      <c r="O233" s="53"/>
      <c r="P233" s="53"/>
      <c r="Q233" s="53"/>
      <c r="R233" s="53"/>
      <c r="S233" s="136"/>
      <c r="T233" s="136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</row>
    <row r="234" ht="12.75" customHeight="1">
      <c r="A234" s="136"/>
      <c r="B234" s="136"/>
      <c r="C234" s="136"/>
      <c r="D234" s="136"/>
      <c r="E234" s="136"/>
      <c r="F234" s="136"/>
      <c r="G234" s="136"/>
      <c r="H234" s="52"/>
      <c r="I234" s="52"/>
      <c r="J234" s="52"/>
      <c r="K234" s="136"/>
      <c r="L234" s="53"/>
      <c r="M234" s="53"/>
      <c r="N234" s="53"/>
      <c r="O234" s="53"/>
      <c r="P234" s="53"/>
      <c r="Q234" s="53"/>
      <c r="R234" s="53"/>
      <c r="S234" s="136"/>
      <c r="T234" s="136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</row>
    <row r="235" ht="12.75" customHeight="1">
      <c r="A235" s="136"/>
      <c r="B235" s="136"/>
      <c r="C235" s="136"/>
      <c r="D235" s="136"/>
      <c r="E235" s="136"/>
      <c r="F235" s="136"/>
      <c r="G235" s="136"/>
      <c r="H235" s="52"/>
      <c r="I235" s="52"/>
      <c r="J235" s="52"/>
      <c r="K235" s="136"/>
      <c r="L235" s="53"/>
      <c r="M235" s="53"/>
      <c r="N235" s="53"/>
      <c r="O235" s="53"/>
      <c r="P235" s="53"/>
      <c r="Q235" s="53"/>
      <c r="R235" s="53"/>
      <c r="S235" s="136"/>
      <c r="T235" s="136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</row>
    <row r="236" ht="12.75" customHeight="1">
      <c r="A236" s="136"/>
      <c r="B236" s="136"/>
      <c r="C236" s="136"/>
      <c r="D236" s="136"/>
      <c r="E236" s="136"/>
      <c r="F236" s="136"/>
      <c r="G236" s="136"/>
      <c r="H236" s="52"/>
      <c r="I236" s="52"/>
      <c r="J236" s="52"/>
      <c r="K236" s="136"/>
      <c r="L236" s="53"/>
      <c r="M236" s="53"/>
      <c r="N236" s="53"/>
      <c r="O236" s="53"/>
      <c r="P236" s="53"/>
      <c r="Q236" s="53"/>
      <c r="R236" s="53"/>
      <c r="S236" s="136"/>
      <c r="T236" s="136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</row>
    <row r="237" ht="12.75" customHeight="1">
      <c r="A237" s="136"/>
      <c r="B237" s="136"/>
      <c r="C237" s="136"/>
      <c r="D237" s="136"/>
      <c r="E237" s="136"/>
      <c r="F237" s="136"/>
      <c r="G237" s="136"/>
      <c r="H237" s="52"/>
      <c r="I237" s="52"/>
      <c r="J237" s="52"/>
      <c r="K237" s="136"/>
      <c r="L237" s="53"/>
      <c r="M237" s="53"/>
      <c r="N237" s="53"/>
      <c r="O237" s="53"/>
      <c r="P237" s="53"/>
      <c r="Q237" s="53"/>
      <c r="R237" s="53"/>
      <c r="S237" s="136"/>
      <c r="T237" s="136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</row>
    <row r="238" ht="12.75" customHeight="1">
      <c r="A238" s="136"/>
      <c r="B238" s="136"/>
      <c r="C238" s="136"/>
      <c r="D238" s="136"/>
      <c r="E238" s="136"/>
      <c r="F238" s="136"/>
      <c r="G238" s="136"/>
      <c r="H238" s="52"/>
      <c r="I238" s="52"/>
      <c r="J238" s="52"/>
      <c r="K238" s="136"/>
      <c r="L238" s="53"/>
      <c r="M238" s="53"/>
      <c r="N238" s="53"/>
      <c r="O238" s="53"/>
      <c r="P238" s="53"/>
      <c r="Q238" s="53"/>
      <c r="R238" s="53"/>
      <c r="S238" s="136"/>
      <c r="T238" s="136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</row>
    <row r="239" ht="12.75" customHeight="1">
      <c r="A239" s="136"/>
      <c r="B239" s="136"/>
      <c r="C239" s="136"/>
      <c r="D239" s="136"/>
      <c r="E239" s="136"/>
      <c r="F239" s="136"/>
      <c r="G239" s="136"/>
      <c r="H239" s="52"/>
      <c r="I239" s="52"/>
      <c r="J239" s="52"/>
      <c r="K239" s="136"/>
      <c r="L239" s="53"/>
      <c r="M239" s="53"/>
      <c r="N239" s="53"/>
      <c r="O239" s="53"/>
      <c r="P239" s="53"/>
      <c r="Q239" s="53"/>
      <c r="R239" s="53"/>
      <c r="S239" s="136"/>
      <c r="T239" s="136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</row>
    <row r="240" ht="12.75" customHeight="1">
      <c r="A240" s="136"/>
      <c r="B240" s="136"/>
      <c r="C240" s="136"/>
      <c r="D240" s="136"/>
      <c r="E240" s="136"/>
      <c r="F240" s="136"/>
      <c r="G240" s="136"/>
      <c r="H240" s="52"/>
      <c r="I240" s="52"/>
      <c r="J240" s="52"/>
      <c r="K240" s="136"/>
      <c r="L240" s="53"/>
      <c r="M240" s="53"/>
      <c r="N240" s="53"/>
      <c r="O240" s="53"/>
      <c r="P240" s="53"/>
      <c r="Q240" s="53"/>
      <c r="R240" s="53"/>
      <c r="S240" s="136"/>
      <c r="T240" s="136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</row>
    <row r="241" ht="12.75" customHeight="1">
      <c r="A241" s="136"/>
      <c r="B241" s="136"/>
      <c r="C241" s="136"/>
      <c r="D241" s="136"/>
      <c r="E241" s="136"/>
      <c r="F241" s="136"/>
      <c r="G241" s="136"/>
      <c r="H241" s="52"/>
      <c r="I241" s="52"/>
      <c r="J241" s="52"/>
      <c r="K241" s="136"/>
      <c r="L241" s="53"/>
      <c r="M241" s="53"/>
      <c r="N241" s="53"/>
      <c r="O241" s="53"/>
      <c r="P241" s="53"/>
      <c r="Q241" s="53"/>
      <c r="R241" s="53"/>
      <c r="S241" s="136"/>
      <c r="T241" s="136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</row>
    <row r="242" ht="12.75" customHeight="1">
      <c r="A242" s="136"/>
      <c r="B242" s="136"/>
      <c r="C242" s="136"/>
      <c r="D242" s="136"/>
      <c r="E242" s="136"/>
      <c r="F242" s="136"/>
      <c r="G242" s="136"/>
      <c r="H242" s="52"/>
      <c r="I242" s="52"/>
      <c r="J242" s="52"/>
      <c r="K242" s="136"/>
      <c r="L242" s="53"/>
      <c r="M242" s="53"/>
      <c r="N242" s="53"/>
      <c r="O242" s="53"/>
      <c r="P242" s="53"/>
      <c r="Q242" s="53"/>
      <c r="R242" s="53"/>
      <c r="S242" s="136"/>
      <c r="T242" s="136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</row>
    <row r="243" ht="12.75" customHeight="1">
      <c r="A243" s="136"/>
      <c r="B243" s="136"/>
      <c r="C243" s="136"/>
      <c r="D243" s="136"/>
      <c r="E243" s="136"/>
      <c r="F243" s="136"/>
      <c r="G243" s="136"/>
      <c r="H243" s="52"/>
      <c r="I243" s="52"/>
      <c r="J243" s="52"/>
      <c r="K243" s="136"/>
      <c r="L243" s="53"/>
      <c r="M243" s="53"/>
      <c r="N243" s="53"/>
      <c r="O243" s="53"/>
      <c r="P243" s="53"/>
      <c r="Q243" s="53"/>
      <c r="R243" s="53"/>
      <c r="S243" s="136"/>
      <c r="T243" s="136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</row>
    <row r="244" ht="12.75" customHeight="1">
      <c r="A244" s="136"/>
      <c r="B244" s="136"/>
      <c r="C244" s="136"/>
      <c r="D244" s="136"/>
      <c r="E244" s="136"/>
      <c r="F244" s="136"/>
      <c r="G244" s="136"/>
      <c r="H244" s="52"/>
      <c r="I244" s="52"/>
      <c r="J244" s="52"/>
      <c r="K244" s="136"/>
      <c r="L244" s="53"/>
      <c r="M244" s="53"/>
      <c r="N244" s="53"/>
      <c r="O244" s="53"/>
      <c r="P244" s="53"/>
      <c r="Q244" s="53"/>
      <c r="R244" s="53"/>
      <c r="S244" s="136"/>
      <c r="T244" s="136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</row>
    <row r="245" ht="12.75" customHeight="1">
      <c r="A245" s="136"/>
      <c r="B245" s="136"/>
      <c r="C245" s="136"/>
      <c r="D245" s="136"/>
      <c r="E245" s="136"/>
      <c r="F245" s="136"/>
      <c r="G245" s="136"/>
      <c r="H245" s="52"/>
      <c r="I245" s="52"/>
      <c r="J245" s="52"/>
      <c r="K245" s="136"/>
      <c r="L245" s="53"/>
      <c r="M245" s="53"/>
      <c r="N245" s="53"/>
      <c r="O245" s="53"/>
      <c r="P245" s="53"/>
      <c r="Q245" s="53"/>
      <c r="R245" s="53"/>
      <c r="S245" s="136"/>
      <c r="T245" s="136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</row>
    <row r="246" ht="12.75" customHeight="1">
      <c r="A246" s="136"/>
      <c r="B246" s="136"/>
      <c r="C246" s="136"/>
      <c r="D246" s="136"/>
      <c r="E246" s="136"/>
      <c r="F246" s="136"/>
      <c r="G246" s="136"/>
      <c r="H246" s="52"/>
      <c r="I246" s="52"/>
      <c r="J246" s="52"/>
      <c r="K246" s="136"/>
      <c r="L246" s="53"/>
      <c r="M246" s="53"/>
      <c r="N246" s="53"/>
      <c r="O246" s="53"/>
      <c r="P246" s="53"/>
      <c r="Q246" s="53"/>
      <c r="R246" s="53"/>
      <c r="S246" s="136"/>
      <c r="T246" s="136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</row>
    <row r="247" ht="12.75" customHeight="1">
      <c r="A247" s="136"/>
      <c r="B247" s="136"/>
      <c r="C247" s="136"/>
      <c r="D247" s="136"/>
      <c r="E247" s="136"/>
      <c r="F247" s="136"/>
      <c r="G247" s="136"/>
      <c r="H247" s="52"/>
      <c r="I247" s="52"/>
      <c r="J247" s="52"/>
      <c r="K247" s="136"/>
      <c r="L247" s="53"/>
      <c r="M247" s="53"/>
      <c r="N247" s="53"/>
      <c r="O247" s="53"/>
      <c r="P247" s="53"/>
      <c r="Q247" s="53"/>
      <c r="R247" s="53"/>
      <c r="S247" s="136"/>
      <c r="T247" s="136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</row>
    <row r="248" ht="12.75" customHeight="1">
      <c r="A248" s="136"/>
      <c r="B248" s="136"/>
      <c r="C248" s="136"/>
      <c r="D248" s="136"/>
      <c r="E248" s="136"/>
      <c r="F248" s="136"/>
      <c r="G248" s="136"/>
      <c r="H248" s="52"/>
      <c r="I248" s="52"/>
      <c r="J248" s="52"/>
      <c r="K248" s="136"/>
      <c r="L248" s="53"/>
      <c r="M248" s="53"/>
      <c r="N248" s="53"/>
      <c r="O248" s="53"/>
      <c r="P248" s="53"/>
      <c r="Q248" s="53"/>
      <c r="R248" s="53"/>
      <c r="S248" s="136"/>
      <c r="T248" s="136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</row>
    <row r="249" ht="12.75" customHeight="1">
      <c r="A249" s="136"/>
      <c r="B249" s="136"/>
      <c r="C249" s="136"/>
      <c r="D249" s="136"/>
      <c r="E249" s="136"/>
      <c r="F249" s="136"/>
      <c r="G249" s="136"/>
      <c r="H249" s="52"/>
      <c r="I249" s="52"/>
      <c r="J249" s="52"/>
      <c r="K249" s="136"/>
      <c r="L249" s="53"/>
      <c r="M249" s="53"/>
      <c r="N249" s="53"/>
      <c r="O249" s="53"/>
      <c r="P249" s="53"/>
      <c r="Q249" s="53"/>
      <c r="R249" s="53"/>
      <c r="S249" s="136"/>
      <c r="T249" s="136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</row>
    <row r="250" ht="12.75" customHeight="1">
      <c r="A250" s="136"/>
      <c r="B250" s="136"/>
      <c r="C250" s="136"/>
      <c r="D250" s="136"/>
      <c r="E250" s="136"/>
      <c r="F250" s="136"/>
      <c r="G250" s="136"/>
      <c r="H250" s="52"/>
      <c r="I250" s="52"/>
      <c r="J250" s="52"/>
      <c r="K250" s="136"/>
      <c r="L250" s="53"/>
      <c r="M250" s="53"/>
      <c r="N250" s="53"/>
      <c r="O250" s="53"/>
      <c r="P250" s="53"/>
      <c r="Q250" s="53"/>
      <c r="R250" s="53"/>
      <c r="S250" s="136"/>
      <c r="T250" s="136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</row>
    <row r="251" ht="12.75" customHeight="1">
      <c r="A251" s="136"/>
      <c r="B251" s="136"/>
      <c r="C251" s="136"/>
      <c r="D251" s="136"/>
      <c r="E251" s="136"/>
      <c r="F251" s="136"/>
      <c r="G251" s="136"/>
      <c r="H251" s="52"/>
      <c r="I251" s="52"/>
      <c r="J251" s="52"/>
      <c r="K251" s="136"/>
      <c r="L251" s="53"/>
      <c r="M251" s="53"/>
      <c r="N251" s="53"/>
      <c r="O251" s="53"/>
      <c r="P251" s="53"/>
      <c r="Q251" s="53"/>
      <c r="R251" s="53"/>
      <c r="S251" s="136"/>
      <c r="T251" s="136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</row>
    <row r="252" ht="12.75" customHeight="1">
      <c r="A252" s="136"/>
      <c r="B252" s="136"/>
      <c r="C252" s="136"/>
      <c r="D252" s="136"/>
      <c r="E252" s="136"/>
      <c r="F252" s="136"/>
      <c r="G252" s="136"/>
      <c r="H252" s="52"/>
      <c r="I252" s="52"/>
      <c r="J252" s="52"/>
      <c r="K252" s="136"/>
      <c r="L252" s="53"/>
      <c r="M252" s="53"/>
      <c r="N252" s="53"/>
      <c r="O252" s="53"/>
      <c r="P252" s="53"/>
      <c r="Q252" s="53"/>
      <c r="R252" s="53"/>
      <c r="S252" s="136"/>
      <c r="T252" s="136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</row>
    <row r="253" ht="12.75" customHeight="1">
      <c r="A253" s="136"/>
      <c r="B253" s="136"/>
      <c r="C253" s="136"/>
      <c r="D253" s="136"/>
      <c r="E253" s="136"/>
      <c r="F253" s="136"/>
      <c r="G253" s="136"/>
      <c r="H253" s="52"/>
      <c r="I253" s="52"/>
      <c r="J253" s="52"/>
      <c r="K253" s="136"/>
      <c r="L253" s="53"/>
      <c r="M253" s="53"/>
      <c r="N253" s="53"/>
      <c r="O253" s="53"/>
      <c r="P253" s="53"/>
      <c r="Q253" s="53"/>
      <c r="R253" s="53"/>
      <c r="S253" s="136"/>
      <c r="T253" s="136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</row>
    <row r="254" ht="12.75" customHeight="1">
      <c r="A254" s="136"/>
      <c r="B254" s="136"/>
      <c r="C254" s="136"/>
      <c r="D254" s="136"/>
      <c r="E254" s="136"/>
      <c r="F254" s="136"/>
      <c r="G254" s="136"/>
      <c r="H254" s="52"/>
      <c r="I254" s="52"/>
      <c r="J254" s="52"/>
      <c r="K254" s="136"/>
      <c r="L254" s="53"/>
      <c r="M254" s="53"/>
      <c r="N254" s="53"/>
      <c r="O254" s="53"/>
      <c r="P254" s="53"/>
      <c r="Q254" s="53"/>
      <c r="R254" s="53"/>
      <c r="S254" s="136"/>
      <c r="T254" s="136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</row>
    <row r="255" ht="12.75" customHeight="1">
      <c r="A255" s="136"/>
      <c r="B255" s="136"/>
      <c r="C255" s="136"/>
      <c r="D255" s="136"/>
      <c r="E255" s="136"/>
      <c r="F255" s="136"/>
      <c r="G255" s="136"/>
      <c r="H255" s="52"/>
      <c r="I255" s="52"/>
      <c r="J255" s="52"/>
      <c r="K255" s="136"/>
      <c r="L255" s="53"/>
      <c r="M255" s="53"/>
      <c r="N255" s="53"/>
      <c r="O255" s="53"/>
      <c r="P255" s="53"/>
      <c r="Q255" s="53"/>
      <c r="R255" s="53"/>
      <c r="S255" s="136"/>
      <c r="T255" s="136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</row>
    <row r="256" ht="12.75" customHeight="1">
      <c r="A256" s="136"/>
      <c r="B256" s="136"/>
      <c r="C256" s="136"/>
      <c r="D256" s="136"/>
      <c r="E256" s="136"/>
      <c r="F256" s="136"/>
      <c r="G256" s="136"/>
      <c r="H256" s="52"/>
      <c r="I256" s="52"/>
      <c r="J256" s="52"/>
      <c r="K256" s="136"/>
      <c r="L256" s="53"/>
      <c r="M256" s="53"/>
      <c r="N256" s="53"/>
      <c r="O256" s="53"/>
      <c r="P256" s="53"/>
      <c r="Q256" s="53"/>
      <c r="R256" s="53"/>
      <c r="S256" s="136"/>
      <c r="T256" s="136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</row>
    <row r="257" ht="12.75" customHeight="1">
      <c r="A257" s="136"/>
      <c r="B257" s="136"/>
      <c r="C257" s="136"/>
      <c r="D257" s="136"/>
      <c r="E257" s="136"/>
      <c r="F257" s="136"/>
      <c r="G257" s="136"/>
      <c r="H257" s="52"/>
      <c r="I257" s="52"/>
      <c r="J257" s="52"/>
      <c r="K257" s="136"/>
      <c r="L257" s="53"/>
      <c r="M257" s="53"/>
      <c r="N257" s="53"/>
      <c r="O257" s="53"/>
      <c r="P257" s="53"/>
      <c r="Q257" s="53"/>
      <c r="R257" s="53"/>
      <c r="S257" s="136"/>
      <c r="T257" s="136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</row>
    <row r="258" ht="12.75" customHeight="1">
      <c r="A258" s="136"/>
      <c r="B258" s="136"/>
      <c r="C258" s="136"/>
      <c r="D258" s="136"/>
      <c r="E258" s="136"/>
      <c r="F258" s="136"/>
      <c r="G258" s="136"/>
      <c r="H258" s="52"/>
      <c r="I258" s="52"/>
      <c r="J258" s="52"/>
      <c r="K258" s="136"/>
      <c r="L258" s="53"/>
      <c r="M258" s="53"/>
      <c r="N258" s="53"/>
      <c r="O258" s="53"/>
      <c r="P258" s="53"/>
      <c r="Q258" s="53"/>
      <c r="R258" s="53"/>
      <c r="S258" s="136"/>
      <c r="T258" s="136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</row>
    <row r="259" ht="12.75" customHeight="1">
      <c r="A259" s="136"/>
      <c r="B259" s="136"/>
      <c r="C259" s="136"/>
      <c r="D259" s="136"/>
      <c r="E259" s="136"/>
      <c r="F259" s="136"/>
      <c r="G259" s="136"/>
      <c r="H259" s="52"/>
      <c r="I259" s="52"/>
      <c r="J259" s="52"/>
      <c r="K259" s="136"/>
      <c r="L259" s="53"/>
      <c r="M259" s="53"/>
      <c r="N259" s="53"/>
      <c r="O259" s="53"/>
      <c r="P259" s="53"/>
      <c r="Q259" s="53"/>
      <c r="R259" s="53"/>
      <c r="S259" s="136"/>
      <c r="T259" s="136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</row>
    <row r="260" ht="12.75" customHeight="1">
      <c r="A260" s="136"/>
      <c r="B260" s="136"/>
      <c r="C260" s="136"/>
      <c r="D260" s="136"/>
      <c r="E260" s="136"/>
      <c r="F260" s="136"/>
      <c r="G260" s="136"/>
      <c r="H260" s="52"/>
      <c r="I260" s="52"/>
      <c r="J260" s="52"/>
      <c r="K260" s="136"/>
      <c r="L260" s="53"/>
      <c r="M260" s="53"/>
      <c r="N260" s="53"/>
      <c r="O260" s="53"/>
      <c r="P260" s="53"/>
      <c r="Q260" s="53"/>
      <c r="R260" s="53"/>
      <c r="S260" s="136"/>
      <c r="T260" s="136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</row>
    <row r="261" ht="12.75" customHeight="1">
      <c r="A261" s="136"/>
      <c r="B261" s="136"/>
      <c r="C261" s="136"/>
      <c r="D261" s="136"/>
      <c r="E261" s="136"/>
      <c r="F261" s="136"/>
      <c r="G261" s="136"/>
      <c r="H261" s="52"/>
      <c r="I261" s="52"/>
      <c r="J261" s="52"/>
      <c r="K261" s="136"/>
      <c r="L261" s="53"/>
      <c r="M261" s="53"/>
      <c r="N261" s="53"/>
      <c r="O261" s="53"/>
      <c r="P261" s="53"/>
      <c r="Q261" s="53"/>
      <c r="R261" s="53"/>
      <c r="S261" s="136"/>
      <c r="T261" s="136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</row>
    <row r="262" ht="12.75" customHeight="1">
      <c r="A262" s="136"/>
      <c r="B262" s="136"/>
      <c r="C262" s="136"/>
      <c r="D262" s="136"/>
      <c r="E262" s="136"/>
      <c r="F262" s="136"/>
      <c r="G262" s="136"/>
      <c r="H262" s="52"/>
      <c r="I262" s="52"/>
      <c r="J262" s="52"/>
      <c r="K262" s="136"/>
      <c r="L262" s="53"/>
      <c r="M262" s="53"/>
      <c r="N262" s="53"/>
      <c r="O262" s="53"/>
      <c r="P262" s="53"/>
      <c r="Q262" s="53"/>
      <c r="R262" s="53"/>
      <c r="S262" s="136"/>
      <c r="T262" s="136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</row>
    <row r="263" ht="12.75" customHeight="1">
      <c r="A263" s="136"/>
      <c r="B263" s="136"/>
      <c r="C263" s="136"/>
      <c r="D263" s="136"/>
      <c r="E263" s="136"/>
      <c r="F263" s="136"/>
      <c r="G263" s="136"/>
      <c r="H263" s="52"/>
      <c r="I263" s="52"/>
      <c r="J263" s="52"/>
      <c r="K263" s="136"/>
      <c r="L263" s="53"/>
      <c r="M263" s="53"/>
      <c r="N263" s="53"/>
      <c r="O263" s="53"/>
      <c r="P263" s="53"/>
      <c r="Q263" s="53"/>
      <c r="R263" s="53"/>
      <c r="S263" s="136"/>
      <c r="T263" s="136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</row>
    <row r="264" ht="12.75" customHeight="1">
      <c r="A264" s="136"/>
      <c r="B264" s="136"/>
      <c r="C264" s="136"/>
      <c r="D264" s="136"/>
      <c r="E264" s="136"/>
      <c r="F264" s="136"/>
      <c r="G264" s="136"/>
      <c r="H264" s="52"/>
      <c r="I264" s="52"/>
      <c r="J264" s="52"/>
      <c r="K264" s="136"/>
      <c r="L264" s="53"/>
      <c r="M264" s="53"/>
      <c r="N264" s="53"/>
      <c r="O264" s="53"/>
      <c r="P264" s="53"/>
      <c r="Q264" s="53"/>
      <c r="R264" s="53"/>
      <c r="S264" s="136"/>
      <c r="T264" s="136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</row>
    <row r="265" ht="12.75" customHeight="1">
      <c r="A265" s="136"/>
      <c r="B265" s="136"/>
      <c r="C265" s="136"/>
      <c r="D265" s="136"/>
      <c r="E265" s="136"/>
      <c r="F265" s="136"/>
      <c r="G265" s="136"/>
      <c r="H265" s="52"/>
      <c r="I265" s="52"/>
      <c r="J265" s="52"/>
      <c r="K265" s="136"/>
      <c r="L265" s="53"/>
      <c r="M265" s="53"/>
      <c r="N265" s="53"/>
      <c r="O265" s="53"/>
      <c r="P265" s="53"/>
      <c r="Q265" s="53"/>
      <c r="R265" s="53"/>
      <c r="S265" s="136"/>
      <c r="T265" s="136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</row>
    <row r="266" ht="12.75" customHeight="1">
      <c r="A266" s="136"/>
      <c r="B266" s="136"/>
      <c r="C266" s="136"/>
      <c r="D266" s="136"/>
      <c r="E266" s="136"/>
      <c r="F266" s="136"/>
      <c r="G266" s="136"/>
      <c r="H266" s="52"/>
      <c r="I266" s="52"/>
      <c r="J266" s="52"/>
      <c r="K266" s="136"/>
      <c r="L266" s="53"/>
      <c r="M266" s="53"/>
      <c r="N266" s="53"/>
      <c r="O266" s="53"/>
      <c r="P266" s="53"/>
      <c r="Q266" s="53"/>
      <c r="R266" s="53"/>
      <c r="S266" s="136"/>
      <c r="T266" s="136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</row>
    <row r="267" ht="12.75" customHeight="1">
      <c r="A267" s="136"/>
      <c r="B267" s="136"/>
      <c r="C267" s="136"/>
      <c r="D267" s="136"/>
      <c r="E267" s="136"/>
      <c r="F267" s="136"/>
      <c r="G267" s="136"/>
      <c r="H267" s="52"/>
      <c r="I267" s="52"/>
      <c r="J267" s="52"/>
      <c r="K267" s="136"/>
      <c r="L267" s="53"/>
      <c r="M267" s="53"/>
      <c r="N267" s="53"/>
      <c r="O267" s="53"/>
      <c r="P267" s="53"/>
      <c r="Q267" s="53"/>
      <c r="R267" s="53"/>
      <c r="S267" s="136"/>
      <c r="T267" s="136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</row>
    <row r="268" ht="12.75" customHeight="1">
      <c r="A268" s="136"/>
      <c r="B268" s="136"/>
      <c r="C268" s="136"/>
      <c r="D268" s="136"/>
      <c r="E268" s="136"/>
      <c r="F268" s="136"/>
      <c r="G268" s="136"/>
      <c r="H268" s="52"/>
      <c r="I268" s="52"/>
      <c r="J268" s="52"/>
      <c r="K268" s="136"/>
      <c r="L268" s="53"/>
      <c r="M268" s="53"/>
      <c r="N268" s="53"/>
      <c r="O268" s="53"/>
      <c r="P268" s="53"/>
      <c r="Q268" s="53"/>
      <c r="R268" s="53"/>
      <c r="S268" s="136"/>
      <c r="T268" s="136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</row>
    <row r="269" ht="12.75" customHeight="1">
      <c r="A269" s="136"/>
      <c r="B269" s="136"/>
      <c r="C269" s="136"/>
      <c r="D269" s="136"/>
      <c r="E269" s="136"/>
      <c r="F269" s="136"/>
      <c r="G269" s="136"/>
      <c r="H269" s="52"/>
      <c r="I269" s="52"/>
      <c r="J269" s="52"/>
      <c r="K269" s="136"/>
      <c r="L269" s="53"/>
      <c r="M269" s="53"/>
      <c r="N269" s="53"/>
      <c r="O269" s="53"/>
      <c r="P269" s="53"/>
      <c r="Q269" s="53"/>
      <c r="R269" s="53"/>
      <c r="S269" s="136"/>
      <c r="T269" s="136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</row>
    <row r="270" ht="12.75" customHeight="1">
      <c r="A270" s="136"/>
      <c r="B270" s="136"/>
      <c r="C270" s="136"/>
      <c r="D270" s="136"/>
      <c r="E270" s="136"/>
      <c r="F270" s="136"/>
      <c r="G270" s="136"/>
      <c r="H270" s="52"/>
      <c r="I270" s="52"/>
      <c r="J270" s="52"/>
      <c r="K270" s="136"/>
      <c r="L270" s="53"/>
      <c r="M270" s="53"/>
      <c r="N270" s="53"/>
      <c r="O270" s="53"/>
      <c r="P270" s="53"/>
      <c r="Q270" s="53"/>
      <c r="R270" s="53"/>
      <c r="S270" s="136"/>
      <c r="T270" s="136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</row>
    <row r="271" ht="12.75" customHeight="1">
      <c r="A271" s="136"/>
      <c r="B271" s="136"/>
      <c r="C271" s="136"/>
      <c r="D271" s="136"/>
      <c r="E271" s="136"/>
      <c r="F271" s="136"/>
      <c r="G271" s="136"/>
      <c r="H271" s="52"/>
      <c r="I271" s="52"/>
      <c r="J271" s="52"/>
      <c r="K271" s="136"/>
      <c r="L271" s="53"/>
      <c r="M271" s="53"/>
      <c r="N271" s="53"/>
      <c r="O271" s="53"/>
      <c r="P271" s="53"/>
      <c r="Q271" s="53"/>
      <c r="R271" s="53"/>
      <c r="S271" s="136"/>
      <c r="T271" s="136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</row>
    <row r="272" ht="12.75" customHeight="1">
      <c r="A272" s="136"/>
      <c r="B272" s="136"/>
      <c r="C272" s="136"/>
      <c r="D272" s="136"/>
      <c r="E272" s="136"/>
      <c r="F272" s="136"/>
      <c r="G272" s="136"/>
      <c r="H272" s="52"/>
      <c r="I272" s="52"/>
      <c r="J272" s="52"/>
      <c r="K272" s="136"/>
      <c r="L272" s="53"/>
      <c r="M272" s="53"/>
      <c r="N272" s="53"/>
      <c r="O272" s="53"/>
      <c r="P272" s="53"/>
      <c r="Q272" s="53"/>
      <c r="R272" s="53"/>
      <c r="S272" s="136"/>
      <c r="T272" s="136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</row>
    <row r="273" ht="12.75" customHeight="1">
      <c r="A273" s="136"/>
      <c r="B273" s="136"/>
      <c r="C273" s="136"/>
      <c r="D273" s="136"/>
      <c r="E273" s="136"/>
      <c r="F273" s="136"/>
      <c r="G273" s="136"/>
      <c r="H273" s="52"/>
      <c r="I273" s="52"/>
      <c r="J273" s="52"/>
      <c r="K273" s="136"/>
      <c r="L273" s="53"/>
      <c r="M273" s="53"/>
      <c r="N273" s="53"/>
      <c r="O273" s="53"/>
      <c r="P273" s="53"/>
      <c r="Q273" s="53"/>
      <c r="R273" s="53"/>
      <c r="S273" s="136"/>
      <c r="T273" s="136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</row>
    <row r="274" ht="12.75" customHeight="1">
      <c r="A274" s="136"/>
      <c r="B274" s="136"/>
      <c r="C274" s="136"/>
      <c r="D274" s="136"/>
      <c r="E274" s="136"/>
      <c r="F274" s="136"/>
      <c r="G274" s="136"/>
      <c r="H274" s="52"/>
      <c r="I274" s="52"/>
      <c r="J274" s="52"/>
      <c r="K274" s="136"/>
      <c r="L274" s="53"/>
      <c r="M274" s="53"/>
      <c r="N274" s="53"/>
      <c r="O274" s="53"/>
      <c r="P274" s="53"/>
      <c r="Q274" s="53"/>
      <c r="R274" s="53"/>
      <c r="S274" s="136"/>
      <c r="T274" s="136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</row>
    <row r="275" ht="12.75" customHeight="1">
      <c r="A275" s="136"/>
      <c r="B275" s="136"/>
      <c r="C275" s="136"/>
      <c r="D275" s="136"/>
      <c r="E275" s="136"/>
      <c r="F275" s="136"/>
      <c r="G275" s="136"/>
      <c r="H275" s="52"/>
      <c r="I275" s="52"/>
      <c r="J275" s="52"/>
      <c r="K275" s="136"/>
      <c r="L275" s="53"/>
      <c r="M275" s="53"/>
      <c r="N275" s="53"/>
      <c r="O275" s="53"/>
      <c r="P275" s="53"/>
      <c r="Q275" s="53"/>
      <c r="R275" s="53"/>
      <c r="S275" s="136"/>
      <c r="T275" s="136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</row>
    <row r="276" ht="12.75" customHeight="1">
      <c r="A276" s="136"/>
      <c r="B276" s="136"/>
      <c r="C276" s="136"/>
      <c r="D276" s="136"/>
      <c r="E276" s="136"/>
      <c r="F276" s="136"/>
      <c r="G276" s="136"/>
      <c r="H276" s="52"/>
      <c r="I276" s="52"/>
      <c r="J276" s="52"/>
      <c r="K276" s="136"/>
      <c r="L276" s="53"/>
      <c r="M276" s="53"/>
      <c r="N276" s="53"/>
      <c r="O276" s="53"/>
      <c r="P276" s="53"/>
      <c r="Q276" s="53"/>
      <c r="R276" s="53"/>
      <c r="S276" s="136"/>
      <c r="T276" s="136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</row>
    <row r="277" ht="12.75" customHeight="1">
      <c r="A277" s="136"/>
      <c r="B277" s="136"/>
      <c r="C277" s="136"/>
      <c r="D277" s="136"/>
      <c r="E277" s="136"/>
      <c r="F277" s="136"/>
      <c r="G277" s="136"/>
      <c r="H277" s="52"/>
      <c r="I277" s="52"/>
      <c r="J277" s="52"/>
      <c r="K277" s="136"/>
      <c r="L277" s="53"/>
      <c r="M277" s="53"/>
      <c r="N277" s="53"/>
      <c r="O277" s="53"/>
      <c r="P277" s="53"/>
      <c r="Q277" s="53"/>
      <c r="R277" s="53"/>
      <c r="S277" s="136"/>
      <c r="T277" s="136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</row>
    <row r="278" ht="12.75" customHeight="1">
      <c r="A278" s="136"/>
      <c r="B278" s="136"/>
      <c r="C278" s="136"/>
      <c r="D278" s="136"/>
      <c r="E278" s="136"/>
      <c r="F278" s="136"/>
      <c r="G278" s="136"/>
      <c r="H278" s="52"/>
      <c r="I278" s="52"/>
      <c r="J278" s="52"/>
      <c r="K278" s="136"/>
      <c r="L278" s="53"/>
      <c r="M278" s="53"/>
      <c r="N278" s="53"/>
      <c r="O278" s="53"/>
      <c r="P278" s="53"/>
      <c r="Q278" s="53"/>
      <c r="R278" s="53"/>
      <c r="S278" s="136"/>
      <c r="T278" s="136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</row>
    <row r="279" ht="12.75" customHeight="1">
      <c r="A279" s="136"/>
      <c r="B279" s="136"/>
      <c r="C279" s="136"/>
      <c r="D279" s="136"/>
      <c r="E279" s="136"/>
      <c r="F279" s="136"/>
      <c r="G279" s="136"/>
      <c r="H279" s="52"/>
      <c r="I279" s="52"/>
      <c r="J279" s="52"/>
      <c r="K279" s="136"/>
      <c r="L279" s="53"/>
      <c r="M279" s="53"/>
      <c r="N279" s="53"/>
      <c r="O279" s="53"/>
      <c r="P279" s="53"/>
      <c r="Q279" s="53"/>
      <c r="R279" s="53"/>
      <c r="S279" s="136"/>
      <c r="T279" s="136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</row>
    <row r="280" ht="12.75" customHeight="1">
      <c r="A280" s="136"/>
      <c r="B280" s="136"/>
      <c r="C280" s="136"/>
      <c r="D280" s="136"/>
      <c r="E280" s="136"/>
      <c r="F280" s="136"/>
      <c r="G280" s="136"/>
      <c r="H280" s="52"/>
      <c r="I280" s="52"/>
      <c r="J280" s="52"/>
      <c r="K280" s="136"/>
      <c r="L280" s="53"/>
      <c r="M280" s="53"/>
      <c r="N280" s="53"/>
      <c r="O280" s="53"/>
      <c r="P280" s="53"/>
      <c r="Q280" s="53"/>
      <c r="R280" s="53"/>
      <c r="S280" s="136"/>
      <c r="T280" s="136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</row>
    <row r="281" ht="12.75" customHeight="1">
      <c r="A281" s="136"/>
      <c r="B281" s="136"/>
      <c r="C281" s="136"/>
      <c r="D281" s="136"/>
      <c r="E281" s="136"/>
      <c r="F281" s="136"/>
      <c r="G281" s="136"/>
      <c r="H281" s="52"/>
      <c r="I281" s="52"/>
      <c r="J281" s="52"/>
      <c r="K281" s="136"/>
      <c r="L281" s="53"/>
      <c r="M281" s="53"/>
      <c r="N281" s="53"/>
      <c r="O281" s="53"/>
      <c r="P281" s="53"/>
      <c r="Q281" s="53"/>
      <c r="R281" s="53"/>
      <c r="S281" s="136"/>
      <c r="T281" s="136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</row>
    <row r="282" ht="12.75" customHeight="1">
      <c r="A282" s="136"/>
      <c r="B282" s="136"/>
      <c r="C282" s="136"/>
      <c r="D282" s="136"/>
      <c r="E282" s="136"/>
      <c r="F282" s="136"/>
      <c r="G282" s="136"/>
      <c r="H282" s="52"/>
      <c r="I282" s="52"/>
      <c r="J282" s="52"/>
      <c r="K282" s="136"/>
      <c r="L282" s="53"/>
      <c r="M282" s="53"/>
      <c r="N282" s="53"/>
      <c r="O282" s="53"/>
      <c r="P282" s="53"/>
      <c r="Q282" s="53"/>
      <c r="R282" s="53"/>
      <c r="S282" s="136"/>
      <c r="T282" s="136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</row>
    <row r="283" ht="12.75" customHeight="1">
      <c r="A283" s="136"/>
      <c r="B283" s="136"/>
      <c r="C283" s="136"/>
      <c r="D283" s="136"/>
      <c r="E283" s="136"/>
      <c r="F283" s="136"/>
      <c r="G283" s="136"/>
      <c r="H283" s="52"/>
      <c r="I283" s="52"/>
      <c r="J283" s="52"/>
      <c r="K283" s="136"/>
      <c r="L283" s="53"/>
      <c r="M283" s="53"/>
      <c r="N283" s="53"/>
      <c r="O283" s="53"/>
      <c r="P283" s="53"/>
      <c r="Q283" s="53"/>
      <c r="R283" s="53"/>
      <c r="S283" s="136"/>
      <c r="T283" s="136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</row>
    <row r="284" ht="12.75" customHeight="1">
      <c r="A284" s="136"/>
      <c r="B284" s="136"/>
      <c r="C284" s="136"/>
      <c r="D284" s="136"/>
      <c r="E284" s="136"/>
      <c r="F284" s="136"/>
      <c r="G284" s="136"/>
      <c r="H284" s="52"/>
      <c r="I284" s="52"/>
      <c r="J284" s="52"/>
      <c r="K284" s="136"/>
      <c r="L284" s="53"/>
      <c r="M284" s="53"/>
      <c r="N284" s="53"/>
      <c r="O284" s="53"/>
      <c r="P284" s="53"/>
      <c r="Q284" s="53"/>
      <c r="R284" s="53"/>
      <c r="S284" s="136"/>
      <c r="T284" s="136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</row>
    <row r="285" ht="12.75" customHeight="1">
      <c r="A285" s="136"/>
      <c r="B285" s="136"/>
      <c r="C285" s="136"/>
      <c r="D285" s="136"/>
      <c r="E285" s="136"/>
      <c r="F285" s="136"/>
      <c r="G285" s="136"/>
      <c r="H285" s="52"/>
      <c r="I285" s="52"/>
      <c r="J285" s="52"/>
      <c r="K285" s="136"/>
      <c r="L285" s="53"/>
      <c r="M285" s="53"/>
      <c r="N285" s="53"/>
      <c r="O285" s="53"/>
      <c r="P285" s="53"/>
      <c r="Q285" s="53"/>
      <c r="R285" s="53"/>
      <c r="S285" s="136"/>
      <c r="T285" s="136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</row>
    <row r="286" ht="12.75" customHeight="1">
      <c r="A286" s="136"/>
      <c r="B286" s="136"/>
      <c r="C286" s="136"/>
      <c r="D286" s="136"/>
      <c r="E286" s="136"/>
      <c r="F286" s="136"/>
      <c r="G286" s="136"/>
      <c r="H286" s="52"/>
      <c r="I286" s="52"/>
      <c r="J286" s="52"/>
      <c r="K286" s="136"/>
      <c r="L286" s="53"/>
      <c r="M286" s="53"/>
      <c r="N286" s="53"/>
      <c r="O286" s="53"/>
      <c r="P286" s="53"/>
      <c r="Q286" s="53"/>
      <c r="R286" s="53"/>
      <c r="S286" s="136"/>
      <c r="T286" s="136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</row>
    <row r="287" ht="12.75" customHeight="1">
      <c r="A287" s="136"/>
      <c r="B287" s="136"/>
      <c r="C287" s="136"/>
      <c r="D287" s="136"/>
      <c r="E287" s="136"/>
      <c r="F287" s="136"/>
      <c r="G287" s="136"/>
      <c r="H287" s="52"/>
      <c r="I287" s="52"/>
      <c r="J287" s="52"/>
      <c r="K287" s="136"/>
      <c r="L287" s="53"/>
      <c r="M287" s="53"/>
      <c r="N287" s="53"/>
      <c r="O287" s="53"/>
      <c r="P287" s="53"/>
      <c r="Q287" s="53"/>
      <c r="R287" s="53"/>
      <c r="S287" s="136"/>
      <c r="T287" s="136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</row>
    <row r="288" ht="12.75" customHeight="1">
      <c r="A288" s="136"/>
      <c r="B288" s="136"/>
      <c r="C288" s="136"/>
      <c r="D288" s="136"/>
      <c r="E288" s="136"/>
      <c r="F288" s="136"/>
      <c r="G288" s="136"/>
      <c r="H288" s="52"/>
      <c r="I288" s="52"/>
      <c r="J288" s="52"/>
      <c r="K288" s="136"/>
      <c r="L288" s="53"/>
      <c r="M288" s="53"/>
      <c r="N288" s="53"/>
      <c r="O288" s="53"/>
      <c r="P288" s="53"/>
      <c r="Q288" s="53"/>
      <c r="R288" s="53"/>
      <c r="S288" s="136"/>
      <c r="T288" s="136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</row>
    <row r="289" ht="12.75" customHeight="1">
      <c r="A289" s="136"/>
      <c r="B289" s="136"/>
      <c r="C289" s="136"/>
      <c r="D289" s="136"/>
      <c r="E289" s="136"/>
      <c r="F289" s="136"/>
      <c r="G289" s="136"/>
      <c r="H289" s="52"/>
      <c r="I289" s="52"/>
      <c r="J289" s="52"/>
      <c r="K289" s="136"/>
      <c r="L289" s="53"/>
      <c r="M289" s="53"/>
      <c r="N289" s="53"/>
      <c r="O289" s="53"/>
      <c r="P289" s="53"/>
      <c r="Q289" s="53"/>
      <c r="R289" s="53"/>
      <c r="S289" s="136"/>
      <c r="T289" s="136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</row>
    <row r="290" ht="12.75" customHeight="1">
      <c r="A290" s="136"/>
      <c r="B290" s="136"/>
      <c r="C290" s="136"/>
      <c r="D290" s="136"/>
      <c r="E290" s="136"/>
      <c r="F290" s="136"/>
      <c r="G290" s="136"/>
      <c r="H290" s="52"/>
      <c r="I290" s="52"/>
      <c r="J290" s="52"/>
      <c r="K290" s="136"/>
      <c r="L290" s="53"/>
      <c r="M290" s="53"/>
      <c r="N290" s="53"/>
      <c r="O290" s="53"/>
      <c r="P290" s="53"/>
      <c r="Q290" s="53"/>
      <c r="R290" s="53"/>
      <c r="S290" s="136"/>
      <c r="T290" s="136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</row>
    <row r="291" ht="12.75" customHeight="1">
      <c r="A291" s="136"/>
      <c r="B291" s="136"/>
      <c r="C291" s="136"/>
      <c r="D291" s="136"/>
      <c r="E291" s="136"/>
      <c r="F291" s="136"/>
      <c r="G291" s="136"/>
      <c r="H291" s="52"/>
      <c r="I291" s="52"/>
      <c r="J291" s="52"/>
      <c r="K291" s="136"/>
      <c r="L291" s="53"/>
      <c r="M291" s="53"/>
      <c r="N291" s="53"/>
      <c r="O291" s="53"/>
      <c r="P291" s="53"/>
      <c r="Q291" s="53"/>
      <c r="R291" s="53"/>
      <c r="S291" s="136"/>
      <c r="T291" s="136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</row>
    <row r="292" ht="12.75" customHeight="1">
      <c r="A292" s="136"/>
      <c r="B292" s="136"/>
      <c r="C292" s="136"/>
      <c r="D292" s="136"/>
      <c r="E292" s="136"/>
      <c r="F292" s="136"/>
      <c r="G292" s="136"/>
      <c r="H292" s="52"/>
      <c r="I292" s="52"/>
      <c r="J292" s="52"/>
      <c r="K292" s="136"/>
      <c r="L292" s="53"/>
      <c r="M292" s="53"/>
      <c r="N292" s="53"/>
      <c r="O292" s="53"/>
      <c r="P292" s="53"/>
      <c r="Q292" s="53"/>
      <c r="R292" s="53"/>
      <c r="S292" s="136"/>
      <c r="T292" s="136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</row>
    <row r="293" ht="12.75" customHeight="1">
      <c r="A293" s="136"/>
      <c r="B293" s="136"/>
      <c r="C293" s="136"/>
      <c r="D293" s="136"/>
      <c r="E293" s="136"/>
      <c r="F293" s="136"/>
      <c r="G293" s="136"/>
      <c r="H293" s="52"/>
      <c r="I293" s="52"/>
      <c r="J293" s="52"/>
      <c r="K293" s="136"/>
      <c r="L293" s="53"/>
      <c r="M293" s="53"/>
      <c r="N293" s="53"/>
      <c r="O293" s="53"/>
      <c r="P293" s="53"/>
      <c r="Q293" s="53"/>
      <c r="R293" s="53"/>
      <c r="S293" s="136"/>
      <c r="T293" s="136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</row>
    <row r="294" ht="12.75" customHeight="1">
      <c r="A294" s="136"/>
      <c r="B294" s="136"/>
      <c r="C294" s="136"/>
      <c r="D294" s="136"/>
      <c r="E294" s="136"/>
      <c r="F294" s="136"/>
      <c r="G294" s="136"/>
      <c r="H294" s="52"/>
      <c r="I294" s="52"/>
      <c r="J294" s="52"/>
      <c r="K294" s="136"/>
      <c r="L294" s="53"/>
      <c r="M294" s="53"/>
      <c r="N294" s="53"/>
      <c r="O294" s="53"/>
      <c r="P294" s="53"/>
      <c r="Q294" s="53"/>
      <c r="R294" s="53"/>
      <c r="S294" s="136"/>
      <c r="T294" s="136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</row>
    <row r="295" ht="12.75" customHeight="1">
      <c r="A295" s="136"/>
      <c r="B295" s="136"/>
      <c r="C295" s="136"/>
      <c r="D295" s="136"/>
      <c r="E295" s="136"/>
      <c r="F295" s="136"/>
      <c r="G295" s="136"/>
      <c r="H295" s="52"/>
      <c r="I295" s="52"/>
      <c r="J295" s="52"/>
      <c r="K295" s="136"/>
      <c r="L295" s="53"/>
      <c r="M295" s="53"/>
      <c r="N295" s="53"/>
      <c r="O295" s="53"/>
      <c r="P295" s="53"/>
      <c r="Q295" s="53"/>
      <c r="R295" s="53"/>
      <c r="S295" s="136"/>
      <c r="T295" s="136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</row>
    <row r="296" ht="12.75" customHeight="1">
      <c r="A296" s="136"/>
      <c r="B296" s="136"/>
      <c r="C296" s="136"/>
      <c r="D296" s="136"/>
      <c r="E296" s="136"/>
      <c r="F296" s="136"/>
      <c r="G296" s="136"/>
      <c r="H296" s="52"/>
      <c r="I296" s="52"/>
      <c r="J296" s="52"/>
      <c r="K296" s="136"/>
      <c r="L296" s="53"/>
      <c r="M296" s="53"/>
      <c r="N296" s="53"/>
      <c r="O296" s="53"/>
      <c r="P296" s="53"/>
      <c r="Q296" s="53"/>
      <c r="R296" s="53"/>
      <c r="S296" s="136"/>
      <c r="T296" s="136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</row>
    <row r="297" ht="12.75" customHeight="1">
      <c r="A297" s="136"/>
      <c r="B297" s="136"/>
      <c r="C297" s="136"/>
      <c r="D297" s="136"/>
      <c r="E297" s="136"/>
      <c r="F297" s="136"/>
      <c r="G297" s="136"/>
      <c r="H297" s="52"/>
      <c r="I297" s="52"/>
      <c r="J297" s="52"/>
      <c r="K297" s="136"/>
      <c r="L297" s="53"/>
      <c r="M297" s="53"/>
      <c r="N297" s="53"/>
      <c r="O297" s="53"/>
      <c r="P297" s="53"/>
      <c r="Q297" s="53"/>
      <c r="R297" s="53"/>
      <c r="S297" s="136"/>
      <c r="T297" s="136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</row>
    <row r="298" ht="12.75" customHeight="1">
      <c r="A298" s="136"/>
      <c r="B298" s="136"/>
      <c r="C298" s="136"/>
      <c r="D298" s="136"/>
      <c r="E298" s="136"/>
      <c r="F298" s="136"/>
      <c r="G298" s="136"/>
      <c r="H298" s="52"/>
      <c r="I298" s="52"/>
      <c r="J298" s="52"/>
      <c r="K298" s="136"/>
      <c r="L298" s="53"/>
      <c r="M298" s="53"/>
      <c r="N298" s="53"/>
      <c r="O298" s="53"/>
      <c r="P298" s="53"/>
      <c r="Q298" s="53"/>
      <c r="R298" s="53"/>
      <c r="S298" s="136"/>
      <c r="T298" s="136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A1" s="137"/>
      <c r="B1" s="1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6"/>
      <c r="Z1" s="7"/>
      <c r="AA1" s="7"/>
      <c r="AB1" s="7"/>
      <c r="AC1" s="7"/>
      <c r="AD1" s="7"/>
      <c r="AE1" s="7"/>
      <c r="AF1" s="7"/>
      <c r="AG1" s="7"/>
      <c r="AH1" s="7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8.75" customHeight="1">
      <c r="A2" s="137"/>
      <c r="B2" s="8" t="s">
        <v>19</v>
      </c>
      <c r="C2" s="9"/>
      <c r="D2" s="9"/>
      <c r="E2" s="9"/>
      <c r="F2" s="10"/>
      <c r="G2" s="2"/>
      <c r="H2" s="11" t="s">
        <v>23</v>
      </c>
      <c r="I2" s="10"/>
      <c r="J2" s="2"/>
      <c r="K2" s="11" t="s">
        <v>24</v>
      </c>
      <c r="L2" s="9"/>
      <c r="M2" s="9"/>
      <c r="N2" s="9"/>
      <c r="O2" s="9"/>
      <c r="P2" s="9"/>
      <c r="Q2" s="9"/>
      <c r="R2" s="10"/>
      <c r="S2" s="2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5.0" customHeight="1">
      <c r="A3" s="137"/>
      <c r="B3" s="137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13" t="s">
        <v>26</v>
      </c>
      <c r="U3" s="14" t="str">
        <f>SUM(U5:U10,U13:U18,U21:U26,U29:U34,U37:U42,U45:U50,U53:U58,U61:U66)</f>
        <v>20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  <c r="AI3" s="137"/>
      <c r="AJ3" s="137"/>
      <c r="AK3" s="137"/>
      <c r="AL3" s="137"/>
      <c r="AM3" s="137"/>
      <c r="AN3" s="137"/>
      <c r="AO3" s="137"/>
      <c r="AP3" s="137"/>
      <c r="AQ3" s="137"/>
      <c r="AR3" s="137"/>
    </row>
    <row r="4" ht="13.5" customHeight="1">
      <c r="A4" s="137"/>
      <c r="B4" s="15" t="s">
        <v>27</v>
      </c>
      <c r="C4" s="9"/>
      <c r="D4" s="9"/>
      <c r="E4" s="9"/>
      <c r="F4" s="10"/>
      <c r="G4" s="2"/>
      <c r="H4" s="16" t="s">
        <v>28</v>
      </c>
      <c r="I4" s="17" t="s">
        <v>29</v>
      </c>
      <c r="J4" s="18"/>
      <c r="K4" s="2"/>
      <c r="L4" s="2"/>
      <c r="M4" s="2"/>
      <c r="N4" s="2"/>
      <c r="O4" s="2"/>
      <c r="P4" s="2"/>
      <c r="Q4" s="2"/>
      <c r="R4" s="2"/>
      <c r="S4" s="2"/>
      <c r="T4" s="137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  <c r="AI4" s="137"/>
      <c r="AJ4" s="137"/>
      <c r="AK4" s="137"/>
      <c r="AL4" s="137"/>
      <c r="AM4" s="137"/>
      <c r="AN4" s="137"/>
      <c r="AO4" s="137"/>
      <c r="AP4" s="137"/>
      <c r="AQ4" s="137"/>
      <c r="AR4" s="137"/>
    </row>
    <row r="5" ht="13.5" customHeight="1">
      <c r="A5" s="137"/>
      <c r="B5" s="21" t="s">
        <v>30</v>
      </c>
      <c r="C5" s="22">
        <v>2.0</v>
      </c>
      <c r="D5" s="19" t="s">
        <v>31</v>
      </c>
      <c r="E5" s="23">
        <v>0.0</v>
      </c>
      <c r="F5" s="24" t="s">
        <v>32</v>
      </c>
      <c r="G5" s="2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/>
      </c>
      <c r="U5" s="19" t="str">
        <f t="shared" ref="U5:U10" si="2">SUM(Y5,Z5,AA5, AB5)</f>
        <v>4</v>
      </c>
      <c r="Y5" s="33" t="str">
        <f>IF(AND(ISNUMBER(RESULTADOS!C5),ISNUMBER(RESULTADOS!E5),ISNUMBER(C5),ISNUMBER(E5),C5=RESULTADOS!C5,E5=RESULTADOS!E5),2,0)</f>
        <v>2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1</v>
      </c>
      <c r="AA5" s="33" t="str">
        <f>IF(AND(ISNUMBER(RESULTADOS!C5),ISNUMBER(RESULTADOS!E5),ISNUMBER(C5),ISNUMBER(E5),AND(Z5=1,OR(C5=RESULTADOS!C5,E5=RESULTADOS!E5))),1,0)</f>
        <v>1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  <c r="AI5" s="137"/>
      <c r="AJ5" s="137"/>
      <c r="AK5" s="137"/>
      <c r="AL5" s="137"/>
      <c r="AM5" s="137"/>
      <c r="AN5" s="137"/>
      <c r="AO5" s="137"/>
      <c r="AP5" s="137"/>
      <c r="AQ5" s="137"/>
      <c r="AR5" s="137"/>
    </row>
    <row r="6" ht="13.5" customHeight="1">
      <c r="A6" s="137"/>
      <c r="B6" s="21" t="s">
        <v>40</v>
      </c>
      <c r="C6" s="22">
        <v>1.0</v>
      </c>
      <c r="D6" s="19" t="s">
        <v>31</v>
      </c>
      <c r="E6" s="23">
        <v>0.0</v>
      </c>
      <c r="F6" s="34" t="s">
        <v>41</v>
      </c>
      <c r="G6" s="2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7</v>
      </c>
      <c r="M6" s="19" t="str">
        <f t="shared" ref="M6:M9" si="5">N6-O6</f>
        <v>2</v>
      </c>
      <c r="N6" s="19" t="str">
        <f t="shared" ref="N6:N9" si="6">SUM(INDIRECT($AC6),INDIRECT($AD6),INDIRECT($AE6))</f>
        <v>3</v>
      </c>
      <c r="O6" s="19" t="str">
        <f t="shared" ref="O6:O9" si="7">SUM(INDIRECT($AF6),INDIRECT($AG6),INDIRECT($AH6))</f>
        <v>1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2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1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0</v>
      </c>
      <c r="S6" s="31"/>
      <c r="T6" s="32" t="str">
        <f t="shared" si="1"/>
        <v/>
      </c>
      <c r="U6" s="19" t="str">
        <f t="shared" si="2"/>
        <v>2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1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1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  <c r="AI6" s="137"/>
      <c r="AJ6" s="137"/>
      <c r="AK6" s="137"/>
      <c r="AL6" s="137"/>
      <c r="AM6" s="137"/>
      <c r="AN6" s="137"/>
      <c r="AO6" s="137"/>
      <c r="AP6" s="137"/>
      <c r="AQ6" s="137"/>
      <c r="AR6" s="137"/>
    </row>
    <row r="7" ht="12.75" customHeight="1">
      <c r="A7" s="137"/>
      <c r="B7" s="21" t="s">
        <v>41</v>
      </c>
      <c r="C7" s="22">
        <v>2.0</v>
      </c>
      <c r="D7" s="19" t="s">
        <v>31</v>
      </c>
      <c r="E7" s="23">
        <v>0.0</v>
      </c>
      <c r="F7" s="34" t="s">
        <v>32</v>
      </c>
      <c r="G7" s="2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7</v>
      </c>
      <c r="M7" s="19" t="str">
        <f t="shared" si="5"/>
        <v>3</v>
      </c>
      <c r="N7" s="19" t="str">
        <f t="shared" si="6"/>
        <v>5</v>
      </c>
      <c r="O7" s="19" t="str">
        <f t="shared" si="7"/>
        <v>2</v>
      </c>
      <c r="P7" s="19" t="str">
        <f t="shared" si="8"/>
        <v>2</v>
      </c>
      <c r="Q7" s="19" t="str">
        <f t="shared" si="9"/>
        <v>1</v>
      </c>
      <c r="R7" s="36" t="str">
        <f t="shared" si="10"/>
        <v>0</v>
      </c>
      <c r="S7" s="2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  <c r="AI7" s="137"/>
      <c r="AJ7" s="137"/>
      <c r="AK7" s="137"/>
      <c r="AL7" s="137"/>
      <c r="AM7" s="137"/>
      <c r="AN7" s="137"/>
      <c r="AO7" s="137"/>
      <c r="AP7" s="137"/>
      <c r="AQ7" s="137"/>
      <c r="AR7" s="137"/>
    </row>
    <row r="8" ht="12.75" customHeight="1">
      <c r="A8" s="137"/>
      <c r="B8" s="21" t="s">
        <v>30</v>
      </c>
      <c r="C8" s="22">
        <v>1.0</v>
      </c>
      <c r="D8" s="19" t="s">
        <v>31</v>
      </c>
      <c r="E8" s="23">
        <v>1.0</v>
      </c>
      <c r="F8" s="34" t="s">
        <v>40</v>
      </c>
      <c r="G8" s="2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3</v>
      </c>
      <c r="M8" s="19" t="str">
        <f t="shared" si="5"/>
        <v>0</v>
      </c>
      <c r="N8" s="19" t="str">
        <f t="shared" si="6"/>
        <v>3</v>
      </c>
      <c r="O8" s="19" t="str">
        <f t="shared" si="7"/>
        <v>3</v>
      </c>
      <c r="P8" s="19" t="str">
        <f t="shared" si="8"/>
        <v>1</v>
      </c>
      <c r="Q8" s="19" t="str">
        <f t="shared" si="9"/>
        <v>0</v>
      </c>
      <c r="R8" s="36" t="str">
        <f t="shared" si="10"/>
        <v>2</v>
      </c>
      <c r="S8" s="2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  <c r="AI8" s="137"/>
      <c r="AJ8" s="137"/>
      <c r="AK8" s="137"/>
      <c r="AL8" s="137"/>
      <c r="AM8" s="137"/>
      <c r="AN8" s="137"/>
      <c r="AO8" s="137"/>
      <c r="AP8" s="137"/>
      <c r="AQ8" s="137"/>
      <c r="AR8" s="137"/>
    </row>
    <row r="9" ht="12.75" customHeight="1">
      <c r="A9" s="137"/>
      <c r="B9" s="21" t="s">
        <v>32</v>
      </c>
      <c r="C9" s="22">
        <v>0.0</v>
      </c>
      <c r="D9" s="19" t="s">
        <v>31</v>
      </c>
      <c r="E9" s="23">
        <v>1.0</v>
      </c>
      <c r="F9" s="34" t="s">
        <v>40</v>
      </c>
      <c r="G9" s="2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0</v>
      </c>
      <c r="M9" s="38" t="str">
        <f t="shared" si="5"/>
        <v>-5</v>
      </c>
      <c r="N9" s="38" t="str">
        <f t="shared" si="6"/>
        <v>0</v>
      </c>
      <c r="O9" s="38" t="str">
        <f t="shared" si="7"/>
        <v>5</v>
      </c>
      <c r="P9" s="38" t="str">
        <f t="shared" si="8"/>
        <v>0</v>
      </c>
      <c r="Q9" s="38" t="str">
        <f t="shared" si="9"/>
        <v>0</v>
      </c>
      <c r="R9" s="39" t="str">
        <f t="shared" si="10"/>
        <v>3</v>
      </c>
      <c r="S9" s="2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  <c r="AI9" s="137"/>
      <c r="AJ9" s="137"/>
      <c r="AK9" s="137"/>
      <c r="AL9" s="137"/>
      <c r="AM9" s="137"/>
      <c r="AN9" s="137"/>
      <c r="AO9" s="137"/>
      <c r="AP9" s="137"/>
      <c r="AQ9" s="137"/>
      <c r="AR9" s="137"/>
    </row>
    <row r="10" ht="13.5" customHeight="1">
      <c r="A10" s="137"/>
      <c r="B10" s="40" t="s">
        <v>41</v>
      </c>
      <c r="C10" s="41">
        <v>1.0</v>
      </c>
      <c r="D10" s="38" t="s">
        <v>31</v>
      </c>
      <c r="E10" s="42">
        <v>2.0</v>
      </c>
      <c r="F10" s="43" t="s">
        <v>30</v>
      </c>
      <c r="G10" s="2"/>
      <c r="H10" s="44">
        <v>46197.0</v>
      </c>
      <c r="I10" s="45">
        <v>0.916666666666667</v>
      </c>
      <c r="J10" s="27"/>
      <c r="K10" s="31"/>
      <c r="L10" s="137"/>
      <c r="M10" s="137"/>
      <c r="N10" s="137"/>
      <c r="O10" s="137"/>
      <c r="P10" s="137"/>
      <c r="Q10" s="137"/>
      <c r="R10" s="137"/>
      <c r="S10" s="2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</row>
    <row r="11" ht="13.5" customHeight="1">
      <c r="A11" s="137"/>
      <c r="B11" s="4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37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</row>
    <row r="12" ht="13.5" customHeight="1">
      <c r="A12" s="137"/>
      <c r="B12" s="15" t="s">
        <v>54</v>
      </c>
      <c r="C12" s="9"/>
      <c r="D12" s="9"/>
      <c r="E12" s="9"/>
      <c r="F12" s="10"/>
      <c r="G12" s="2"/>
      <c r="H12" s="16" t="s">
        <v>28</v>
      </c>
      <c r="I12" s="17" t="s">
        <v>29</v>
      </c>
      <c r="J12" s="18"/>
      <c r="K12" s="2"/>
      <c r="L12" s="2"/>
      <c r="M12" s="2"/>
      <c r="N12" s="2"/>
      <c r="O12" s="2"/>
      <c r="P12" s="2"/>
      <c r="Q12" s="2"/>
      <c r="R12" s="2"/>
      <c r="S12" s="2"/>
      <c r="T12" s="137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</row>
    <row r="13" ht="13.5" customHeight="1">
      <c r="A13" s="137"/>
      <c r="B13" s="21" t="s">
        <v>55</v>
      </c>
      <c r="C13" s="22">
        <v>1.0</v>
      </c>
      <c r="D13" s="19" t="s">
        <v>31</v>
      </c>
      <c r="E13" s="23">
        <v>1.0</v>
      </c>
      <c r="F13" s="24" t="s">
        <v>56</v>
      </c>
      <c r="G13" s="2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4</v>
      </c>
      <c r="Y13" s="33" t="str">
        <f>IF(AND(ISNUMBER(RESULTADOS!C13),ISNUMBER(RESULTADOS!E13),ISNUMBER(C13),ISNUMBER(E13),C13=RESULTADOS!C13,E13=RESULTADOS!E13),2,0)</f>
        <v>2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2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</row>
    <row r="14" ht="13.5" customHeight="1">
      <c r="A14" s="137"/>
      <c r="B14" s="21" t="s">
        <v>57</v>
      </c>
      <c r="C14" s="22">
        <v>0.0</v>
      </c>
      <c r="D14" s="19" t="s">
        <v>31</v>
      </c>
      <c r="E14" s="23">
        <v>2.0</v>
      </c>
      <c r="F14" s="24" t="s">
        <v>58</v>
      </c>
      <c r="G14" s="2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4</v>
      </c>
      <c r="M14" s="19" t="str">
        <f t="shared" ref="M14:M17" si="18">N14-O14</f>
        <v>-1</v>
      </c>
      <c r="N14" s="19" t="str">
        <f t="shared" ref="N14:N17" si="19">SUM(INDIRECT($AC14),INDIRECT($AD14),INDIRECT($AE14))</f>
        <v>2</v>
      </c>
      <c r="O14" s="19" t="str">
        <f t="shared" ref="O14:O17" si="20">SUM(INDIRECT($AF14),INDIRECT($AG14),INDIRECT($AH14))</f>
        <v>3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1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</row>
    <row r="15" ht="12.75" customHeight="1">
      <c r="A15" s="137"/>
      <c r="B15" s="21" t="s">
        <v>58</v>
      </c>
      <c r="C15" s="22">
        <v>2.0</v>
      </c>
      <c r="D15" s="19" t="s">
        <v>31</v>
      </c>
      <c r="E15" s="23">
        <v>0.0</v>
      </c>
      <c r="F15" s="24" t="s">
        <v>56</v>
      </c>
      <c r="G15" s="2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4</v>
      </c>
      <c r="M15" s="19" t="str">
        <f t="shared" si="18"/>
        <v>1</v>
      </c>
      <c r="N15" s="19" t="str">
        <f t="shared" si="19"/>
        <v>4</v>
      </c>
      <c r="O15" s="19" t="str">
        <f t="shared" si="20"/>
        <v>3</v>
      </c>
      <c r="P15" s="19" t="str">
        <f t="shared" si="21"/>
        <v>1</v>
      </c>
      <c r="Q15" s="19" t="str">
        <f t="shared" si="22"/>
        <v>1</v>
      </c>
      <c r="R15" s="36" t="str">
        <f t="shared" si="23"/>
        <v>1</v>
      </c>
      <c r="S15" s="2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</row>
    <row r="16" ht="12.75" customHeight="1">
      <c r="A16" s="137"/>
      <c r="B16" s="21" t="s">
        <v>55</v>
      </c>
      <c r="C16" s="22">
        <v>2.0</v>
      </c>
      <c r="D16" s="19" t="s">
        <v>31</v>
      </c>
      <c r="E16" s="23">
        <v>0.0</v>
      </c>
      <c r="F16" s="24" t="s">
        <v>57</v>
      </c>
      <c r="G16" s="2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-5</v>
      </c>
      <c r="N16" s="19" t="str">
        <f t="shared" si="19"/>
        <v>0</v>
      </c>
      <c r="O16" s="19" t="str">
        <f t="shared" si="20"/>
        <v>5</v>
      </c>
      <c r="P16" s="19" t="str">
        <f t="shared" si="21"/>
        <v>0</v>
      </c>
      <c r="Q16" s="19" t="str">
        <f t="shared" si="22"/>
        <v>0</v>
      </c>
      <c r="R16" s="36" t="str">
        <f t="shared" si="23"/>
        <v>3</v>
      </c>
      <c r="S16" s="2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</row>
    <row r="17" ht="12.75" customHeight="1">
      <c r="A17" s="137"/>
      <c r="B17" s="21" t="s">
        <v>58</v>
      </c>
      <c r="C17" s="22">
        <v>2.0</v>
      </c>
      <c r="D17" s="19" t="s">
        <v>31</v>
      </c>
      <c r="E17" s="23">
        <v>1.0</v>
      </c>
      <c r="F17" s="24" t="s">
        <v>55</v>
      </c>
      <c r="G17" s="2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9</v>
      </c>
      <c r="M17" s="38" t="str">
        <f t="shared" si="18"/>
        <v>5</v>
      </c>
      <c r="N17" s="38" t="str">
        <f t="shared" si="19"/>
        <v>6</v>
      </c>
      <c r="O17" s="38" t="str">
        <f t="shared" si="20"/>
        <v>1</v>
      </c>
      <c r="P17" s="38" t="str">
        <f t="shared" si="21"/>
        <v>3</v>
      </c>
      <c r="Q17" s="38" t="str">
        <f t="shared" si="22"/>
        <v>0</v>
      </c>
      <c r="R17" s="39" t="str">
        <f t="shared" si="23"/>
        <v>0</v>
      </c>
      <c r="S17" s="2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</row>
    <row r="18" ht="13.5" customHeight="1">
      <c r="A18" s="137"/>
      <c r="B18" s="40" t="s">
        <v>56</v>
      </c>
      <c r="C18" s="41">
        <v>1.0</v>
      </c>
      <c r="D18" s="38" t="s">
        <v>31</v>
      </c>
      <c r="E18" s="42">
        <v>0.0</v>
      </c>
      <c r="F18" s="48" t="s">
        <v>57</v>
      </c>
      <c r="G18" s="2"/>
      <c r="H18" s="44">
        <v>46197.0</v>
      </c>
      <c r="I18" s="45">
        <v>0.666666666666667</v>
      </c>
      <c r="J18" s="27"/>
      <c r="K18" s="31"/>
      <c r="L18" s="137"/>
      <c r="M18" s="137"/>
      <c r="N18" s="137"/>
      <c r="O18" s="137"/>
      <c r="P18" s="137"/>
      <c r="Q18" s="137"/>
      <c r="R18" s="137"/>
      <c r="S18" s="2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</row>
    <row r="19" ht="13.5" customHeight="1">
      <c r="A19" s="137"/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37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</row>
    <row r="20" ht="13.5" customHeight="1">
      <c r="A20" s="137"/>
      <c r="B20" s="15" t="s">
        <v>71</v>
      </c>
      <c r="C20" s="9"/>
      <c r="D20" s="9"/>
      <c r="E20" s="9"/>
      <c r="F20" s="10"/>
      <c r="G20" s="2"/>
      <c r="H20" s="16" t="s">
        <v>28</v>
      </c>
      <c r="I20" s="17" t="s">
        <v>29</v>
      </c>
      <c r="J20" s="18"/>
      <c r="K20" s="2"/>
      <c r="L20" s="2"/>
      <c r="M20" s="2"/>
      <c r="N20" s="2"/>
      <c r="O20" s="2"/>
      <c r="P20" s="2"/>
      <c r="Q20" s="2"/>
      <c r="R20" s="2"/>
      <c r="S20" s="2"/>
      <c r="T20" s="137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</row>
    <row r="21" ht="13.5" customHeight="1">
      <c r="A21" s="137"/>
      <c r="B21" s="21" t="s">
        <v>72</v>
      </c>
      <c r="C21" s="22">
        <v>2.0</v>
      </c>
      <c r="D21" s="19" t="s">
        <v>31</v>
      </c>
      <c r="E21" s="23">
        <v>1.0</v>
      </c>
      <c r="F21" s="24" t="s">
        <v>73</v>
      </c>
      <c r="G21" s="2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</row>
    <row r="22" ht="13.5" customHeight="1">
      <c r="A22" s="137"/>
      <c r="B22" s="21" t="s">
        <v>74</v>
      </c>
      <c r="C22" s="22">
        <v>0.0</v>
      </c>
      <c r="D22" s="19" t="s">
        <v>31</v>
      </c>
      <c r="E22" s="23">
        <v>2.0</v>
      </c>
      <c r="F22" s="24" t="s">
        <v>75</v>
      </c>
      <c r="G22" s="2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6</v>
      </c>
      <c r="N22" s="19" t="str">
        <f t="shared" ref="N22:N25" si="32">SUM(INDIRECT($AC22),INDIRECT($AD22),INDIRECT($AE22))</f>
        <v>8</v>
      </c>
      <c r="O22" s="19" t="str">
        <f t="shared" ref="O22:O25" si="33">SUM(INDIRECT($AF22),INDIRECT($AG22),INDIRECT($AH22))</f>
        <v>2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1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</row>
    <row r="23" ht="12.75" customHeight="1">
      <c r="A23" s="137"/>
      <c r="B23" s="21" t="s">
        <v>75</v>
      </c>
      <c r="C23" s="22">
        <v>1.0</v>
      </c>
      <c r="D23" s="19" t="s">
        <v>31</v>
      </c>
      <c r="E23" s="23">
        <v>2.0</v>
      </c>
      <c r="F23" s="24" t="s">
        <v>73</v>
      </c>
      <c r="G23" s="2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-1</v>
      </c>
      <c r="N23" s="19" t="str">
        <f t="shared" si="32"/>
        <v>4</v>
      </c>
      <c r="O23" s="19" t="str">
        <f t="shared" si="33"/>
        <v>5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2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</row>
    <row r="24" ht="12.75" customHeight="1">
      <c r="A24" s="137"/>
      <c r="B24" s="21" t="s">
        <v>72</v>
      </c>
      <c r="C24" s="22">
        <v>3.0</v>
      </c>
      <c r="D24" s="19" t="s">
        <v>31</v>
      </c>
      <c r="E24" s="23">
        <v>0.0</v>
      </c>
      <c r="F24" s="24" t="s">
        <v>74</v>
      </c>
      <c r="G24" s="2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-7</v>
      </c>
      <c r="N24" s="19" t="str">
        <f t="shared" si="32"/>
        <v>0</v>
      </c>
      <c r="O24" s="19" t="str">
        <f t="shared" si="33"/>
        <v>7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2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</row>
    <row r="25" ht="12.75" customHeight="1">
      <c r="A25" s="137"/>
      <c r="B25" s="21" t="s">
        <v>73</v>
      </c>
      <c r="C25" s="22">
        <v>2.0</v>
      </c>
      <c r="D25" s="19" t="s">
        <v>31</v>
      </c>
      <c r="E25" s="23">
        <v>0.0</v>
      </c>
      <c r="F25" s="24" t="s">
        <v>74</v>
      </c>
      <c r="G25" s="2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2</v>
      </c>
      <c r="N25" s="38" t="str">
        <f t="shared" si="32"/>
        <v>5</v>
      </c>
      <c r="O25" s="38" t="str">
        <f t="shared" si="33"/>
        <v>3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2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</row>
    <row r="26" ht="13.5" customHeight="1">
      <c r="A26" s="137"/>
      <c r="B26" s="40" t="s">
        <v>75</v>
      </c>
      <c r="C26" s="41">
        <v>1.0</v>
      </c>
      <c r="D26" s="38" t="s">
        <v>31</v>
      </c>
      <c r="E26" s="42">
        <v>3.0</v>
      </c>
      <c r="F26" s="48" t="s">
        <v>72</v>
      </c>
      <c r="G26" s="2"/>
      <c r="H26" s="44">
        <v>46197.0</v>
      </c>
      <c r="I26" s="45">
        <v>0.791666666666667</v>
      </c>
      <c r="J26" s="27"/>
      <c r="K26" s="46"/>
      <c r="L26" s="137"/>
      <c r="M26" s="137"/>
      <c r="N26" s="137"/>
      <c r="O26" s="137"/>
      <c r="P26" s="137"/>
      <c r="Q26" s="137"/>
      <c r="R26" s="137"/>
      <c r="S26" s="2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</row>
    <row r="27" ht="13.5" customHeight="1">
      <c r="A27" s="137"/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37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</row>
    <row r="28" ht="13.5" customHeight="1">
      <c r="A28" s="137"/>
      <c r="B28" s="15" t="s">
        <v>88</v>
      </c>
      <c r="C28" s="9"/>
      <c r="D28" s="9"/>
      <c r="E28" s="9"/>
      <c r="F28" s="10"/>
      <c r="G28" s="2"/>
      <c r="H28" s="16" t="s">
        <v>28</v>
      </c>
      <c r="I28" s="17" t="s">
        <v>29</v>
      </c>
      <c r="J28" s="18"/>
      <c r="K28" s="2"/>
      <c r="L28" s="2"/>
      <c r="M28" s="2"/>
      <c r="N28" s="2"/>
      <c r="O28" s="2"/>
      <c r="P28" s="2"/>
      <c r="Q28" s="2"/>
      <c r="R28" s="2"/>
      <c r="S28" s="2"/>
      <c r="T28" s="137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</row>
    <row r="29" ht="13.5" customHeight="1">
      <c r="A29" s="137"/>
      <c r="B29" s="21" t="s">
        <v>89</v>
      </c>
      <c r="C29" s="22">
        <v>2.0</v>
      </c>
      <c r="D29" s="19" t="s">
        <v>31</v>
      </c>
      <c r="E29" s="23">
        <v>1.0</v>
      </c>
      <c r="F29" s="24" t="s">
        <v>90</v>
      </c>
      <c r="G29" s="2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2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1</v>
      </c>
      <c r="AA29" s="33" t="str">
        <f>IF(AND(ISNUMBER(RESULTADOS!C29),ISNUMBER(RESULTADOS!E29),ISNUMBER(C29),ISNUMBER(E29),AND(Z29=1,OR(C29=RESULTADOS!C29,E29=RESULTADOS!E29))),1,0)</f>
        <v>1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</row>
    <row r="30" ht="13.5" customHeight="1">
      <c r="A30" s="137"/>
      <c r="B30" s="21" t="s">
        <v>91</v>
      </c>
      <c r="C30" s="22">
        <v>1.0</v>
      </c>
      <c r="D30" s="19" t="s">
        <v>31</v>
      </c>
      <c r="E30" s="23">
        <v>2.0</v>
      </c>
      <c r="F30" s="24" t="s">
        <v>92</v>
      </c>
      <c r="G30" s="2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1</v>
      </c>
      <c r="M30" s="19" t="str">
        <f t="shared" ref="M30:M33" si="44">N30-O30</f>
        <v>-3</v>
      </c>
      <c r="N30" s="19" t="str">
        <f t="shared" ref="N30:N33" si="45">SUM(INDIRECT($AC30),INDIRECT($AD30),INDIRECT($AE30))</f>
        <v>2</v>
      </c>
      <c r="O30" s="19" t="str">
        <f t="shared" ref="O30:O33" si="46">SUM(INDIRECT($AF30),INDIRECT($AG30),INDIRECT($AH30))</f>
        <v>5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1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2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</row>
    <row r="31" ht="12.75" customHeight="1">
      <c r="A31" s="137"/>
      <c r="B31" s="21" t="s">
        <v>89</v>
      </c>
      <c r="C31" s="22">
        <v>2.0</v>
      </c>
      <c r="D31" s="19" t="s">
        <v>31</v>
      </c>
      <c r="E31" s="23">
        <v>0.0</v>
      </c>
      <c r="F31" s="24" t="s">
        <v>91</v>
      </c>
      <c r="G31" s="2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7</v>
      </c>
      <c r="M31" s="19" t="str">
        <f t="shared" si="44"/>
        <v>3</v>
      </c>
      <c r="N31" s="19" t="str">
        <f t="shared" si="45"/>
        <v>5</v>
      </c>
      <c r="O31" s="19" t="str">
        <f t="shared" si="46"/>
        <v>2</v>
      </c>
      <c r="P31" s="19" t="str">
        <f t="shared" si="47"/>
        <v>2</v>
      </c>
      <c r="Q31" s="19" t="str">
        <f t="shared" si="48"/>
        <v>1</v>
      </c>
      <c r="R31" s="36" t="str">
        <f t="shared" si="49"/>
        <v>0</v>
      </c>
      <c r="S31" s="2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</row>
    <row r="32" ht="12.75" customHeight="1">
      <c r="A32" s="137"/>
      <c r="B32" s="21" t="s">
        <v>92</v>
      </c>
      <c r="C32" s="22">
        <v>2.0</v>
      </c>
      <c r="D32" s="19" t="s">
        <v>31</v>
      </c>
      <c r="E32" s="23">
        <v>1.0</v>
      </c>
      <c r="F32" s="24" t="s">
        <v>90</v>
      </c>
      <c r="G32" s="2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1</v>
      </c>
      <c r="M32" s="19" t="str">
        <f t="shared" si="44"/>
        <v>-2</v>
      </c>
      <c r="N32" s="19" t="str">
        <f t="shared" si="45"/>
        <v>3</v>
      </c>
      <c r="O32" s="19" t="str">
        <f t="shared" si="46"/>
        <v>5</v>
      </c>
      <c r="P32" s="19" t="str">
        <f t="shared" si="47"/>
        <v>0</v>
      </c>
      <c r="Q32" s="19" t="str">
        <f t="shared" si="48"/>
        <v>1</v>
      </c>
      <c r="R32" s="36" t="str">
        <f t="shared" si="49"/>
        <v>2</v>
      </c>
      <c r="S32" s="2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</row>
    <row r="33" ht="12.75" customHeight="1">
      <c r="A33" s="137"/>
      <c r="B33" s="21" t="s">
        <v>92</v>
      </c>
      <c r="C33" s="22">
        <v>1.0</v>
      </c>
      <c r="D33" s="19" t="s">
        <v>31</v>
      </c>
      <c r="E33" s="23">
        <v>1.0</v>
      </c>
      <c r="F33" s="24" t="s">
        <v>89</v>
      </c>
      <c r="G33" s="2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7</v>
      </c>
      <c r="M33" s="38" t="str">
        <f t="shared" si="44"/>
        <v>2</v>
      </c>
      <c r="N33" s="38" t="str">
        <f t="shared" si="45"/>
        <v>5</v>
      </c>
      <c r="O33" s="38" t="str">
        <f t="shared" si="46"/>
        <v>3</v>
      </c>
      <c r="P33" s="38" t="str">
        <f t="shared" si="47"/>
        <v>2</v>
      </c>
      <c r="Q33" s="38" t="str">
        <f t="shared" si="48"/>
        <v>1</v>
      </c>
      <c r="R33" s="39" t="str">
        <f t="shared" si="49"/>
        <v>0</v>
      </c>
      <c r="S33" s="2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</row>
    <row r="34" ht="13.5" customHeight="1">
      <c r="A34" s="137"/>
      <c r="B34" s="40" t="s">
        <v>90</v>
      </c>
      <c r="C34" s="41">
        <v>1.0</v>
      </c>
      <c r="D34" s="38" t="s">
        <v>31</v>
      </c>
      <c r="E34" s="42">
        <v>1.0</v>
      </c>
      <c r="F34" s="48" t="s">
        <v>91</v>
      </c>
      <c r="G34" s="2"/>
      <c r="H34" s="44">
        <v>46198.0</v>
      </c>
      <c r="I34" s="45">
        <v>0.958333333333333</v>
      </c>
      <c r="J34" s="27"/>
      <c r="K34" s="46"/>
      <c r="L34" s="137"/>
      <c r="M34" s="137"/>
      <c r="N34" s="137"/>
      <c r="O34" s="137"/>
      <c r="P34" s="137"/>
      <c r="Q34" s="137"/>
      <c r="R34" s="137"/>
      <c r="S34" s="2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</row>
    <row r="35" ht="13.5" customHeight="1">
      <c r="A35" s="137"/>
      <c r="B35" s="4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137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</row>
    <row r="36" ht="13.5" customHeight="1">
      <c r="A36" s="137"/>
      <c r="B36" s="15" t="s">
        <v>104</v>
      </c>
      <c r="C36" s="9"/>
      <c r="D36" s="9"/>
      <c r="E36" s="9"/>
      <c r="F36" s="10"/>
      <c r="G36" s="2"/>
      <c r="H36" s="16" t="s">
        <v>28</v>
      </c>
      <c r="I36" s="17" t="s">
        <v>29</v>
      </c>
      <c r="J36" s="18"/>
      <c r="K36" s="2"/>
      <c r="L36" s="2"/>
      <c r="M36" s="2"/>
      <c r="N36" s="2"/>
      <c r="O36" s="2"/>
      <c r="P36" s="2"/>
      <c r="Q36" s="2"/>
      <c r="R36" s="2"/>
      <c r="S36" s="2"/>
      <c r="T36" s="137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</row>
    <row r="37" ht="13.5" customHeight="1">
      <c r="A37" s="137"/>
      <c r="B37" s="21" t="s">
        <v>105</v>
      </c>
      <c r="C37" s="22">
        <v>3.0</v>
      </c>
      <c r="D37" s="19" t="s">
        <v>31</v>
      </c>
      <c r="E37" s="23">
        <v>0.0</v>
      </c>
      <c r="F37" s="34" t="s">
        <v>106</v>
      </c>
      <c r="G37" s="2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</row>
    <row r="38" ht="13.5" customHeight="1">
      <c r="A38" s="137"/>
      <c r="B38" s="21" t="s">
        <v>107</v>
      </c>
      <c r="C38" s="22">
        <v>1.0</v>
      </c>
      <c r="D38" s="19" t="s">
        <v>31</v>
      </c>
      <c r="E38" s="23">
        <v>1.0</v>
      </c>
      <c r="F38" s="34" t="s">
        <v>108</v>
      </c>
      <c r="G38" s="2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9</v>
      </c>
      <c r="M38" s="19" t="str">
        <f t="shared" ref="M38:M41" si="57">N38-O38</f>
        <v>6</v>
      </c>
      <c r="N38" s="19" t="str">
        <f t="shared" ref="N38:N41" si="58">SUM(INDIRECT($AC38),INDIRECT($AD38),INDIRECT($AE38))</f>
        <v>7</v>
      </c>
      <c r="O38" s="19" t="str">
        <f t="shared" ref="O38:O41" si="59">SUM(INDIRECT($AF38),INDIRECT($AG38),INDIRECT($AH38))</f>
        <v>1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3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</row>
    <row r="39" ht="12.75" customHeight="1">
      <c r="A39" s="137"/>
      <c r="B39" s="21" t="s">
        <v>105</v>
      </c>
      <c r="C39" s="22">
        <v>2.0</v>
      </c>
      <c r="D39" s="19" t="s">
        <v>31</v>
      </c>
      <c r="E39" s="23">
        <v>1.0</v>
      </c>
      <c r="F39" s="34" t="s">
        <v>107</v>
      </c>
      <c r="G39" s="2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4</v>
      </c>
      <c r="M39" s="19" t="str">
        <f t="shared" si="57"/>
        <v>1</v>
      </c>
      <c r="N39" s="19" t="str">
        <f t="shared" si="58"/>
        <v>4</v>
      </c>
      <c r="O39" s="19" t="str">
        <f t="shared" si="59"/>
        <v>3</v>
      </c>
      <c r="P39" s="19" t="str">
        <f t="shared" si="60"/>
        <v>1</v>
      </c>
      <c r="Q39" s="19" t="str">
        <f t="shared" si="61"/>
        <v>1</v>
      </c>
      <c r="R39" s="36" t="str">
        <f t="shared" si="62"/>
        <v>1</v>
      </c>
      <c r="S39" s="2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</row>
    <row r="40" ht="12.75" customHeight="1">
      <c r="A40" s="137"/>
      <c r="B40" s="21" t="s">
        <v>108</v>
      </c>
      <c r="C40" s="22">
        <v>1.0</v>
      </c>
      <c r="D40" s="19" t="s">
        <v>31</v>
      </c>
      <c r="E40" s="23">
        <v>0.0</v>
      </c>
      <c r="F40" s="34" t="s">
        <v>106</v>
      </c>
      <c r="G40" s="2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-6</v>
      </c>
      <c r="N40" s="19" t="str">
        <f t="shared" si="58"/>
        <v>0</v>
      </c>
      <c r="O40" s="19" t="str">
        <f t="shared" si="59"/>
        <v>6</v>
      </c>
      <c r="P40" s="19" t="str">
        <f t="shared" si="60"/>
        <v>0</v>
      </c>
      <c r="Q40" s="19" t="str">
        <f t="shared" si="61"/>
        <v>0</v>
      </c>
      <c r="R40" s="36" t="str">
        <f t="shared" si="62"/>
        <v>3</v>
      </c>
      <c r="S40" s="2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</row>
    <row r="41" ht="12.75" customHeight="1">
      <c r="A41" s="137"/>
      <c r="B41" s="21" t="s">
        <v>108</v>
      </c>
      <c r="C41" s="22">
        <v>0.0</v>
      </c>
      <c r="D41" s="19" t="s">
        <v>31</v>
      </c>
      <c r="E41" s="23">
        <v>2.0</v>
      </c>
      <c r="F41" s="34" t="s">
        <v>105</v>
      </c>
      <c r="G41" s="2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4</v>
      </c>
      <c r="M41" s="38" t="str">
        <f t="shared" si="57"/>
        <v>-1</v>
      </c>
      <c r="N41" s="38" t="str">
        <f t="shared" si="58"/>
        <v>2</v>
      </c>
      <c r="O41" s="38" t="str">
        <f t="shared" si="59"/>
        <v>3</v>
      </c>
      <c r="P41" s="38" t="str">
        <f t="shared" si="60"/>
        <v>1</v>
      </c>
      <c r="Q41" s="38" t="str">
        <f t="shared" si="61"/>
        <v>1</v>
      </c>
      <c r="R41" s="39" t="str">
        <f t="shared" si="62"/>
        <v>1</v>
      </c>
      <c r="S41" s="2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</row>
    <row r="42" ht="13.5" customHeight="1">
      <c r="A42" s="137"/>
      <c r="B42" s="40" t="s">
        <v>106</v>
      </c>
      <c r="C42" s="41">
        <v>0.0</v>
      </c>
      <c r="D42" s="38" t="s">
        <v>31</v>
      </c>
      <c r="E42" s="42">
        <v>2.0</v>
      </c>
      <c r="F42" s="43" t="s">
        <v>107</v>
      </c>
      <c r="G42" s="2"/>
      <c r="H42" s="44">
        <v>46198.0</v>
      </c>
      <c r="I42" s="45">
        <v>0.708333333333333</v>
      </c>
      <c r="J42" s="27"/>
      <c r="K42" s="46"/>
      <c r="L42" s="137"/>
      <c r="M42" s="137"/>
      <c r="N42" s="137"/>
      <c r="O42" s="137"/>
      <c r="P42" s="137"/>
      <c r="Q42" s="137"/>
      <c r="R42" s="137"/>
      <c r="S42" s="2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</row>
    <row r="43" ht="13.5" customHeight="1">
      <c r="A43" s="137"/>
      <c r="B43" s="4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137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</row>
    <row r="44" ht="13.5" customHeight="1">
      <c r="A44" s="137"/>
      <c r="B44" s="15" t="s">
        <v>121</v>
      </c>
      <c r="C44" s="9"/>
      <c r="D44" s="9"/>
      <c r="E44" s="9"/>
      <c r="F44" s="10"/>
      <c r="G44" s="2"/>
      <c r="H44" s="16" t="s">
        <v>28</v>
      </c>
      <c r="I44" s="17" t="s">
        <v>29</v>
      </c>
      <c r="J44" s="18"/>
      <c r="K44" s="2"/>
      <c r="L44" s="2"/>
      <c r="M44" s="2"/>
      <c r="N44" s="2"/>
      <c r="O44" s="2"/>
      <c r="P44" s="2"/>
      <c r="Q44" s="2"/>
      <c r="R44" s="2"/>
      <c r="S44" s="2"/>
      <c r="T44" s="137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</row>
    <row r="45" ht="13.5" customHeight="1">
      <c r="A45" s="137"/>
      <c r="B45" s="21" t="s">
        <v>122</v>
      </c>
      <c r="C45" s="22">
        <v>2.0</v>
      </c>
      <c r="D45" s="19" t="s">
        <v>31</v>
      </c>
      <c r="E45" s="23">
        <v>1.0</v>
      </c>
      <c r="F45" s="34" t="s">
        <v>123</v>
      </c>
      <c r="G45" s="2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</row>
    <row r="46" ht="13.5" customHeight="1">
      <c r="A46" s="137"/>
      <c r="B46" s="21" t="s">
        <v>124</v>
      </c>
      <c r="C46" s="22">
        <v>2.0</v>
      </c>
      <c r="D46" s="19" t="s">
        <v>31</v>
      </c>
      <c r="E46" s="23">
        <v>0.0</v>
      </c>
      <c r="F46" s="34" t="s">
        <v>125</v>
      </c>
      <c r="G46" s="2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7</v>
      </c>
      <c r="M46" s="19" t="str">
        <f t="shared" ref="M46:M49" si="70">N46-O46</f>
        <v>3</v>
      </c>
      <c r="N46" s="19" t="str">
        <f t="shared" ref="N46:N49" si="71">SUM(INDIRECT($AC46),INDIRECT($AD46),INDIRECT($AE46))</f>
        <v>5</v>
      </c>
      <c r="O46" s="19" t="str">
        <f t="shared" ref="O46:O49" si="72">SUM(INDIRECT($AF46),INDIRECT($AG46),INDIRECT($AH46))</f>
        <v>2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2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1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/>
      </c>
      <c r="U46" s="19" t="str">
        <f t="shared" si="67"/>
        <v>1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</row>
    <row r="47" ht="12.75" customHeight="1">
      <c r="A47" s="137"/>
      <c r="B47" s="21" t="s">
        <v>122</v>
      </c>
      <c r="C47" s="22">
        <v>1.0</v>
      </c>
      <c r="D47" s="19" t="s">
        <v>31</v>
      </c>
      <c r="E47" s="23">
        <v>1.0</v>
      </c>
      <c r="F47" s="34" t="s">
        <v>124</v>
      </c>
      <c r="G47" s="2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4</v>
      </c>
      <c r="M47" s="19" t="str">
        <f t="shared" si="70"/>
        <v>1</v>
      </c>
      <c r="N47" s="19" t="str">
        <f t="shared" si="71"/>
        <v>4</v>
      </c>
      <c r="O47" s="19" t="str">
        <f t="shared" si="72"/>
        <v>3</v>
      </c>
      <c r="P47" s="19" t="str">
        <f t="shared" si="73"/>
        <v>1</v>
      </c>
      <c r="Q47" s="19" t="str">
        <f t="shared" si="74"/>
        <v>1</v>
      </c>
      <c r="R47" s="36" t="str">
        <f t="shared" si="75"/>
        <v>1</v>
      </c>
      <c r="S47" s="2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</row>
    <row r="48" ht="12.75" customHeight="1">
      <c r="A48" s="137"/>
      <c r="B48" s="21" t="s">
        <v>125</v>
      </c>
      <c r="C48" s="22">
        <v>0.0</v>
      </c>
      <c r="D48" s="19" t="s">
        <v>31</v>
      </c>
      <c r="E48" s="23">
        <v>2.0</v>
      </c>
      <c r="F48" s="34" t="s">
        <v>123</v>
      </c>
      <c r="G48" s="2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5</v>
      </c>
      <c r="M48" s="19" t="str">
        <f t="shared" si="70"/>
        <v>2</v>
      </c>
      <c r="N48" s="19" t="str">
        <f t="shared" si="71"/>
        <v>4</v>
      </c>
      <c r="O48" s="19" t="str">
        <f t="shared" si="72"/>
        <v>2</v>
      </c>
      <c r="P48" s="19" t="str">
        <f t="shared" si="73"/>
        <v>1</v>
      </c>
      <c r="Q48" s="19" t="str">
        <f t="shared" si="74"/>
        <v>2</v>
      </c>
      <c r="R48" s="36" t="str">
        <f t="shared" si="75"/>
        <v>0</v>
      </c>
      <c r="S48" s="2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</row>
    <row r="49" ht="12.75" customHeight="1">
      <c r="A49" s="137"/>
      <c r="B49" s="21" t="s">
        <v>125</v>
      </c>
      <c r="C49" s="22">
        <v>0.0</v>
      </c>
      <c r="D49" s="19" t="s">
        <v>31</v>
      </c>
      <c r="E49" s="23">
        <v>2.0</v>
      </c>
      <c r="F49" s="34" t="s">
        <v>122</v>
      </c>
      <c r="G49" s="2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-6</v>
      </c>
      <c r="N49" s="38" t="str">
        <f t="shared" si="71"/>
        <v>0</v>
      </c>
      <c r="O49" s="38" t="str">
        <f t="shared" si="72"/>
        <v>6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2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</row>
    <row r="50" ht="13.5" customHeight="1">
      <c r="A50" s="137"/>
      <c r="B50" s="40" t="s">
        <v>123</v>
      </c>
      <c r="C50" s="41">
        <v>1.0</v>
      </c>
      <c r="D50" s="38" t="s">
        <v>31</v>
      </c>
      <c r="E50" s="42">
        <v>1.0</v>
      </c>
      <c r="F50" s="43" t="s">
        <v>124</v>
      </c>
      <c r="G50" s="2"/>
      <c r="H50" s="44">
        <v>46198.0</v>
      </c>
      <c r="I50" s="45">
        <v>0.833333333333333</v>
      </c>
      <c r="J50" s="27"/>
      <c r="K50" s="46"/>
      <c r="L50" s="137"/>
      <c r="M50" s="137"/>
      <c r="N50" s="137"/>
      <c r="O50" s="137"/>
      <c r="P50" s="137"/>
      <c r="Q50" s="137"/>
      <c r="R50" s="137"/>
      <c r="S50" s="2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</row>
    <row r="51" ht="13.5" customHeight="1">
      <c r="A51" s="137"/>
      <c r="B51" s="4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37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</row>
    <row r="52" ht="13.5" customHeight="1">
      <c r="A52" s="137"/>
      <c r="B52" s="15" t="s">
        <v>138</v>
      </c>
      <c r="C52" s="9"/>
      <c r="D52" s="9"/>
      <c r="E52" s="9"/>
      <c r="F52" s="10"/>
      <c r="G52" s="2"/>
      <c r="H52" s="16" t="s">
        <v>28</v>
      </c>
      <c r="I52" s="17" t="s">
        <v>29</v>
      </c>
      <c r="J52" s="18"/>
      <c r="K52" s="2"/>
      <c r="L52" s="2"/>
      <c r="M52" s="2"/>
      <c r="N52" s="2"/>
      <c r="O52" s="2"/>
      <c r="P52" s="2"/>
      <c r="Q52" s="2"/>
      <c r="R52" s="2"/>
      <c r="S52" s="2"/>
      <c r="T52" s="137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</row>
    <row r="53" ht="13.5" customHeight="1">
      <c r="A53" s="137"/>
      <c r="B53" s="21" t="s">
        <v>139</v>
      </c>
      <c r="C53" s="22">
        <v>1.0</v>
      </c>
      <c r="D53" s="19" t="s">
        <v>31</v>
      </c>
      <c r="E53" s="23">
        <v>1.0</v>
      </c>
      <c r="F53" s="34" t="s">
        <v>140</v>
      </c>
      <c r="G53" s="2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4</v>
      </c>
      <c r="Y53" s="33" t="str">
        <f>IF(AND(ISNUMBER(RESULTADOS!C53),ISNUMBER(RESULTADOS!E53),ISNUMBER(C53),ISNUMBER(E53),C53=RESULTADOS!C53,E53=RESULTADOS!E53),2,0)</f>
        <v>2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2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</row>
    <row r="54" ht="13.5" customHeight="1">
      <c r="A54" s="137"/>
      <c r="B54" s="21" t="s">
        <v>141</v>
      </c>
      <c r="C54" s="22">
        <v>2.0</v>
      </c>
      <c r="D54" s="19" t="s">
        <v>31</v>
      </c>
      <c r="E54" s="23">
        <v>0.0</v>
      </c>
      <c r="F54" s="34" t="s">
        <v>142</v>
      </c>
      <c r="G54" s="2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7</v>
      </c>
      <c r="M54" s="19" t="str">
        <f t="shared" ref="M54:M57" si="83">N54-O54</f>
        <v>3</v>
      </c>
      <c r="N54" s="19" t="str">
        <f t="shared" ref="N54:N57" si="84">SUM(INDIRECT($AC54),INDIRECT($AD54),INDIRECT($AE54))</f>
        <v>5</v>
      </c>
      <c r="O54" s="19" t="str">
        <f t="shared" ref="O54:O57" si="85">SUM(INDIRECT($AF54),INDIRECT($AG54),INDIRECT($AH54))</f>
        <v>2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2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1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</row>
    <row r="55" ht="12.75" customHeight="1">
      <c r="A55" s="137"/>
      <c r="B55" s="21" t="s">
        <v>139</v>
      </c>
      <c r="C55" s="22">
        <v>2.0</v>
      </c>
      <c r="D55" s="19" t="s">
        <v>31</v>
      </c>
      <c r="E55" s="23">
        <v>1.0</v>
      </c>
      <c r="F55" s="34" t="s">
        <v>141</v>
      </c>
      <c r="G55" s="2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4</v>
      </c>
      <c r="M55" s="19" t="str">
        <f t="shared" si="83"/>
        <v>1</v>
      </c>
      <c r="N55" s="19" t="str">
        <f t="shared" si="84"/>
        <v>3</v>
      </c>
      <c r="O55" s="19" t="str">
        <f t="shared" si="85"/>
        <v>2</v>
      </c>
      <c r="P55" s="19" t="str">
        <f t="shared" si="86"/>
        <v>1</v>
      </c>
      <c r="Q55" s="19" t="str">
        <f t="shared" si="87"/>
        <v>1</v>
      </c>
      <c r="R55" s="36" t="str">
        <f t="shared" si="88"/>
        <v>1</v>
      </c>
      <c r="S55" s="2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</row>
    <row r="56" ht="12.75" customHeight="1">
      <c r="A56" s="137"/>
      <c r="B56" s="21" t="s">
        <v>142</v>
      </c>
      <c r="C56" s="22">
        <v>0.0</v>
      </c>
      <c r="D56" s="19" t="s">
        <v>31</v>
      </c>
      <c r="E56" s="23">
        <v>2.0</v>
      </c>
      <c r="F56" s="34" t="s">
        <v>140</v>
      </c>
      <c r="G56" s="2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6</v>
      </c>
      <c r="M56" s="19" t="str">
        <f t="shared" si="83"/>
        <v>2</v>
      </c>
      <c r="N56" s="19" t="str">
        <f t="shared" si="84"/>
        <v>4</v>
      </c>
      <c r="O56" s="19" t="str">
        <f t="shared" si="85"/>
        <v>2</v>
      </c>
      <c r="P56" s="19" t="str">
        <f t="shared" si="86"/>
        <v>2</v>
      </c>
      <c r="Q56" s="19" t="str">
        <f t="shared" si="87"/>
        <v>0</v>
      </c>
      <c r="R56" s="36" t="str">
        <f t="shared" si="88"/>
        <v>1</v>
      </c>
      <c r="S56" s="2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</row>
    <row r="57" ht="12.75" customHeight="1">
      <c r="A57" s="137"/>
      <c r="B57" s="21" t="s">
        <v>140</v>
      </c>
      <c r="C57" s="22">
        <v>0.0</v>
      </c>
      <c r="D57" s="19" t="s">
        <v>31</v>
      </c>
      <c r="E57" s="23">
        <v>1.0</v>
      </c>
      <c r="F57" s="34" t="s">
        <v>141</v>
      </c>
      <c r="G57" s="2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0</v>
      </c>
      <c r="M57" s="38" t="str">
        <f t="shared" si="83"/>
        <v>-6</v>
      </c>
      <c r="N57" s="38" t="str">
        <f t="shared" si="84"/>
        <v>0</v>
      </c>
      <c r="O57" s="38" t="str">
        <f t="shared" si="85"/>
        <v>6</v>
      </c>
      <c r="P57" s="38" t="str">
        <f t="shared" si="86"/>
        <v>0</v>
      </c>
      <c r="Q57" s="38" t="str">
        <f t="shared" si="87"/>
        <v>0</v>
      </c>
      <c r="R57" s="39" t="str">
        <f t="shared" si="88"/>
        <v>3</v>
      </c>
      <c r="S57" s="2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</row>
    <row r="58" ht="13.5" customHeight="1">
      <c r="A58" s="137"/>
      <c r="B58" s="40" t="s">
        <v>142</v>
      </c>
      <c r="C58" s="41">
        <v>0.0</v>
      </c>
      <c r="D58" s="38" t="s">
        <v>31</v>
      </c>
      <c r="E58" s="42">
        <v>2.0</v>
      </c>
      <c r="F58" s="43" t="s">
        <v>139</v>
      </c>
      <c r="G58" s="2"/>
      <c r="H58" s="44">
        <v>46200.0</v>
      </c>
      <c r="I58" s="45">
        <v>0.0</v>
      </c>
      <c r="J58" s="27"/>
      <c r="K58" s="46"/>
      <c r="L58" s="137"/>
      <c r="M58" s="137"/>
      <c r="N58" s="137"/>
      <c r="O58" s="137"/>
      <c r="P58" s="137"/>
      <c r="Q58" s="137"/>
      <c r="R58" s="137"/>
      <c r="S58" s="2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</row>
    <row r="59" ht="13.5" customHeight="1">
      <c r="A59" s="137"/>
      <c r="B59" s="4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137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</row>
    <row r="60" ht="13.5" customHeight="1">
      <c r="A60" s="137"/>
      <c r="B60" s="15" t="s">
        <v>155</v>
      </c>
      <c r="C60" s="9"/>
      <c r="D60" s="9"/>
      <c r="E60" s="9"/>
      <c r="F60" s="10"/>
      <c r="G60" s="2"/>
      <c r="H60" s="16" t="s">
        <v>28</v>
      </c>
      <c r="I60" s="17" t="s">
        <v>29</v>
      </c>
      <c r="J60" s="18"/>
      <c r="K60" s="2"/>
      <c r="L60" s="2"/>
      <c r="M60" s="2"/>
      <c r="N60" s="2"/>
      <c r="O60" s="2"/>
      <c r="P60" s="2"/>
      <c r="Q60" s="2"/>
      <c r="R60" s="2"/>
      <c r="S60" s="2"/>
      <c r="T60" s="137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</row>
    <row r="61" ht="13.5" customHeight="1">
      <c r="A61" s="137"/>
      <c r="B61" s="21" t="s">
        <v>156</v>
      </c>
      <c r="C61" s="22">
        <v>3.0</v>
      </c>
      <c r="D61" s="19" t="s">
        <v>31</v>
      </c>
      <c r="E61" s="23">
        <v>0.0</v>
      </c>
      <c r="F61" s="34" t="s">
        <v>157</v>
      </c>
      <c r="G61" s="2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</row>
    <row r="62" ht="13.5" customHeight="1">
      <c r="A62" s="137"/>
      <c r="B62" s="21" t="s">
        <v>158</v>
      </c>
      <c r="C62" s="22">
        <v>0.0</v>
      </c>
      <c r="D62" s="19" t="s">
        <v>31</v>
      </c>
      <c r="E62" s="23">
        <v>2.0</v>
      </c>
      <c r="F62" s="34" t="s">
        <v>159</v>
      </c>
      <c r="G62" s="2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3</v>
      </c>
      <c r="M62" s="19" t="str">
        <f t="shared" ref="M62:M65" si="96">N62-O62</f>
        <v>-4</v>
      </c>
      <c r="N62" s="19" t="str">
        <f t="shared" ref="N62:N65" si="97">SUM(INDIRECT($AC62),INDIRECT($AD62),INDIRECT($AE62))</f>
        <v>1</v>
      </c>
      <c r="O62" s="19" t="str">
        <f t="shared" ref="O62:O65" si="98">SUM(INDIRECT($AF62),INDIRECT($AG62),INDIRECT($AH62))</f>
        <v>5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</row>
    <row r="63" ht="12.75" customHeight="1">
      <c r="A63" s="137"/>
      <c r="B63" s="21" t="s">
        <v>156</v>
      </c>
      <c r="C63" s="22">
        <v>3.0</v>
      </c>
      <c r="D63" s="19" t="s">
        <v>31</v>
      </c>
      <c r="E63" s="23">
        <v>0.0</v>
      </c>
      <c r="F63" s="34" t="s">
        <v>158</v>
      </c>
      <c r="G63" s="2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3</v>
      </c>
      <c r="M63" s="19" t="str">
        <f t="shared" si="96"/>
        <v>-2</v>
      </c>
      <c r="N63" s="19" t="str">
        <f t="shared" si="97"/>
        <v>2</v>
      </c>
      <c r="O63" s="19" t="str">
        <f t="shared" si="98"/>
        <v>4</v>
      </c>
      <c r="P63" s="19" t="str">
        <f t="shared" si="99"/>
        <v>1</v>
      </c>
      <c r="Q63" s="19" t="str">
        <f t="shared" si="100"/>
        <v>0</v>
      </c>
      <c r="R63" s="36" t="str">
        <f t="shared" si="101"/>
        <v>2</v>
      </c>
      <c r="S63" s="2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</row>
    <row r="64" ht="12.75" customHeight="1">
      <c r="A64" s="137"/>
      <c r="B64" s="21" t="s">
        <v>159</v>
      </c>
      <c r="C64" s="22">
        <v>0.0</v>
      </c>
      <c r="D64" s="19" t="s">
        <v>31</v>
      </c>
      <c r="E64" s="23">
        <v>2.0</v>
      </c>
      <c r="F64" s="34" t="s">
        <v>157</v>
      </c>
      <c r="G64" s="2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7</v>
      </c>
      <c r="N64" s="19" t="str">
        <f t="shared" si="97"/>
        <v>8</v>
      </c>
      <c r="O64" s="19" t="str">
        <f t="shared" si="98"/>
        <v>1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2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</row>
    <row r="65" ht="12.75" customHeight="1">
      <c r="A65" s="137"/>
      <c r="B65" s="21" t="s">
        <v>157</v>
      </c>
      <c r="C65" s="22">
        <v>0.0</v>
      </c>
      <c r="D65" s="19" t="s">
        <v>31</v>
      </c>
      <c r="E65" s="23">
        <v>1.0</v>
      </c>
      <c r="F65" s="34" t="s">
        <v>158</v>
      </c>
      <c r="G65" s="2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3</v>
      </c>
      <c r="M65" s="38" t="str">
        <f t="shared" si="96"/>
        <v>-1</v>
      </c>
      <c r="N65" s="38" t="str">
        <f t="shared" si="97"/>
        <v>3</v>
      </c>
      <c r="O65" s="38" t="str">
        <f t="shared" si="98"/>
        <v>4</v>
      </c>
      <c r="P65" s="38" t="str">
        <f t="shared" si="99"/>
        <v>1</v>
      </c>
      <c r="Q65" s="38" t="str">
        <f t="shared" si="100"/>
        <v>0</v>
      </c>
      <c r="R65" s="39" t="str">
        <f t="shared" si="101"/>
        <v>2</v>
      </c>
      <c r="S65" s="2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</row>
    <row r="66" ht="13.5" customHeight="1">
      <c r="A66" s="137"/>
      <c r="B66" s="40" t="s">
        <v>159</v>
      </c>
      <c r="C66" s="41">
        <v>1.0</v>
      </c>
      <c r="D66" s="38" t="s">
        <v>31</v>
      </c>
      <c r="E66" s="42">
        <v>2.0</v>
      </c>
      <c r="F66" s="43" t="s">
        <v>156</v>
      </c>
      <c r="G66" s="2"/>
      <c r="H66" s="44">
        <v>46199.0</v>
      </c>
      <c r="I66" s="45">
        <v>0.875</v>
      </c>
      <c r="J66" s="27"/>
      <c r="K66" s="46"/>
      <c r="L66" s="137"/>
      <c r="M66" s="137"/>
      <c r="N66" s="137"/>
      <c r="O66" s="137"/>
      <c r="P66" s="137"/>
      <c r="Q66" s="137"/>
      <c r="R66" s="137"/>
      <c r="S66" s="2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</row>
    <row r="67" ht="12.75" customHeight="1">
      <c r="A67" s="137"/>
      <c r="B67" s="13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</row>
    <row r="68" ht="12.75" customHeight="1">
      <c r="A68" s="137"/>
      <c r="B68" s="15" t="s">
        <v>172</v>
      </c>
      <c r="C68" s="9"/>
      <c r="D68" s="9"/>
      <c r="E68" s="9"/>
      <c r="F68" s="10"/>
      <c r="G68" s="2"/>
      <c r="H68" s="16" t="s">
        <v>28</v>
      </c>
      <c r="I68" s="17" t="s">
        <v>29</v>
      </c>
      <c r="J68" s="18"/>
      <c r="K68" s="2"/>
      <c r="L68" s="2"/>
      <c r="M68" s="2"/>
      <c r="N68" s="2"/>
      <c r="O68" s="2"/>
      <c r="P68" s="2"/>
      <c r="Q68" s="2"/>
      <c r="R68" s="2"/>
      <c r="S68" s="2"/>
      <c r="T68" s="137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</row>
    <row r="69" ht="12.75" customHeight="1">
      <c r="A69" s="137"/>
      <c r="B69" s="21" t="s">
        <v>173</v>
      </c>
      <c r="C69" s="22">
        <v>2.0</v>
      </c>
      <c r="D69" s="19" t="s">
        <v>31</v>
      </c>
      <c r="E69" s="23">
        <v>1.0</v>
      </c>
      <c r="F69" s="34" t="s">
        <v>174</v>
      </c>
      <c r="G69" s="2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</row>
    <row r="70" ht="12.75" customHeight="1">
      <c r="A70" s="137"/>
      <c r="B70" s="21" t="s">
        <v>175</v>
      </c>
      <c r="C70" s="22">
        <v>0.0</v>
      </c>
      <c r="D70" s="19" t="s">
        <v>31</v>
      </c>
      <c r="E70" s="23">
        <v>2.0</v>
      </c>
      <c r="F70" s="34" t="s">
        <v>176</v>
      </c>
      <c r="G70" s="2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6</v>
      </c>
      <c r="N70" s="19" t="str">
        <f t="shared" ref="N70:N73" si="110">SUM(INDIRECT($AC70),INDIRECT($AD70),INDIRECT($AE70))</f>
        <v>8</v>
      </c>
      <c r="O70" s="19" t="str">
        <f t="shared" ref="O70:O73" si="111">SUM(INDIRECT($AF70),INDIRECT($AG70),INDIRECT($AH70))</f>
        <v>2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</row>
    <row r="71" ht="12.75" customHeight="1">
      <c r="A71" s="137"/>
      <c r="B71" s="21" t="s">
        <v>173</v>
      </c>
      <c r="C71" s="22">
        <v>3.0</v>
      </c>
      <c r="D71" s="19" t="s">
        <v>31</v>
      </c>
      <c r="E71" s="23">
        <v>0.0</v>
      </c>
      <c r="F71" s="34" t="s">
        <v>175</v>
      </c>
      <c r="G71" s="2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-7</v>
      </c>
      <c r="N71" s="19" t="str">
        <f t="shared" si="110"/>
        <v>0</v>
      </c>
      <c r="O71" s="19" t="str">
        <f t="shared" si="111"/>
        <v>7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2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</row>
    <row r="72" ht="12.75" customHeight="1">
      <c r="A72" s="137"/>
      <c r="B72" s="21" t="s">
        <v>176</v>
      </c>
      <c r="C72" s="22">
        <v>1.0</v>
      </c>
      <c r="D72" s="19" t="s">
        <v>31</v>
      </c>
      <c r="E72" s="23">
        <v>2.0</v>
      </c>
      <c r="F72" s="34" t="s">
        <v>174</v>
      </c>
      <c r="G72" s="2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3</v>
      </c>
      <c r="M72" s="19" t="str">
        <f t="shared" si="109"/>
        <v>-1</v>
      </c>
      <c r="N72" s="19" t="str">
        <f t="shared" si="110"/>
        <v>4</v>
      </c>
      <c r="O72" s="19" t="str">
        <f t="shared" si="111"/>
        <v>5</v>
      </c>
      <c r="P72" s="19" t="str">
        <f t="shared" si="112"/>
        <v>1</v>
      </c>
      <c r="Q72" s="19" t="str">
        <f t="shared" si="113"/>
        <v>0</v>
      </c>
      <c r="R72" s="36" t="str">
        <f t="shared" si="114"/>
        <v>2</v>
      </c>
      <c r="S72" s="2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</row>
    <row r="73" ht="12.75" customHeight="1">
      <c r="A73" s="137"/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2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6</v>
      </c>
      <c r="M73" s="38" t="str">
        <f t="shared" si="109"/>
        <v>2</v>
      </c>
      <c r="N73" s="38" t="str">
        <f t="shared" si="110"/>
        <v>5</v>
      </c>
      <c r="O73" s="38" t="str">
        <f t="shared" si="111"/>
        <v>3</v>
      </c>
      <c r="P73" s="38" t="str">
        <f t="shared" si="112"/>
        <v>2</v>
      </c>
      <c r="Q73" s="38" t="str">
        <f t="shared" si="113"/>
        <v>0</v>
      </c>
      <c r="R73" s="39" t="str">
        <f t="shared" si="114"/>
        <v>1</v>
      </c>
      <c r="S73" s="2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</row>
    <row r="74" ht="12.75" customHeight="1">
      <c r="A74" s="137"/>
      <c r="B74" s="40" t="s">
        <v>176</v>
      </c>
      <c r="C74" s="41">
        <v>1.0</v>
      </c>
      <c r="D74" s="38" t="s">
        <v>31</v>
      </c>
      <c r="E74" s="42">
        <v>3.0</v>
      </c>
      <c r="F74" s="43" t="s">
        <v>173</v>
      </c>
      <c r="G74" s="2"/>
      <c r="H74" s="44">
        <v>46199.0</v>
      </c>
      <c r="I74" s="45">
        <v>0.666666666666667</v>
      </c>
      <c r="J74" s="27"/>
      <c r="K74" s="46"/>
      <c r="L74" s="137"/>
      <c r="M74" s="137"/>
      <c r="N74" s="137"/>
      <c r="O74" s="137"/>
      <c r="P74" s="137"/>
      <c r="Q74" s="137"/>
      <c r="R74" s="137"/>
      <c r="S74" s="2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</row>
    <row r="75" ht="12.75" customHeight="1">
      <c r="A75" s="137"/>
      <c r="B75" s="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137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</row>
    <row r="76" ht="12.75" customHeight="1">
      <c r="A76" s="137"/>
      <c r="B76" s="15" t="s">
        <v>189</v>
      </c>
      <c r="C76" s="9"/>
      <c r="D76" s="9"/>
      <c r="E76" s="9"/>
      <c r="F76" s="10"/>
      <c r="G76" s="2"/>
      <c r="H76" s="16" t="s">
        <v>28</v>
      </c>
      <c r="I76" s="17" t="s">
        <v>29</v>
      </c>
      <c r="J76" s="18"/>
      <c r="K76" s="2"/>
      <c r="L76" s="2"/>
      <c r="M76" s="2"/>
      <c r="N76" s="2"/>
      <c r="O76" s="2"/>
      <c r="P76" s="2"/>
      <c r="Q76" s="2"/>
      <c r="R76" s="2"/>
      <c r="S76" s="2"/>
      <c r="T76" s="137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</row>
    <row r="77" ht="12.75" customHeight="1">
      <c r="A77" s="137"/>
      <c r="B77" s="21" t="s">
        <v>190</v>
      </c>
      <c r="C77" s="22">
        <v>3.0</v>
      </c>
      <c r="D77" s="19" t="s">
        <v>31</v>
      </c>
      <c r="E77" s="23">
        <v>1.0</v>
      </c>
      <c r="F77" s="34" t="s">
        <v>191</v>
      </c>
      <c r="G77" s="2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</row>
    <row r="78" ht="12.75" customHeight="1">
      <c r="A78" s="137"/>
      <c r="B78" s="21" t="s">
        <v>192</v>
      </c>
      <c r="C78" s="22">
        <v>1.0</v>
      </c>
      <c r="D78" s="19" t="s">
        <v>31</v>
      </c>
      <c r="E78" s="23">
        <v>0.0</v>
      </c>
      <c r="F78" s="34" t="s">
        <v>193</v>
      </c>
      <c r="G78" s="2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6</v>
      </c>
      <c r="N78" s="19" t="str">
        <f t="shared" ref="N78:N81" si="123">SUM(INDIRECT($AC78),INDIRECT($AD78),INDIRECT($AE78))</f>
        <v>8</v>
      </c>
      <c r="O78" s="19" t="str">
        <f t="shared" ref="O78:O81" si="124">SUM(INDIRECT($AF78),INDIRECT($AG78),INDIRECT($AH78))</f>
        <v>2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1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</row>
    <row r="79" ht="12.75" customHeight="1">
      <c r="A79" s="137"/>
      <c r="B79" s="21" t="s">
        <v>190</v>
      </c>
      <c r="C79" s="22">
        <v>2.0</v>
      </c>
      <c r="D79" s="19" t="s">
        <v>31</v>
      </c>
      <c r="E79" s="23">
        <v>1.0</v>
      </c>
      <c r="F79" s="34" t="s">
        <v>192</v>
      </c>
      <c r="G79" s="2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3</v>
      </c>
      <c r="M79" s="19" t="str">
        <f t="shared" si="122"/>
        <v>-1</v>
      </c>
      <c r="N79" s="19" t="str">
        <f t="shared" si="123"/>
        <v>4</v>
      </c>
      <c r="O79" s="19" t="str">
        <f t="shared" si="124"/>
        <v>5</v>
      </c>
      <c r="P79" s="19" t="str">
        <f t="shared" si="125"/>
        <v>1</v>
      </c>
      <c r="Q79" s="19" t="str">
        <f t="shared" si="126"/>
        <v>0</v>
      </c>
      <c r="R79" s="36" t="str">
        <f t="shared" si="127"/>
        <v>2</v>
      </c>
      <c r="S79" s="2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</row>
    <row r="80" ht="12.75" customHeight="1">
      <c r="A80" s="137"/>
      <c r="B80" s="21" t="s">
        <v>193</v>
      </c>
      <c r="C80" s="22">
        <v>0.0</v>
      </c>
      <c r="D80" s="19" t="s">
        <v>31</v>
      </c>
      <c r="E80" s="23">
        <v>2.0</v>
      </c>
      <c r="F80" s="34" t="s">
        <v>191</v>
      </c>
      <c r="G80" s="2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-6</v>
      </c>
      <c r="N80" s="19" t="str">
        <f t="shared" si="123"/>
        <v>0</v>
      </c>
      <c r="O80" s="19" t="str">
        <f t="shared" si="124"/>
        <v>6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3</v>
      </c>
      <c r="S80" s="2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</row>
    <row r="81" ht="12.75" customHeight="1">
      <c r="A81" s="137"/>
      <c r="B81" s="21" t="s">
        <v>193</v>
      </c>
      <c r="C81" s="22">
        <v>0.0</v>
      </c>
      <c r="D81" s="19" t="s">
        <v>31</v>
      </c>
      <c r="E81" s="23">
        <v>3.0</v>
      </c>
      <c r="F81" s="34" t="s">
        <v>190</v>
      </c>
      <c r="G81" s="2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6</v>
      </c>
      <c r="M81" s="38" t="str">
        <f t="shared" si="122"/>
        <v>1</v>
      </c>
      <c r="N81" s="38" t="str">
        <f t="shared" si="123"/>
        <v>4</v>
      </c>
      <c r="O81" s="38" t="str">
        <f t="shared" si="124"/>
        <v>3</v>
      </c>
      <c r="P81" s="38" t="str">
        <f t="shared" si="125"/>
        <v>2</v>
      </c>
      <c r="Q81" s="38" t="str">
        <f t="shared" si="126"/>
        <v>0</v>
      </c>
      <c r="R81" s="39" t="str">
        <f t="shared" si="127"/>
        <v>1</v>
      </c>
      <c r="S81" s="2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</row>
    <row r="82" ht="12.75" customHeight="1">
      <c r="A82" s="137"/>
      <c r="B82" s="40" t="s">
        <v>191</v>
      </c>
      <c r="C82" s="41">
        <v>1.0</v>
      </c>
      <c r="D82" s="38" t="s">
        <v>31</v>
      </c>
      <c r="E82" s="42">
        <v>2.0</v>
      </c>
      <c r="F82" s="43" t="s">
        <v>192</v>
      </c>
      <c r="G82" s="2"/>
      <c r="H82" s="44">
        <v>46200.0</v>
      </c>
      <c r="I82" s="45">
        <v>0.958333333333333</v>
      </c>
      <c r="J82" s="27"/>
      <c r="K82" s="46"/>
      <c r="L82" s="137"/>
      <c r="M82" s="137"/>
      <c r="N82" s="137"/>
      <c r="O82" s="137"/>
      <c r="P82" s="137"/>
      <c r="Q82" s="137"/>
      <c r="R82" s="137"/>
      <c r="S82" s="2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</row>
    <row r="83" ht="12.75" customHeight="1">
      <c r="A83" s="137"/>
      <c r="B83" s="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37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</row>
    <row r="84" ht="12.75" customHeight="1">
      <c r="A84" s="137"/>
      <c r="B84" s="15" t="s">
        <v>206</v>
      </c>
      <c r="C84" s="9"/>
      <c r="D84" s="9"/>
      <c r="E84" s="9"/>
      <c r="F84" s="10"/>
      <c r="G84" s="2"/>
      <c r="H84" s="16" t="s">
        <v>28</v>
      </c>
      <c r="I84" s="17" t="s">
        <v>29</v>
      </c>
      <c r="J84" s="18"/>
      <c r="K84" s="2"/>
      <c r="L84" s="2"/>
      <c r="M84" s="2"/>
      <c r="N84" s="2"/>
      <c r="O84" s="2"/>
      <c r="P84" s="2"/>
      <c r="Q84" s="2"/>
      <c r="R84" s="2"/>
      <c r="S84" s="2"/>
      <c r="T84" s="137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</row>
    <row r="85" ht="12.75" customHeight="1">
      <c r="A85" s="137"/>
      <c r="B85" s="21" t="s">
        <v>207</v>
      </c>
      <c r="C85" s="22">
        <v>3.0</v>
      </c>
      <c r="D85" s="19" t="s">
        <v>31</v>
      </c>
      <c r="E85" s="23">
        <v>0.0</v>
      </c>
      <c r="F85" s="34" t="s">
        <v>208</v>
      </c>
      <c r="G85" s="2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</row>
    <row r="86" ht="12.75" customHeight="1">
      <c r="A86" s="137"/>
      <c r="B86" s="21" t="s">
        <v>209</v>
      </c>
      <c r="C86" s="22">
        <v>0.0</v>
      </c>
      <c r="D86" s="19" t="s">
        <v>31</v>
      </c>
      <c r="E86" s="23">
        <v>2.0</v>
      </c>
      <c r="F86" s="34" t="s">
        <v>210</v>
      </c>
      <c r="G86" s="2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3</v>
      </c>
      <c r="N86" s="19" t="str">
        <f t="shared" ref="N86:N89" si="136">SUM(INDIRECT($AC86),INDIRECT($AD86),INDIRECT($AE86))</f>
        <v>5</v>
      </c>
      <c r="O86" s="19" t="str">
        <f t="shared" ref="O86:O89" si="137">SUM(INDIRECT($AF86),INDIRECT($AG86),INDIRECT($AH86))</f>
        <v>2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1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</row>
    <row r="87" ht="12.75" customHeight="1">
      <c r="A87" s="137"/>
      <c r="B87" s="21" t="s">
        <v>207</v>
      </c>
      <c r="C87" s="22">
        <v>3.0</v>
      </c>
      <c r="D87" s="19" t="s">
        <v>31</v>
      </c>
      <c r="E87" s="23">
        <v>0.0</v>
      </c>
      <c r="F87" s="34" t="s">
        <v>209</v>
      </c>
      <c r="G87" s="2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7</v>
      </c>
      <c r="N87" s="19" t="str">
        <f t="shared" si="136"/>
        <v>8</v>
      </c>
      <c r="O87" s="19" t="str">
        <f t="shared" si="137"/>
        <v>1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2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</row>
    <row r="88" ht="12.75" customHeight="1">
      <c r="A88" s="137"/>
      <c r="B88" s="21" t="s">
        <v>210</v>
      </c>
      <c r="C88" s="22">
        <v>2.0</v>
      </c>
      <c r="D88" s="19" t="s">
        <v>31</v>
      </c>
      <c r="E88" s="23">
        <v>0.0</v>
      </c>
      <c r="F88" s="34" t="s">
        <v>208</v>
      </c>
      <c r="G88" s="2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1</v>
      </c>
      <c r="M88" s="19" t="str">
        <f t="shared" si="135"/>
        <v>-5</v>
      </c>
      <c r="N88" s="19" t="str">
        <f t="shared" si="136"/>
        <v>1</v>
      </c>
      <c r="O88" s="19" t="str">
        <f t="shared" si="137"/>
        <v>6</v>
      </c>
      <c r="P88" s="19" t="str">
        <f t="shared" si="138"/>
        <v>0</v>
      </c>
      <c r="Q88" s="19" t="str">
        <f t="shared" si="139"/>
        <v>1</v>
      </c>
      <c r="R88" s="36" t="str">
        <f t="shared" si="140"/>
        <v>2</v>
      </c>
      <c r="S88" s="2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</row>
    <row r="89" ht="12.75" customHeight="1">
      <c r="A89" s="137"/>
      <c r="B89" s="21" t="s">
        <v>208</v>
      </c>
      <c r="C89" s="22">
        <v>1.0</v>
      </c>
      <c r="D89" s="19" t="s">
        <v>31</v>
      </c>
      <c r="E89" s="23">
        <v>1.0</v>
      </c>
      <c r="F89" s="34" t="s">
        <v>209</v>
      </c>
      <c r="G89" s="2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1</v>
      </c>
      <c r="M89" s="38" t="str">
        <f t="shared" si="135"/>
        <v>-5</v>
      </c>
      <c r="N89" s="38" t="str">
        <f t="shared" si="136"/>
        <v>1</v>
      </c>
      <c r="O89" s="38" t="str">
        <f t="shared" si="137"/>
        <v>6</v>
      </c>
      <c r="P89" s="38" t="str">
        <f t="shared" si="138"/>
        <v>0</v>
      </c>
      <c r="Q89" s="38" t="str">
        <f t="shared" si="139"/>
        <v>1</v>
      </c>
      <c r="R89" s="39" t="str">
        <f t="shared" si="140"/>
        <v>2</v>
      </c>
      <c r="S89" s="2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</row>
    <row r="90" ht="12.75" customHeight="1">
      <c r="A90" s="137"/>
      <c r="B90" s="40" t="s">
        <v>210</v>
      </c>
      <c r="C90" s="41">
        <v>1.0</v>
      </c>
      <c r="D90" s="38" t="s">
        <v>31</v>
      </c>
      <c r="E90" s="42">
        <v>2.0</v>
      </c>
      <c r="F90" s="43" t="s">
        <v>207</v>
      </c>
      <c r="G90" s="2"/>
      <c r="H90" s="44">
        <v>46200.0</v>
      </c>
      <c r="I90" s="45">
        <v>0.854166666666667</v>
      </c>
      <c r="J90" s="27"/>
      <c r="K90" s="46"/>
      <c r="L90" s="137"/>
      <c r="M90" s="137"/>
      <c r="N90" s="137"/>
      <c r="O90" s="137"/>
      <c r="P90" s="137"/>
      <c r="Q90" s="137"/>
      <c r="R90" s="137"/>
      <c r="S90" s="2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</row>
    <row r="91" ht="12.75" customHeight="1">
      <c r="A91" s="137"/>
      <c r="B91" s="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37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</row>
    <row r="92" ht="12.75" customHeight="1">
      <c r="A92" s="137"/>
      <c r="B92" s="15" t="s">
        <v>223</v>
      </c>
      <c r="C92" s="9"/>
      <c r="D92" s="9"/>
      <c r="E92" s="9"/>
      <c r="F92" s="10"/>
      <c r="G92" s="2"/>
      <c r="H92" s="16" t="s">
        <v>28</v>
      </c>
      <c r="I92" s="17" t="s">
        <v>29</v>
      </c>
      <c r="J92" s="18"/>
      <c r="K92" s="2"/>
      <c r="L92" s="2"/>
      <c r="M92" s="2"/>
      <c r="N92" s="2"/>
      <c r="O92" s="2"/>
      <c r="P92" s="2"/>
      <c r="Q92" s="2"/>
      <c r="R92" s="2"/>
      <c r="S92" s="2"/>
      <c r="T92" s="137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</row>
    <row r="93" ht="12.75" customHeight="1">
      <c r="A93" s="137"/>
      <c r="B93" s="21" t="s">
        <v>224</v>
      </c>
      <c r="C93" s="22">
        <v>2.0</v>
      </c>
      <c r="D93" s="19" t="s">
        <v>31</v>
      </c>
      <c r="E93" s="23">
        <v>1.0</v>
      </c>
      <c r="F93" s="34" t="s">
        <v>225</v>
      </c>
      <c r="G93" s="2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1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1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</row>
    <row r="94" ht="12.75" customHeight="1">
      <c r="A94" s="137"/>
      <c r="B94" s="21" t="s">
        <v>226</v>
      </c>
      <c r="C94" s="22">
        <v>2.0</v>
      </c>
      <c r="D94" s="19" t="s">
        <v>31</v>
      </c>
      <c r="E94" s="23">
        <v>0.0</v>
      </c>
      <c r="F94" s="34" t="s">
        <v>227</v>
      </c>
      <c r="G94" s="2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6</v>
      </c>
      <c r="M94" s="19" t="str">
        <f t="shared" ref="M94:M97" si="148">N94-O94</f>
        <v>1</v>
      </c>
      <c r="N94" s="19" t="str">
        <f t="shared" ref="N94:N97" si="149">SUM(INDIRECT($AC94),INDIRECT($AD94),INDIRECT($AE94))</f>
        <v>4</v>
      </c>
      <c r="O94" s="19" t="str">
        <f t="shared" ref="O94:O97" si="150">SUM(INDIRECT($AF94),INDIRECT($AG94),INDIRECT($AH94))</f>
        <v>3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0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1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</row>
    <row r="95" ht="12.75" customHeight="1">
      <c r="A95" s="137"/>
      <c r="B95" s="21" t="s">
        <v>224</v>
      </c>
      <c r="C95" s="22">
        <v>2.0</v>
      </c>
      <c r="D95" s="19" t="s">
        <v>31</v>
      </c>
      <c r="E95" s="23">
        <v>0.0</v>
      </c>
      <c r="F95" s="34" t="s">
        <v>226</v>
      </c>
      <c r="G95" s="2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-1</v>
      </c>
      <c r="N95" s="19" t="str">
        <f t="shared" si="149"/>
        <v>3</v>
      </c>
      <c r="O95" s="19" t="str">
        <f t="shared" si="150"/>
        <v>4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2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</row>
    <row r="96" ht="12.75" customHeight="1">
      <c r="A96" s="137"/>
      <c r="B96" s="21" t="s">
        <v>227</v>
      </c>
      <c r="C96" s="22">
        <v>0.0</v>
      </c>
      <c r="D96" s="19" t="s">
        <v>31</v>
      </c>
      <c r="E96" s="23">
        <v>1.0</v>
      </c>
      <c r="F96" s="34" t="s">
        <v>225</v>
      </c>
      <c r="G96" s="2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9</v>
      </c>
      <c r="M96" s="19" t="str">
        <f t="shared" si="148"/>
        <v>6</v>
      </c>
      <c r="N96" s="19" t="str">
        <f t="shared" si="149"/>
        <v>7</v>
      </c>
      <c r="O96" s="19" t="str">
        <f t="shared" si="150"/>
        <v>1</v>
      </c>
      <c r="P96" s="19" t="str">
        <f t="shared" si="151"/>
        <v>3</v>
      </c>
      <c r="Q96" s="19" t="str">
        <f t="shared" si="152"/>
        <v>0</v>
      </c>
      <c r="R96" s="36" t="str">
        <f t="shared" si="153"/>
        <v>0</v>
      </c>
      <c r="S96" s="2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</row>
    <row r="97" ht="12.75" customHeight="1">
      <c r="A97" s="137"/>
      <c r="B97" s="21" t="s">
        <v>225</v>
      </c>
      <c r="C97" s="22">
        <v>2.0</v>
      </c>
      <c r="D97" s="19" t="s">
        <v>31</v>
      </c>
      <c r="E97" s="23">
        <v>1.0</v>
      </c>
      <c r="F97" s="34" t="s">
        <v>226</v>
      </c>
      <c r="G97" s="2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-6</v>
      </c>
      <c r="N97" s="38" t="str">
        <f t="shared" si="149"/>
        <v>0</v>
      </c>
      <c r="O97" s="38" t="str">
        <f t="shared" si="150"/>
        <v>6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2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</row>
    <row r="98" ht="12.75" customHeight="1">
      <c r="A98" s="137"/>
      <c r="B98" s="40" t="s">
        <v>227</v>
      </c>
      <c r="C98" s="41">
        <v>0.0</v>
      </c>
      <c r="D98" s="38" t="s">
        <v>31</v>
      </c>
      <c r="E98" s="42">
        <v>3.0</v>
      </c>
      <c r="F98" s="43" t="s">
        <v>224</v>
      </c>
      <c r="G98" s="2"/>
      <c r="H98" s="44">
        <v>46200.0</v>
      </c>
      <c r="I98" s="45">
        <v>0.75</v>
      </c>
      <c r="J98" s="27"/>
      <c r="K98" s="46"/>
      <c r="L98" s="137"/>
      <c r="M98" s="137"/>
      <c r="N98" s="137"/>
      <c r="O98" s="137"/>
      <c r="P98" s="137"/>
      <c r="Q98" s="137"/>
      <c r="R98" s="137"/>
      <c r="S98" s="2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</row>
    <row r="99" ht="12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</row>
    <row r="100" ht="12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</row>
    <row r="101" ht="13.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2.75" customHeight="1">
      <c r="A102" s="137"/>
      <c r="B102" s="137"/>
      <c r="C102" s="137"/>
      <c r="D102" s="137"/>
      <c r="E102" s="137"/>
      <c r="F102" s="137"/>
      <c r="G102" s="137"/>
      <c r="H102" s="52"/>
      <c r="I102" s="52"/>
      <c r="J102" s="52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</row>
    <row r="103" ht="12.75" customHeight="1">
      <c r="A103" s="137"/>
      <c r="B103" s="137"/>
      <c r="C103" s="137"/>
      <c r="D103" s="137"/>
      <c r="E103" s="137"/>
      <c r="F103" s="137"/>
      <c r="G103" s="137"/>
      <c r="H103" s="52"/>
      <c r="I103" s="52"/>
      <c r="J103" s="52"/>
      <c r="K103" s="137"/>
      <c r="L103" s="53"/>
      <c r="M103" s="53"/>
      <c r="N103" s="53"/>
      <c r="O103" s="53"/>
      <c r="P103" s="53"/>
      <c r="Q103" s="53"/>
      <c r="R103" s="53"/>
      <c r="S103" s="137"/>
      <c r="T103" s="137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</row>
    <row r="104" ht="12.75" customHeight="1">
      <c r="A104" s="137"/>
      <c r="B104" s="137"/>
      <c r="C104" s="137"/>
      <c r="D104" s="137"/>
      <c r="E104" s="137"/>
      <c r="F104" s="137"/>
      <c r="G104" s="137"/>
      <c r="H104" s="52"/>
      <c r="I104" s="52"/>
      <c r="J104" s="52"/>
      <c r="K104" s="137"/>
      <c r="L104" s="53"/>
      <c r="M104" s="53"/>
      <c r="N104" s="53"/>
      <c r="O104" s="53"/>
      <c r="P104" s="53"/>
      <c r="Q104" s="53"/>
      <c r="R104" s="53"/>
      <c r="S104" s="137"/>
      <c r="T104" s="137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</row>
    <row r="105" ht="12.75" customHeight="1">
      <c r="A105" s="137"/>
      <c r="B105" s="137"/>
      <c r="C105" s="137"/>
      <c r="D105" s="137"/>
      <c r="E105" s="137"/>
      <c r="F105" s="137"/>
      <c r="G105" s="137"/>
      <c r="H105" s="52"/>
      <c r="I105" s="52"/>
      <c r="J105" s="52"/>
      <c r="K105" s="137"/>
      <c r="L105" s="53"/>
      <c r="M105" s="53"/>
      <c r="N105" s="53"/>
      <c r="O105" s="53"/>
      <c r="P105" s="53"/>
      <c r="Q105" s="53"/>
      <c r="R105" s="53"/>
      <c r="S105" s="137"/>
      <c r="T105" s="137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</row>
    <row r="106" ht="12.75" customHeight="1">
      <c r="A106" s="137"/>
      <c r="B106" s="137"/>
      <c r="C106" s="137"/>
      <c r="D106" s="137"/>
      <c r="E106" s="137"/>
      <c r="F106" s="137"/>
      <c r="G106" s="137"/>
      <c r="H106" s="52"/>
      <c r="I106" s="52"/>
      <c r="J106" s="52"/>
      <c r="K106" s="137"/>
      <c r="L106" s="53"/>
      <c r="M106" s="53"/>
      <c r="N106" s="53"/>
      <c r="O106" s="53"/>
      <c r="P106" s="53"/>
      <c r="Q106" s="53"/>
      <c r="R106" s="53"/>
      <c r="S106" s="137"/>
      <c r="T106" s="137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</row>
    <row r="107" ht="12.75" customHeight="1">
      <c r="A107" s="137"/>
      <c r="B107" s="137"/>
      <c r="C107" s="137"/>
      <c r="D107" s="137"/>
      <c r="E107" s="137"/>
      <c r="F107" s="137"/>
      <c r="G107" s="137"/>
      <c r="H107" s="52"/>
      <c r="I107" s="52"/>
      <c r="J107" s="52"/>
      <c r="K107" s="137"/>
      <c r="L107" s="53"/>
      <c r="M107" s="53"/>
      <c r="N107" s="53"/>
      <c r="O107" s="53"/>
      <c r="P107" s="53"/>
      <c r="Q107" s="53"/>
      <c r="R107" s="53"/>
      <c r="S107" s="137"/>
      <c r="T107" s="137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</row>
    <row r="108" ht="12.75" customHeight="1">
      <c r="A108" s="137"/>
      <c r="B108" s="137"/>
      <c r="C108" s="137"/>
      <c r="D108" s="137"/>
      <c r="E108" s="137"/>
      <c r="F108" s="137"/>
      <c r="G108" s="137"/>
      <c r="H108" s="52"/>
      <c r="I108" s="52"/>
      <c r="J108" s="52"/>
      <c r="K108" s="137"/>
      <c r="L108" s="53"/>
      <c r="M108" s="53"/>
      <c r="N108" s="53"/>
      <c r="O108" s="53"/>
      <c r="P108" s="53"/>
      <c r="Q108" s="53"/>
      <c r="R108" s="53"/>
      <c r="S108" s="137"/>
      <c r="T108" s="137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</row>
    <row r="109" ht="12.75" customHeight="1">
      <c r="A109" s="137"/>
      <c r="B109" s="137"/>
      <c r="C109" s="137"/>
      <c r="D109" s="137"/>
      <c r="E109" s="137"/>
      <c r="F109" s="137"/>
      <c r="G109" s="137"/>
      <c r="H109" s="52"/>
      <c r="I109" s="52"/>
      <c r="J109" s="52"/>
      <c r="K109" s="137"/>
      <c r="L109" s="53"/>
      <c r="M109" s="53"/>
      <c r="N109" s="53"/>
      <c r="O109" s="53"/>
      <c r="P109" s="53"/>
      <c r="Q109" s="53"/>
      <c r="R109" s="53"/>
      <c r="S109" s="137"/>
      <c r="T109" s="137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</row>
    <row r="110" ht="12.75" customHeight="1">
      <c r="A110" s="137"/>
      <c r="B110" s="137"/>
      <c r="C110" s="137"/>
      <c r="D110" s="137"/>
      <c r="E110" s="137"/>
      <c r="F110" s="137"/>
      <c r="G110" s="137"/>
      <c r="H110" s="52"/>
      <c r="I110" s="52"/>
      <c r="J110" s="52"/>
      <c r="K110" s="137"/>
      <c r="L110" s="53"/>
      <c r="M110" s="53"/>
      <c r="N110" s="53"/>
      <c r="O110" s="53"/>
      <c r="P110" s="53"/>
      <c r="Q110" s="53"/>
      <c r="R110" s="53"/>
      <c r="S110" s="137"/>
      <c r="T110" s="137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</row>
    <row r="111" ht="12.75" customHeight="1">
      <c r="A111" s="137"/>
      <c r="B111" s="137"/>
      <c r="C111" s="137"/>
      <c r="D111" s="137"/>
      <c r="E111" s="137"/>
      <c r="F111" s="137"/>
      <c r="G111" s="137"/>
      <c r="H111" s="52"/>
      <c r="I111" s="52"/>
      <c r="J111" s="52"/>
      <c r="K111" s="137"/>
      <c r="L111" s="53"/>
      <c r="M111" s="53"/>
      <c r="N111" s="53"/>
      <c r="O111" s="53"/>
      <c r="P111" s="53"/>
      <c r="Q111" s="53"/>
      <c r="R111" s="53"/>
      <c r="S111" s="137"/>
      <c r="T111" s="137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</row>
    <row r="112" ht="12.75" customHeight="1">
      <c r="A112" s="137"/>
      <c r="B112" s="137"/>
      <c r="C112" s="137"/>
      <c r="D112" s="137"/>
      <c r="E112" s="137"/>
      <c r="F112" s="137"/>
      <c r="G112" s="137"/>
      <c r="H112" s="52"/>
      <c r="I112" s="52"/>
      <c r="J112" s="52"/>
      <c r="K112" s="137"/>
      <c r="L112" s="53"/>
      <c r="M112" s="53"/>
      <c r="N112" s="53"/>
      <c r="O112" s="53"/>
      <c r="P112" s="53"/>
      <c r="Q112" s="53"/>
      <c r="R112" s="53"/>
      <c r="S112" s="137"/>
      <c r="T112" s="137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</row>
    <row r="113" ht="12.75" customHeight="1">
      <c r="A113" s="137"/>
      <c r="B113" s="137"/>
      <c r="C113" s="137"/>
      <c r="D113" s="137"/>
      <c r="E113" s="137"/>
      <c r="F113" s="137"/>
      <c r="G113" s="137"/>
      <c r="H113" s="52"/>
      <c r="I113" s="52"/>
      <c r="J113" s="52"/>
      <c r="K113" s="137"/>
      <c r="L113" s="53"/>
      <c r="M113" s="53"/>
      <c r="N113" s="53"/>
      <c r="O113" s="53"/>
      <c r="P113" s="53"/>
      <c r="Q113" s="53"/>
      <c r="R113" s="53"/>
      <c r="S113" s="137"/>
      <c r="T113" s="137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</row>
    <row r="114" ht="12.75" customHeight="1">
      <c r="A114" s="137"/>
      <c r="B114" s="137"/>
      <c r="C114" s="137"/>
      <c r="D114" s="137"/>
      <c r="E114" s="137"/>
      <c r="F114" s="137"/>
      <c r="G114" s="137"/>
      <c r="H114" s="52"/>
      <c r="I114" s="52"/>
      <c r="J114" s="52"/>
      <c r="K114" s="137"/>
      <c r="L114" s="53"/>
      <c r="M114" s="53"/>
      <c r="N114" s="53"/>
      <c r="O114" s="53"/>
      <c r="P114" s="53"/>
      <c r="Q114" s="53"/>
      <c r="R114" s="53"/>
      <c r="S114" s="137"/>
      <c r="T114" s="137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</row>
    <row r="115" ht="12.75" customHeight="1">
      <c r="A115" s="137"/>
      <c r="B115" s="137"/>
      <c r="C115" s="137"/>
      <c r="D115" s="137"/>
      <c r="E115" s="137"/>
      <c r="F115" s="137"/>
      <c r="G115" s="137"/>
      <c r="H115" s="52"/>
      <c r="I115" s="52"/>
      <c r="J115" s="52"/>
      <c r="K115" s="137"/>
      <c r="L115" s="53"/>
      <c r="M115" s="53"/>
      <c r="N115" s="53"/>
      <c r="O115" s="53"/>
      <c r="P115" s="53"/>
      <c r="Q115" s="53"/>
      <c r="R115" s="53"/>
      <c r="S115" s="137"/>
      <c r="T115" s="137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</row>
    <row r="116" ht="12.75" customHeight="1">
      <c r="A116" s="137"/>
      <c r="B116" s="137"/>
      <c r="C116" s="137"/>
      <c r="D116" s="137"/>
      <c r="E116" s="137"/>
      <c r="F116" s="137"/>
      <c r="G116" s="137"/>
      <c r="H116" s="52"/>
      <c r="I116" s="52"/>
      <c r="J116" s="52"/>
      <c r="K116" s="137"/>
      <c r="L116" s="53"/>
      <c r="M116" s="53"/>
      <c r="N116" s="53"/>
      <c r="O116" s="53"/>
      <c r="P116" s="53"/>
      <c r="Q116" s="53"/>
      <c r="R116" s="53"/>
      <c r="S116" s="137"/>
      <c r="T116" s="137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</row>
    <row r="117" ht="12.75" customHeight="1">
      <c r="A117" s="137"/>
      <c r="B117" s="137"/>
      <c r="C117" s="137"/>
      <c r="D117" s="137"/>
      <c r="E117" s="137"/>
      <c r="F117" s="137"/>
      <c r="G117" s="137"/>
      <c r="H117" s="52"/>
      <c r="I117" s="52"/>
      <c r="J117" s="52"/>
      <c r="K117" s="137"/>
      <c r="L117" s="53"/>
      <c r="M117" s="53"/>
      <c r="N117" s="53"/>
      <c r="O117" s="53"/>
      <c r="P117" s="53"/>
      <c r="Q117" s="53"/>
      <c r="R117" s="53"/>
      <c r="S117" s="137"/>
      <c r="T117" s="137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</row>
    <row r="118" ht="12.75" customHeight="1">
      <c r="A118" s="137"/>
      <c r="B118" s="137"/>
      <c r="C118" s="137"/>
      <c r="D118" s="137"/>
      <c r="E118" s="137"/>
      <c r="F118" s="137"/>
      <c r="G118" s="137"/>
      <c r="H118" s="52"/>
      <c r="I118" s="52"/>
      <c r="J118" s="52"/>
      <c r="K118" s="137"/>
      <c r="L118" s="53"/>
      <c r="M118" s="53"/>
      <c r="N118" s="53"/>
      <c r="O118" s="53"/>
      <c r="P118" s="53"/>
      <c r="Q118" s="53"/>
      <c r="R118" s="53"/>
      <c r="S118" s="137"/>
      <c r="T118" s="137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</row>
    <row r="119" ht="12.75" customHeight="1">
      <c r="A119" s="137"/>
      <c r="B119" s="137"/>
      <c r="C119" s="137"/>
      <c r="D119" s="137"/>
      <c r="E119" s="137"/>
      <c r="F119" s="137"/>
      <c r="G119" s="137"/>
      <c r="H119" s="52"/>
      <c r="I119" s="52"/>
      <c r="J119" s="52"/>
      <c r="K119" s="137"/>
      <c r="L119" s="53"/>
      <c r="M119" s="53"/>
      <c r="N119" s="53"/>
      <c r="O119" s="53"/>
      <c r="P119" s="53"/>
      <c r="Q119" s="53"/>
      <c r="R119" s="53"/>
      <c r="S119" s="137"/>
      <c r="T119" s="137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</row>
    <row r="120" ht="12.75" customHeight="1">
      <c r="A120" s="137"/>
      <c r="B120" s="137"/>
      <c r="C120" s="137"/>
      <c r="D120" s="137"/>
      <c r="E120" s="137"/>
      <c r="F120" s="137"/>
      <c r="G120" s="137"/>
      <c r="H120" s="52"/>
      <c r="I120" s="52"/>
      <c r="J120" s="52"/>
      <c r="K120" s="137"/>
      <c r="L120" s="53"/>
      <c r="M120" s="53"/>
      <c r="N120" s="53"/>
      <c r="O120" s="53"/>
      <c r="P120" s="53"/>
      <c r="Q120" s="53"/>
      <c r="R120" s="53"/>
      <c r="S120" s="137"/>
      <c r="T120" s="137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</row>
    <row r="121" ht="12.75" customHeight="1">
      <c r="A121" s="137"/>
      <c r="B121" s="137"/>
      <c r="C121" s="137"/>
      <c r="D121" s="137"/>
      <c r="E121" s="137"/>
      <c r="F121" s="137"/>
      <c r="G121" s="137"/>
      <c r="H121" s="52"/>
      <c r="I121" s="52"/>
      <c r="J121" s="52"/>
      <c r="K121" s="137"/>
      <c r="L121" s="53"/>
      <c r="M121" s="53"/>
      <c r="N121" s="53"/>
      <c r="O121" s="53"/>
      <c r="P121" s="53"/>
      <c r="Q121" s="53"/>
      <c r="R121" s="53"/>
      <c r="S121" s="137"/>
      <c r="T121" s="137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</row>
    <row r="122" ht="12.75" customHeight="1">
      <c r="A122" s="137"/>
      <c r="B122" s="137"/>
      <c r="C122" s="137"/>
      <c r="D122" s="137"/>
      <c r="E122" s="137"/>
      <c r="F122" s="137"/>
      <c r="G122" s="137"/>
      <c r="H122" s="52"/>
      <c r="I122" s="52"/>
      <c r="J122" s="52"/>
      <c r="K122" s="137"/>
      <c r="L122" s="53"/>
      <c r="M122" s="53"/>
      <c r="N122" s="53"/>
      <c r="O122" s="53"/>
      <c r="P122" s="53"/>
      <c r="Q122" s="53"/>
      <c r="R122" s="53"/>
      <c r="S122" s="137"/>
      <c r="T122" s="137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</row>
    <row r="123" ht="12.75" customHeight="1">
      <c r="A123" s="137"/>
      <c r="B123" s="137"/>
      <c r="C123" s="137"/>
      <c r="D123" s="137"/>
      <c r="E123" s="137"/>
      <c r="F123" s="137"/>
      <c r="G123" s="137"/>
      <c r="H123" s="52"/>
      <c r="I123" s="52"/>
      <c r="J123" s="52"/>
      <c r="K123" s="137"/>
      <c r="L123" s="53"/>
      <c r="M123" s="53"/>
      <c r="N123" s="53"/>
      <c r="O123" s="53"/>
      <c r="P123" s="53"/>
      <c r="Q123" s="53"/>
      <c r="R123" s="53"/>
      <c r="S123" s="137"/>
      <c r="T123" s="137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</row>
    <row r="124" ht="12.75" customHeight="1">
      <c r="A124" s="137"/>
      <c r="B124" s="137"/>
      <c r="C124" s="137"/>
      <c r="D124" s="137"/>
      <c r="E124" s="137"/>
      <c r="F124" s="137"/>
      <c r="G124" s="137"/>
      <c r="H124" s="52"/>
      <c r="I124" s="52"/>
      <c r="J124" s="52"/>
      <c r="K124" s="137"/>
      <c r="L124" s="53"/>
      <c r="M124" s="53"/>
      <c r="N124" s="53"/>
      <c r="O124" s="53"/>
      <c r="P124" s="53"/>
      <c r="Q124" s="53"/>
      <c r="R124" s="53"/>
      <c r="S124" s="137"/>
      <c r="T124" s="137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</row>
    <row r="125" ht="12.75" customHeight="1">
      <c r="A125" s="137"/>
      <c r="B125" s="137"/>
      <c r="C125" s="137"/>
      <c r="D125" s="137"/>
      <c r="E125" s="137"/>
      <c r="F125" s="137"/>
      <c r="G125" s="137"/>
      <c r="H125" s="52"/>
      <c r="I125" s="52"/>
      <c r="J125" s="52"/>
      <c r="K125" s="137"/>
      <c r="L125" s="53"/>
      <c r="M125" s="53"/>
      <c r="N125" s="53"/>
      <c r="O125" s="53"/>
      <c r="P125" s="53"/>
      <c r="Q125" s="53"/>
      <c r="R125" s="53"/>
      <c r="S125" s="137"/>
      <c r="T125" s="137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</row>
    <row r="126" ht="12.75" customHeight="1">
      <c r="A126" s="137"/>
      <c r="B126" s="137"/>
      <c r="C126" s="137"/>
      <c r="D126" s="137"/>
      <c r="E126" s="137"/>
      <c r="F126" s="137"/>
      <c r="G126" s="137"/>
      <c r="H126" s="52"/>
      <c r="I126" s="52"/>
      <c r="J126" s="52"/>
      <c r="K126" s="137"/>
      <c r="L126" s="53"/>
      <c r="M126" s="53"/>
      <c r="N126" s="53"/>
      <c r="O126" s="53"/>
      <c r="P126" s="53"/>
      <c r="Q126" s="53"/>
      <c r="R126" s="53"/>
      <c r="S126" s="137"/>
      <c r="T126" s="137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</row>
    <row r="127" ht="12.75" customHeight="1">
      <c r="A127" s="137"/>
      <c r="B127" s="137"/>
      <c r="C127" s="137"/>
      <c r="D127" s="137"/>
      <c r="E127" s="137"/>
      <c r="F127" s="137"/>
      <c r="G127" s="137"/>
      <c r="H127" s="52"/>
      <c r="I127" s="52"/>
      <c r="J127" s="52"/>
      <c r="K127" s="137"/>
      <c r="L127" s="53"/>
      <c r="M127" s="53"/>
      <c r="N127" s="53"/>
      <c r="O127" s="53"/>
      <c r="P127" s="53"/>
      <c r="Q127" s="53"/>
      <c r="R127" s="53"/>
      <c r="S127" s="137"/>
      <c r="T127" s="137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</row>
    <row r="128" ht="12.75" customHeight="1">
      <c r="A128" s="137"/>
      <c r="B128" s="137"/>
      <c r="C128" s="137"/>
      <c r="D128" s="137"/>
      <c r="E128" s="137"/>
      <c r="F128" s="137"/>
      <c r="G128" s="137"/>
      <c r="H128" s="52"/>
      <c r="I128" s="52"/>
      <c r="J128" s="52"/>
      <c r="K128" s="137"/>
      <c r="L128" s="53"/>
      <c r="M128" s="53"/>
      <c r="N128" s="53"/>
      <c r="O128" s="53"/>
      <c r="P128" s="53"/>
      <c r="Q128" s="53"/>
      <c r="R128" s="53"/>
      <c r="S128" s="137"/>
      <c r="T128" s="137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</row>
    <row r="129" ht="12.75" customHeight="1">
      <c r="A129" s="137"/>
      <c r="B129" s="137"/>
      <c r="C129" s="137"/>
      <c r="D129" s="137"/>
      <c r="E129" s="137"/>
      <c r="F129" s="137"/>
      <c r="G129" s="137"/>
      <c r="H129" s="52"/>
      <c r="I129" s="52"/>
      <c r="J129" s="52"/>
      <c r="K129" s="137"/>
      <c r="L129" s="53"/>
      <c r="M129" s="53"/>
      <c r="N129" s="53"/>
      <c r="O129" s="53"/>
      <c r="P129" s="53"/>
      <c r="Q129" s="53"/>
      <c r="R129" s="53"/>
      <c r="S129" s="137"/>
      <c r="T129" s="137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</row>
    <row r="130" ht="12.75" customHeight="1">
      <c r="A130" s="137"/>
      <c r="B130" s="137"/>
      <c r="C130" s="137"/>
      <c r="D130" s="137"/>
      <c r="E130" s="137"/>
      <c r="F130" s="137"/>
      <c r="G130" s="137"/>
      <c r="H130" s="52"/>
      <c r="I130" s="52"/>
      <c r="J130" s="52"/>
      <c r="K130" s="137"/>
      <c r="L130" s="53"/>
      <c r="M130" s="53"/>
      <c r="N130" s="53"/>
      <c r="O130" s="53"/>
      <c r="P130" s="53"/>
      <c r="Q130" s="53"/>
      <c r="R130" s="53"/>
      <c r="S130" s="137"/>
      <c r="T130" s="137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</row>
    <row r="131" ht="12.75" customHeight="1">
      <c r="A131" s="137"/>
      <c r="B131" s="137"/>
      <c r="C131" s="137"/>
      <c r="D131" s="137"/>
      <c r="E131" s="137"/>
      <c r="F131" s="137"/>
      <c r="G131" s="137"/>
      <c r="H131" s="52"/>
      <c r="I131" s="52"/>
      <c r="J131" s="52"/>
      <c r="K131" s="137"/>
      <c r="L131" s="53"/>
      <c r="M131" s="53"/>
      <c r="N131" s="53"/>
      <c r="O131" s="53"/>
      <c r="P131" s="53"/>
      <c r="Q131" s="53"/>
      <c r="R131" s="53"/>
      <c r="S131" s="137"/>
      <c r="T131" s="137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</row>
    <row r="132" ht="12.75" customHeight="1">
      <c r="A132" s="137"/>
      <c r="B132" s="137"/>
      <c r="C132" s="137"/>
      <c r="D132" s="137"/>
      <c r="E132" s="137"/>
      <c r="F132" s="137"/>
      <c r="G132" s="137"/>
      <c r="H132" s="52"/>
      <c r="I132" s="52"/>
      <c r="J132" s="52"/>
      <c r="K132" s="137"/>
      <c r="L132" s="53"/>
      <c r="M132" s="53"/>
      <c r="N132" s="53"/>
      <c r="O132" s="53"/>
      <c r="P132" s="53"/>
      <c r="Q132" s="53"/>
      <c r="R132" s="53"/>
      <c r="S132" s="137"/>
      <c r="T132" s="137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</row>
    <row r="133" ht="12.75" customHeight="1">
      <c r="A133" s="137"/>
      <c r="B133" s="137"/>
      <c r="C133" s="137"/>
      <c r="D133" s="137"/>
      <c r="E133" s="137"/>
      <c r="F133" s="137"/>
      <c r="G133" s="137"/>
      <c r="H133" s="52"/>
      <c r="I133" s="52"/>
      <c r="J133" s="52"/>
      <c r="K133" s="137"/>
      <c r="L133" s="53"/>
      <c r="M133" s="53"/>
      <c r="N133" s="53"/>
      <c r="O133" s="53"/>
      <c r="P133" s="53"/>
      <c r="Q133" s="53"/>
      <c r="R133" s="53"/>
      <c r="S133" s="137"/>
      <c r="T133" s="137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</row>
    <row r="134" ht="12.75" customHeight="1">
      <c r="A134" s="137"/>
      <c r="B134" s="137"/>
      <c r="C134" s="137"/>
      <c r="D134" s="137"/>
      <c r="E134" s="137"/>
      <c r="F134" s="137"/>
      <c r="G134" s="137"/>
      <c r="H134" s="52"/>
      <c r="I134" s="52"/>
      <c r="J134" s="52"/>
      <c r="K134" s="137"/>
      <c r="L134" s="53"/>
      <c r="M134" s="53"/>
      <c r="N134" s="53"/>
      <c r="O134" s="53"/>
      <c r="P134" s="53"/>
      <c r="Q134" s="53"/>
      <c r="R134" s="53"/>
      <c r="S134" s="137"/>
      <c r="T134" s="137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</row>
    <row r="135" ht="12.75" customHeight="1">
      <c r="A135" s="137"/>
      <c r="B135" s="137"/>
      <c r="C135" s="137"/>
      <c r="D135" s="137"/>
      <c r="E135" s="137"/>
      <c r="F135" s="137"/>
      <c r="G135" s="137"/>
      <c r="H135" s="52"/>
      <c r="I135" s="52"/>
      <c r="J135" s="52"/>
      <c r="K135" s="137"/>
      <c r="L135" s="53"/>
      <c r="M135" s="53"/>
      <c r="N135" s="53"/>
      <c r="O135" s="53"/>
      <c r="P135" s="53"/>
      <c r="Q135" s="53"/>
      <c r="R135" s="53"/>
      <c r="S135" s="137"/>
      <c r="T135" s="137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</row>
    <row r="136" ht="12.75" customHeight="1">
      <c r="A136" s="137"/>
      <c r="B136" s="137"/>
      <c r="C136" s="137"/>
      <c r="D136" s="137"/>
      <c r="E136" s="137"/>
      <c r="F136" s="137"/>
      <c r="G136" s="137"/>
      <c r="H136" s="52"/>
      <c r="I136" s="52"/>
      <c r="J136" s="52"/>
      <c r="K136" s="137"/>
      <c r="L136" s="53"/>
      <c r="M136" s="53"/>
      <c r="N136" s="53"/>
      <c r="O136" s="53"/>
      <c r="P136" s="53"/>
      <c r="Q136" s="53"/>
      <c r="R136" s="53"/>
      <c r="S136" s="137"/>
      <c r="T136" s="137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</row>
    <row r="137" ht="12.75" customHeight="1">
      <c r="A137" s="137"/>
      <c r="B137" s="137"/>
      <c r="C137" s="137"/>
      <c r="D137" s="137"/>
      <c r="E137" s="137"/>
      <c r="F137" s="137"/>
      <c r="G137" s="137"/>
      <c r="H137" s="52"/>
      <c r="I137" s="52"/>
      <c r="J137" s="52"/>
      <c r="K137" s="137"/>
      <c r="L137" s="53"/>
      <c r="M137" s="53"/>
      <c r="N137" s="53"/>
      <c r="O137" s="53"/>
      <c r="P137" s="53"/>
      <c r="Q137" s="53"/>
      <c r="R137" s="53"/>
      <c r="S137" s="137"/>
      <c r="T137" s="137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</row>
    <row r="138" ht="12.75" customHeight="1">
      <c r="A138" s="137"/>
      <c r="B138" s="137"/>
      <c r="C138" s="137"/>
      <c r="D138" s="137"/>
      <c r="E138" s="137"/>
      <c r="F138" s="137"/>
      <c r="G138" s="137"/>
      <c r="H138" s="52"/>
      <c r="I138" s="52"/>
      <c r="J138" s="52"/>
      <c r="K138" s="137"/>
      <c r="L138" s="53"/>
      <c r="M138" s="53"/>
      <c r="N138" s="53"/>
      <c r="O138" s="53"/>
      <c r="P138" s="53"/>
      <c r="Q138" s="53"/>
      <c r="R138" s="53"/>
      <c r="S138" s="137"/>
      <c r="T138" s="137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</row>
    <row r="139" ht="12.75" customHeight="1">
      <c r="A139" s="137"/>
      <c r="B139" s="137"/>
      <c r="C139" s="137"/>
      <c r="D139" s="137"/>
      <c r="E139" s="137"/>
      <c r="F139" s="137"/>
      <c r="G139" s="137"/>
      <c r="H139" s="52"/>
      <c r="I139" s="52"/>
      <c r="J139" s="52"/>
      <c r="K139" s="137"/>
      <c r="L139" s="53"/>
      <c r="M139" s="53"/>
      <c r="N139" s="53"/>
      <c r="O139" s="53"/>
      <c r="P139" s="53"/>
      <c r="Q139" s="53"/>
      <c r="R139" s="53"/>
      <c r="S139" s="137"/>
      <c r="T139" s="137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</row>
    <row r="140" ht="12.75" customHeight="1">
      <c r="A140" s="137"/>
      <c r="B140" s="137"/>
      <c r="C140" s="137"/>
      <c r="D140" s="137"/>
      <c r="E140" s="137"/>
      <c r="F140" s="137"/>
      <c r="G140" s="137"/>
      <c r="H140" s="52"/>
      <c r="I140" s="52"/>
      <c r="J140" s="52"/>
      <c r="K140" s="137"/>
      <c r="L140" s="53"/>
      <c r="M140" s="53"/>
      <c r="N140" s="53"/>
      <c r="O140" s="53"/>
      <c r="P140" s="53"/>
      <c r="Q140" s="53"/>
      <c r="R140" s="53"/>
      <c r="S140" s="137"/>
      <c r="T140" s="137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</row>
    <row r="141" ht="12.75" customHeight="1">
      <c r="A141" s="137"/>
      <c r="B141" s="137"/>
      <c r="C141" s="137"/>
      <c r="D141" s="137"/>
      <c r="E141" s="137"/>
      <c r="F141" s="137"/>
      <c r="G141" s="137"/>
      <c r="H141" s="52"/>
      <c r="I141" s="52"/>
      <c r="J141" s="52"/>
      <c r="K141" s="137"/>
      <c r="L141" s="53"/>
      <c r="M141" s="53"/>
      <c r="N141" s="53"/>
      <c r="O141" s="53"/>
      <c r="P141" s="53"/>
      <c r="Q141" s="53"/>
      <c r="R141" s="53"/>
      <c r="S141" s="137"/>
      <c r="T141" s="137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</row>
    <row r="142" ht="12.75" customHeight="1">
      <c r="A142" s="137"/>
      <c r="B142" s="137"/>
      <c r="C142" s="137"/>
      <c r="D142" s="137"/>
      <c r="E142" s="137"/>
      <c r="F142" s="137"/>
      <c r="G142" s="137"/>
      <c r="H142" s="52"/>
      <c r="I142" s="52"/>
      <c r="J142" s="52"/>
      <c r="K142" s="137"/>
      <c r="L142" s="53"/>
      <c r="M142" s="53"/>
      <c r="N142" s="53"/>
      <c r="O142" s="53"/>
      <c r="P142" s="53"/>
      <c r="Q142" s="53"/>
      <c r="R142" s="53"/>
      <c r="S142" s="137"/>
      <c r="T142" s="137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</row>
    <row r="143" ht="12.75" customHeight="1">
      <c r="A143" s="137"/>
      <c r="B143" s="137"/>
      <c r="C143" s="137"/>
      <c r="D143" s="137"/>
      <c r="E143" s="137"/>
      <c r="F143" s="137"/>
      <c r="G143" s="137"/>
      <c r="H143" s="52"/>
      <c r="I143" s="52"/>
      <c r="J143" s="52"/>
      <c r="K143" s="137"/>
      <c r="L143" s="53"/>
      <c r="M143" s="53"/>
      <c r="N143" s="53"/>
      <c r="O143" s="53"/>
      <c r="P143" s="53"/>
      <c r="Q143" s="53"/>
      <c r="R143" s="53"/>
      <c r="S143" s="137"/>
      <c r="T143" s="137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</row>
    <row r="144" ht="12.75" customHeight="1">
      <c r="A144" s="137"/>
      <c r="B144" s="137"/>
      <c r="C144" s="137"/>
      <c r="D144" s="137"/>
      <c r="E144" s="137"/>
      <c r="F144" s="137"/>
      <c r="G144" s="137"/>
      <c r="H144" s="52"/>
      <c r="I144" s="52"/>
      <c r="J144" s="52"/>
      <c r="K144" s="137"/>
      <c r="L144" s="53"/>
      <c r="M144" s="53"/>
      <c r="N144" s="53"/>
      <c r="O144" s="53"/>
      <c r="P144" s="53"/>
      <c r="Q144" s="53"/>
      <c r="R144" s="53"/>
      <c r="S144" s="137"/>
      <c r="T144" s="137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</row>
    <row r="145" ht="12.75" customHeight="1">
      <c r="A145" s="137"/>
      <c r="B145" s="137"/>
      <c r="C145" s="137"/>
      <c r="D145" s="137"/>
      <c r="E145" s="137"/>
      <c r="F145" s="137"/>
      <c r="G145" s="137"/>
      <c r="H145" s="52"/>
      <c r="I145" s="52"/>
      <c r="J145" s="52"/>
      <c r="K145" s="137"/>
      <c r="L145" s="53"/>
      <c r="M145" s="53"/>
      <c r="N145" s="53"/>
      <c r="O145" s="53"/>
      <c r="P145" s="53"/>
      <c r="Q145" s="53"/>
      <c r="R145" s="53"/>
      <c r="S145" s="137"/>
      <c r="T145" s="137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</row>
    <row r="146" ht="12.75" customHeight="1">
      <c r="A146" s="137"/>
      <c r="B146" s="137"/>
      <c r="C146" s="137"/>
      <c r="D146" s="137"/>
      <c r="E146" s="137"/>
      <c r="F146" s="137"/>
      <c r="G146" s="137"/>
      <c r="H146" s="52"/>
      <c r="I146" s="52"/>
      <c r="J146" s="52"/>
      <c r="K146" s="137"/>
      <c r="L146" s="53"/>
      <c r="M146" s="53"/>
      <c r="N146" s="53"/>
      <c r="O146" s="53"/>
      <c r="P146" s="53"/>
      <c r="Q146" s="53"/>
      <c r="R146" s="53"/>
      <c r="S146" s="137"/>
      <c r="T146" s="137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</row>
    <row r="147" ht="12.75" customHeight="1">
      <c r="A147" s="137"/>
      <c r="B147" s="137"/>
      <c r="C147" s="137"/>
      <c r="D147" s="137"/>
      <c r="E147" s="137"/>
      <c r="F147" s="137"/>
      <c r="G147" s="137"/>
      <c r="H147" s="52"/>
      <c r="I147" s="52"/>
      <c r="J147" s="52"/>
      <c r="K147" s="137"/>
      <c r="L147" s="53"/>
      <c r="M147" s="53"/>
      <c r="N147" s="53"/>
      <c r="O147" s="53"/>
      <c r="P147" s="53"/>
      <c r="Q147" s="53"/>
      <c r="R147" s="53"/>
      <c r="S147" s="137"/>
      <c r="T147" s="137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</row>
    <row r="148" ht="12.75" customHeight="1">
      <c r="A148" s="137"/>
      <c r="B148" s="137"/>
      <c r="C148" s="137"/>
      <c r="D148" s="137"/>
      <c r="E148" s="137"/>
      <c r="F148" s="137"/>
      <c r="G148" s="137"/>
      <c r="H148" s="52"/>
      <c r="I148" s="52"/>
      <c r="J148" s="52"/>
      <c r="K148" s="137"/>
      <c r="L148" s="53"/>
      <c r="M148" s="53"/>
      <c r="N148" s="53"/>
      <c r="O148" s="53"/>
      <c r="P148" s="53"/>
      <c r="Q148" s="53"/>
      <c r="R148" s="53"/>
      <c r="S148" s="137"/>
      <c r="T148" s="137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</row>
    <row r="149" ht="12.75" customHeight="1">
      <c r="A149" s="137"/>
      <c r="B149" s="137"/>
      <c r="C149" s="137"/>
      <c r="D149" s="137"/>
      <c r="E149" s="137"/>
      <c r="F149" s="137"/>
      <c r="G149" s="137"/>
      <c r="H149" s="52"/>
      <c r="I149" s="52"/>
      <c r="J149" s="52"/>
      <c r="K149" s="137"/>
      <c r="L149" s="53"/>
      <c r="M149" s="53"/>
      <c r="N149" s="53"/>
      <c r="O149" s="53"/>
      <c r="P149" s="53"/>
      <c r="Q149" s="53"/>
      <c r="R149" s="53"/>
      <c r="S149" s="137"/>
      <c r="T149" s="137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</row>
    <row r="150" ht="12.75" customHeight="1">
      <c r="A150" s="137"/>
      <c r="B150" s="137"/>
      <c r="C150" s="137"/>
      <c r="D150" s="137"/>
      <c r="E150" s="137"/>
      <c r="F150" s="137"/>
      <c r="G150" s="137"/>
      <c r="H150" s="52"/>
      <c r="I150" s="52"/>
      <c r="J150" s="52"/>
      <c r="K150" s="137"/>
      <c r="L150" s="53"/>
      <c r="M150" s="53"/>
      <c r="N150" s="53"/>
      <c r="O150" s="53"/>
      <c r="P150" s="53"/>
      <c r="Q150" s="53"/>
      <c r="R150" s="53"/>
      <c r="S150" s="137"/>
      <c r="T150" s="137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</row>
    <row r="151" ht="12.75" customHeight="1">
      <c r="A151" s="137"/>
      <c r="B151" s="137"/>
      <c r="C151" s="137"/>
      <c r="D151" s="137"/>
      <c r="E151" s="137"/>
      <c r="F151" s="137"/>
      <c r="G151" s="137"/>
      <c r="H151" s="52"/>
      <c r="I151" s="52"/>
      <c r="J151" s="52"/>
      <c r="K151" s="137"/>
      <c r="L151" s="53"/>
      <c r="M151" s="53"/>
      <c r="N151" s="53"/>
      <c r="O151" s="53"/>
      <c r="P151" s="53"/>
      <c r="Q151" s="53"/>
      <c r="R151" s="53"/>
      <c r="S151" s="137"/>
      <c r="T151" s="137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</row>
    <row r="152" ht="12.75" customHeight="1">
      <c r="A152" s="137"/>
      <c r="B152" s="137"/>
      <c r="C152" s="137"/>
      <c r="D152" s="137"/>
      <c r="E152" s="137"/>
      <c r="F152" s="137"/>
      <c r="G152" s="137"/>
      <c r="H152" s="52"/>
      <c r="I152" s="52"/>
      <c r="J152" s="52"/>
      <c r="K152" s="137"/>
      <c r="L152" s="53"/>
      <c r="M152" s="53"/>
      <c r="N152" s="53"/>
      <c r="O152" s="53"/>
      <c r="P152" s="53"/>
      <c r="Q152" s="53"/>
      <c r="R152" s="53"/>
      <c r="S152" s="137"/>
      <c r="T152" s="137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</row>
    <row r="153" ht="12.75" customHeight="1">
      <c r="A153" s="137"/>
      <c r="B153" s="137"/>
      <c r="C153" s="137"/>
      <c r="D153" s="137"/>
      <c r="E153" s="137"/>
      <c r="F153" s="137"/>
      <c r="G153" s="137"/>
      <c r="H153" s="52"/>
      <c r="I153" s="52"/>
      <c r="J153" s="52"/>
      <c r="K153" s="137"/>
      <c r="L153" s="53"/>
      <c r="M153" s="53"/>
      <c r="N153" s="53"/>
      <c r="O153" s="53"/>
      <c r="P153" s="53"/>
      <c r="Q153" s="53"/>
      <c r="R153" s="53"/>
      <c r="S153" s="137"/>
      <c r="T153" s="137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</row>
    <row r="154" ht="12.75" customHeight="1">
      <c r="A154" s="137"/>
      <c r="B154" s="137"/>
      <c r="C154" s="137"/>
      <c r="D154" s="137"/>
      <c r="E154" s="137"/>
      <c r="F154" s="137"/>
      <c r="G154" s="137"/>
      <c r="H154" s="52"/>
      <c r="I154" s="52"/>
      <c r="J154" s="52"/>
      <c r="K154" s="137"/>
      <c r="L154" s="53"/>
      <c r="M154" s="53"/>
      <c r="N154" s="53"/>
      <c r="O154" s="53"/>
      <c r="P154" s="53"/>
      <c r="Q154" s="53"/>
      <c r="R154" s="53"/>
      <c r="S154" s="137"/>
      <c r="T154" s="137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</row>
    <row r="155" ht="12.75" customHeight="1">
      <c r="A155" s="137"/>
      <c r="B155" s="137"/>
      <c r="C155" s="137"/>
      <c r="D155" s="137"/>
      <c r="E155" s="137"/>
      <c r="F155" s="137"/>
      <c r="G155" s="137"/>
      <c r="H155" s="52"/>
      <c r="I155" s="52"/>
      <c r="J155" s="52"/>
      <c r="K155" s="137"/>
      <c r="L155" s="53"/>
      <c r="M155" s="53"/>
      <c r="N155" s="53"/>
      <c r="O155" s="53"/>
      <c r="P155" s="53"/>
      <c r="Q155" s="53"/>
      <c r="R155" s="53"/>
      <c r="S155" s="137"/>
      <c r="T155" s="137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</row>
    <row r="156" ht="12.75" customHeight="1">
      <c r="A156" s="137"/>
      <c r="B156" s="137"/>
      <c r="C156" s="137"/>
      <c r="D156" s="137"/>
      <c r="E156" s="137"/>
      <c r="F156" s="137"/>
      <c r="G156" s="137"/>
      <c r="H156" s="52"/>
      <c r="I156" s="52"/>
      <c r="J156" s="52"/>
      <c r="K156" s="137"/>
      <c r="L156" s="53"/>
      <c r="M156" s="53"/>
      <c r="N156" s="53"/>
      <c r="O156" s="53"/>
      <c r="P156" s="53"/>
      <c r="Q156" s="53"/>
      <c r="R156" s="53"/>
      <c r="S156" s="137"/>
      <c r="T156" s="137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</row>
    <row r="157" ht="12.75" customHeight="1">
      <c r="A157" s="137"/>
      <c r="B157" s="137"/>
      <c r="C157" s="137"/>
      <c r="D157" s="137"/>
      <c r="E157" s="137"/>
      <c r="F157" s="137"/>
      <c r="G157" s="137"/>
      <c r="H157" s="52"/>
      <c r="I157" s="52"/>
      <c r="J157" s="52"/>
      <c r="K157" s="137"/>
      <c r="L157" s="53"/>
      <c r="M157" s="53"/>
      <c r="N157" s="53"/>
      <c r="O157" s="53"/>
      <c r="P157" s="53"/>
      <c r="Q157" s="53"/>
      <c r="R157" s="53"/>
      <c r="S157" s="137"/>
      <c r="T157" s="137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</row>
    <row r="158" ht="12.75" customHeight="1">
      <c r="A158" s="137"/>
      <c r="B158" s="137"/>
      <c r="C158" s="137"/>
      <c r="D158" s="137"/>
      <c r="E158" s="137"/>
      <c r="F158" s="137"/>
      <c r="G158" s="137"/>
      <c r="H158" s="52"/>
      <c r="I158" s="52"/>
      <c r="J158" s="52"/>
      <c r="K158" s="137"/>
      <c r="L158" s="53"/>
      <c r="M158" s="53"/>
      <c r="N158" s="53"/>
      <c r="O158" s="53"/>
      <c r="P158" s="53"/>
      <c r="Q158" s="53"/>
      <c r="R158" s="53"/>
      <c r="S158" s="137"/>
      <c r="T158" s="137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</row>
    <row r="159" ht="12.75" customHeight="1">
      <c r="A159" s="137"/>
      <c r="B159" s="137"/>
      <c r="C159" s="137"/>
      <c r="D159" s="137"/>
      <c r="E159" s="137"/>
      <c r="F159" s="137"/>
      <c r="G159" s="137"/>
      <c r="H159" s="52"/>
      <c r="I159" s="52"/>
      <c r="J159" s="52"/>
      <c r="K159" s="137"/>
      <c r="L159" s="53"/>
      <c r="M159" s="53"/>
      <c r="N159" s="53"/>
      <c r="O159" s="53"/>
      <c r="P159" s="53"/>
      <c r="Q159" s="53"/>
      <c r="R159" s="53"/>
      <c r="S159" s="137"/>
      <c r="T159" s="137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</row>
    <row r="160" ht="12.75" customHeight="1">
      <c r="A160" s="137"/>
      <c r="B160" s="137"/>
      <c r="C160" s="137"/>
      <c r="D160" s="137"/>
      <c r="E160" s="137"/>
      <c r="F160" s="137"/>
      <c r="G160" s="137"/>
      <c r="H160" s="52"/>
      <c r="I160" s="52"/>
      <c r="J160" s="52"/>
      <c r="K160" s="137"/>
      <c r="L160" s="53"/>
      <c r="M160" s="53"/>
      <c r="N160" s="53"/>
      <c r="O160" s="53"/>
      <c r="P160" s="53"/>
      <c r="Q160" s="53"/>
      <c r="R160" s="53"/>
      <c r="S160" s="137"/>
      <c r="T160" s="137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</row>
    <row r="161" ht="12.75" customHeight="1">
      <c r="A161" s="137"/>
      <c r="B161" s="137"/>
      <c r="C161" s="137"/>
      <c r="D161" s="137"/>
      <c r="E161" s="137"/>
      <c r="F161" s="137"/>
      <c r="G161" s="137"/>
      <c r="H161" s="52"/>
      <c r="I161" s="52"/>
      <c r="J161" s="52"/>
      <c r="K161" s="137"/>
      <c r="L161" s="53"/>
      <c r="M161" s="53"/>
      <c r="N161" s="53"/>
      <c r="O161" s="53"/>
      <c r="P161" s="53"/>
      <c r="Q161" s="53"/>
      <c r="R161" s="53"/>
      <c r="S161" s="137"/>
      <c r="T161" s="137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</row>
    <row r="162" ht="12.75" customHeight="1">
      <c r="A162" s="137"/>
      <c r="B162" s="137"/>
      <c r="C162" s="137"/>
      <c r="D162" s="137"/>
      <c r="E162" s="137"/>
      <c r="F162" s="137"/>
      <c r="G162" s="137"/>
      <c r="H162" s="52"/>
      <c r="I162" s="52"/>
      <c r="J162" s="52"/>
      <c r="K162" s="137"/>
      <c r="L162" s="53"/>
      <c r="M162" s="53"/>
      <c r="N162" s="53"/>
      <c r="O162" s="53"/>
      <c r="P162" s="53"/>
      <c r="Q162" s="53"/>
      <c r="R162" s="53"/>
      <c r="S162" s="137"/>
      <c r="T162" s="137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</row>
    <row r="163" ht="12.75" customHeight="1">
      <c r="A163" s="137"/>
      <c r="B163" s="137"/>
      <c r="C163" s="137"/>
      <c r="D163" s="137"/>
      <c r="E163" s="137"/>
      <c r="F163" s="137"/>
      <c r="G163" s="137"/>
      <c r="H163" s="52"/>
      <c r="I163" s="52"/>
      <c r="J163" s="52"/>
      <c r="K163" s="137"/>
      <c r="L163" s="53"/>
      <c r="M163" s="53"/>
      <c r="N163" s="53"/>
      <c r="O163" s="53"/>
      <c r="P163" s="53"/>
      <c r="Q163" s="53"/>
      <c r="R163" s="53"/>
      <c r="S163" s="137"/>
      <c r="T163" s="137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</row>
    <row r="164" ht="12.75" customHeight="1">
      <c r="A164" s="137"/>
      <c r="B164" s="137"/>
      <c r="C164" s="137"/>
      <c r="D164" s="137"/>
      <c r="E164" s="137"/>
      <c r="F164" s="137"/>
      <c r="G164" s="137"/>
      <c r="H164" s="52"/>
      <c r="I164" s="52"/>
      <c r="J164" s="52"/>
      <c r="K164" s="137"/>
      <c r="L164" s="53"/>
      <c r="M164" s="53"/>
      <c r="N164" s="53"/>
      <c r="O164" s="53"/>
      <c r="P164" s="53"/>
      <c r="Q164" s="53"/>
      <c r="R164" s="53"/>
      <c r="S164" s="137"/>
      <c r="T164" s="137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</row>
    <row r="165" ht="12.75" customHeight="1">
      <c r="A165" s="137"/>
      <c r="B165" s="137"/>
      <c r="C165" s="137"/>
      <c r="D165" s="137"/>
      <c r="E165" s="137"/>
      <c r="F165" s="137"/>
      <c r="G165" s="137"/>
      <c r="H165" s="52"/>
      <c r="I165" s="52"/>
      <c r="J165" s="52"/>
      <c r="K165" s="137"/>
      <c r="L165" s="53"/>
      <c r="M165" s="53"/>
      <c r="N165" s="53"/>
      <c r="O165" s="53"/>
      <c r="P165" s="53"/>
      <c r="Q165" s="53"/>
      <c r="R165" s="53"/>
      <c r="S165" s="137"/>
      <c r="T165" s="137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</row>
    <row r="166" ht="12.75" customHeight="1">
      <c r="A166" s="137"/>
      <c r="B166" s="137"/>
      <c r="C166" s="137"/>
      <c r="D166" s="137"/>
      <c r="E166" s="137"/>
      <c r="F166" s="137"/>
      <c r="G166" s="137"/>
      <c r="H166" s="52"/>
      <c r="I166" s="52"/>
      <c r="J166" s="52"/>
      <c r="K166" s="137"/>
      <c r="L166" s="53"/>
      <c r="M166" s="53"/>
      <c r="N166" s="53"/>
      <c r="O166" s="53"/>
      <c r="P166" s="53"/>
      <c r="Q166" s="53"/>
      <c r="R166" s="53"/>
      <c r="S166" s="137"/>
      <c r="T166" s="137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</row>
    <row r="167" ht="12.75" customHeight="1">
      <c r="A167" s="137"/>
      <c r="B167" s="137"/>
      <c r="C167" s="137"/>
      <c r="D167" s="137"/>
      <c r="E167" s="137"/>
      <c r="F167" s="137"/>
      <c r="G167" s="137"/>
      <c r="H167" s="52"/>
      <c r="I167" s="52"/>
      <c r="J167" s="52"/>
      <c r="K167" s="137"/>
      <c r="L167" s="53"/>
      <c r="M167" s="53"/>
      <c r="N167" s="53"/>
      <c r="O167" s="53"/>
      <c r="P167" s="53"/>
      <c r="Q167" s="53"/>
      <c r="R167" s="53"/>
      <c r="S167" s="137"/>
      <c r="T167" s="137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</row>
    <row r="168" ht="12.75" customHeight="1">
      <c r="A168" s="137"/>
      <c r="B168" s="137"/>
      <c r="C168" s="137"/>
      <c r="D168" s="137"/>
      <c r="E168" s="137"/>
      <c r="F168" s="137"/>
      <c r="G168" s="137"/>
      <c r="H168" s="52"/>
      <c r="I168" s="52"/>
      <c r="J168" s="52"/>
      <c r="K168" s="137"/>
      <c r="L168" s="53"/>
      <c r="M168" s="53"/>
      <c r="N168" s="53"/>
      <c r="O168" s="53"/>
      <c r="P168" s="53"/>
      <c r="Q168" s="53"/>
      <c r="R168" s="53"/>
      <c r="S168" s="137"/>
      <c r="T168" s="137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</row>
    <row r="169" ht="12.75" customHeight="1">
      <c r="A169" s="137"/>
      <c r="B169" s="137"/>
      <c r="C169" s="137"/>
      <c r="D169" s="137"/>
      <c r="E169" s="137"/>
      <c r="F169" s="137"/>
      <c r="G169" s="137"/>
      <c r="H169" s="52"/>
      <c r="I169" s="52"/>
      <c r="J169" s="52"/>
      <c r="K169" s="137"/>
      <c r="L169" s="53"/>
      <c r="M169" s="53"/>
      <c r="N169" s="53"/>
      <c r="O169" s="53"/>
      <c r="P169" s="53"/>
      <c r="Q169" s="53"/>
      <c r="R169" s="53"/>
      <c r="S169" s="137"/>
      <c r="T169" s="137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</row>
    <row r="170" ht="12.75" customHeight="1">
      <c r="A170" s="137"/>
      <c r="B170" s="137"/>
      <c r="C170" s="137"/>
      <c r="D170" s="137"/>
      <c r="E170" s="137"/>
      <c r="F170" s="137"/>
      <c r="G170" s="137"/>
      <c r="H170" s="52"/>
      <c r="I170" s="52"/>
      <c r="J170" s="52"/>
      <c r="K170" s="137"/>
      <c r="L170" s="53"/>
      <c r="M170" s="53"/>
      <c r="N170" s="53"/>
      <c r="O170" s="53"/>
      <c r="P170" s="53"/>
      <c r="Q170" s="53"/>
      <c r="R170" s="53"/>
      <c r="S170" s="137"/>
      <c r="T170" s="137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</row>
    <row r="171" ht="12.75" customHeight="1">
      <c r="A171" s="137"/>
      <c r="B171" s="137"/>
      <c r="C171" s="137"/>
      <c r="D171" s="137"/>
      <c r="E171" s="137"/>
      <c r="F171" s="137"/>
      <c r="G171" s="137"/>
      <c r="H171" s="52"/>
      <c r="I171" s="52"/>
      <c r="J171" s="52"/>
      <c r="K171" s="137"/>
      <c r="L171" s="53"/>
      <c r="M171" s="53"/>
      <c r="N171" s="53"/>
      <c r="O171" s="53"/>
      <c r="P171" s="53"/>
      <c r="Q171" s="53"/>
      <c r="R171" s="53"/>
      <c r="S171" s="137"/>
      <c r="T171" s="137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</row>
    <row r="172" ht="12.75" customHeight="1">
      <c r="A172" s="137"/>
      <c r="B172" s="137"/>
      <c r="C172" s="137"/>
      <c r="D172" s="137"/>
      <c r="E172" s="137"/>
      <c r="F172" s="137"/>
      <c r="G172" s="137"/>
      <c r="H172" s="52"/>
      <c r="I172" s="52"/>
      <c r="J172" s="52"/>
      <c r="K172" s="137"/>
      <c r="L172" s="53"/>
      <c r="M172" s="53"/>
      <c r="N172" s="53"/>
      <c r="O172" s="53"/>
      <c r="P172" s="53"/>
      <c r="Q172" s="53"/>
      <c r="R172" s="53"/>
      <c r="S172" s="137"/>
      <c r="T172" s="137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</row>
    <row r="173" ht="12.75" customHeight="1">
      <c r="A173" s="137"/>
      <c r="B173" s="137"/>
      <c r="C173" s="137"/>
      <c r="D173" s="137"/>
      <c r="E173" s="137"/>
      <c r="F173" s="137"/>
      <c r="G173" s="137"/>
      <c r="H173" s="52"/>
      <c r="I173" s="52"/>
      <c r="J173" s="52"/>
      <c r="K173" s="137"/>
      <c r="L173" s="53"/>
      <c r="M173" s="53"/>
      <c r="N173" s="53"/>
      <c r="O173" s="53"/>
      <c r="P173" s="53"/>
      <c r="Q173" s="53"/>
      <c r="R173" s="53"/>
      <c r="S173" s="137"/>
      <c r="T173" s="137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</row>
    <row r="174" ht="12.75" customHeight="1">
      <c r="A174" s="137"/>
      <c r="B174" s="137"/>
      <c r="C174" s="137"/>
      <c r="D174" s="137"/>
      <c r="E174" s="137"/>
      <c r="F174" s="137"/>
      <c r="G174" s="137"/>
      <c r="H174" s="52"/>
      <c r="I174" s="52"/>
      <c r="J174" s="52"/>
      <c r="K174" s="137"/>
      <c r="L174" s="53"/>
      <c r="M174" s="53"/>
      <c r="N174" s="53"/>
      <c r="O174" s="53"/>
      <c r="P174" s="53"/>
      <c r="Q174" s="53"/>
      <c r="R174" s="53"/>
      <c r="S174" s="137"/>
      <c r="T174" s="137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</row>
    <row r="175" ht="12.75" customHeight="1">
      <c r="A175" s="137"/>
      <c r="B175" s="137"/>
      <c r="C175" s="137"/>
      <c r="D175" s="137"/>
      <c r="E175" s="137"/>
      <c r="F175" s="137"/>
      <c r="G175" s="137"/>
      <c r="H175" s="52"/>
      <c r="I175" s="52"/>
      <c r="J175" s="52"/>
      <c r="K175" s="137"/>
      <c r="L175" s="53"/>
      <c r="M175" s="53"/>
      <c r="N175" s="53"/>
      <c r="O175" s="53"/>
      <c r="P175" s="53"/>
      <c r="Q175" s="53"/>
      <c r="R175" s="53"/>
      <c r="S175" s="137"/>
      <c r="T175" s="137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</row>
    <row r="176" ht="12.75" customHeight="1">
      <c r="A176" s="137"/>
      <c r="B176" s="137"/>
      <c r="C176" s="137"/>
      <c r="D176" s="137"/>
      <c r="E176" s="137"/>
      <c r="F176" s="137"/>
      <c r="G176" s="137"/>
      <c r="H176" s="52"/>
      <c r="I176" s="52"/>
      <c r="J176" s="52"/>
      <c r="K176" s="137"/>
      <c r="L176" s="53"/>
      <c r="M176" s="53"/>
      <c r="N176" s="53"/>
      <c r="O176" s="53"/>
      <c r="P176" s="53"/>
      <c r="Q176" s="53"/>
      <c r="R176" s="53"/>
      <c r="S176" s="137"/>
      <c r="T176" s="137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</row>
    <row r="177" ht="12.75" customHeight="1">
      <c r="A177" s="137"/>
      <c r="B177" s="137"/>
      <c r="C177" s="137"/>
      <c r="D177" s="137"/>
      <c r="E177" s="137"/>
      <c r="F177" s="137"/>
      <c r="G177" s="137"/>
      <c r="H177" s="52"/>
      <c r="I177" s="52"/>
      <c r="J177" s="52"/>
      <c r="K177" s="137"/>
      <c r="L177" s="53"/>
      <c r="M177" s="53"/>
      <c r="N177" s="53"/>
      <c r="O177" s="53"/>
      <c r="P177" s="53"/>
      <c r="Q177" s="53"/>
      <c r="R177" s="53"/>
      <c r="S177" s="137"/>
      <c r="T177" s="137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</row>
    <row r="178" ht="12.75" customHeight="1">
      <c r="A178" s="137"/>
      <c r="B178" s="137"/>
      <c r="C178" s="137"/>
      <c r="D178" s="137"/>
      <c r="E178" s="137"/>
      <c r="F178" s="137"/>
      <c r="G178" s="137"/>
      <c r="H178" s="52"/>
      <c r="I178" s="52"/>
      <c r="J178" s="52"/>
      <c r="K178" s="137"/>
      <c r="L178" s="53"/>
      <c r="M178" s="53"/>
      <c r="N178" s="53"/>
      <c r="O178" s="53"/>
      <c r="P178" s="53"/>
      <c r="Q178" s="53"/>
      <c r="R178" s="53"/>
      <c r="S178" s="137"/>
      <c r="T178" s="137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</row>
    <row r="179" ht="12.75" customHeight="1">
      <c r="A179" s="137"/>
      <c r="B179" s="137"/>
      <c r="C179" s="137"/>
      <c r="D179" s="137"/>
      <c r="E179" s="137"/>
      <c r="F179" s="137"/>
      <c r="G179" s="137"/>
      <c r="H179" s="52"/>
      <c r="I179" s="52"/>
      <c r="J179" s="52"/>
      <c r="K179" s="137"/>
      <c r="L179" s="53"/>
      <c r="M179" s="53"/>
      <c r="N179" s="53"/>
      <c r="O179" s="53"/>
      <c r="P179" s="53"/>
      <c r="Q179" s="53"/>
      <c r="R179" s="53"/>
      <c r="S179" s="137"/>
      <c r="T179" s="137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</row>
    <row r="180" ht="12.75" customHeight="1">
      <c r="A180" s="137"/>
      <c r="B180" s="137"/>
      <c r="C180" s="137"/>
      <c r="D180" s="137"/>
      <c r="E180" s="137"/>
      <c r="F180" s="137"/>
      <c r="G180" s="137"/>
      <c r="H180" s="52"/>
      <c r="I180" s="52"/>
      <c r="J180" s="52"/>
      <c r="K180" s="137"/>
      <c r="L180" s="53"/>
      <c r="M180" s="53"/>
      <c r="N180" s="53"/>
      <c r="O180" s="53"/>
      <c r="P180" s="53"/>
      <c r="Q180" s="53"/>
      <c r="R180" s="53"/>
      <c r="S180" s="137"/>
      <c r="T180" s="137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</row>
    <row r="181" ht="12.75" customHeight="1">
      <c r="A181" s="137"/>
      <c r="B181" s="137"/>
      <c r="C181" s="137"/>
      <c r="D181" s="137"/>
      <c r="E181" s="137"/>
      <c r="F181" s="137"/>
      <c r="G181" s="137"/>
      <c r="H181" s="52"/>
      <c r="I181" s="52"/>
      <c r="J181" s="52"/>
      <c r="K181" s="137"/>
      <c r="L181" s="53"/>
      <c r="M181" s="53"/>
      <c r="N181" s="53"/>
      <c r="O181" s="53"/>
      <c r="P181" s="53"/>
      <c r="Q181" s="53"/>
      <c r="R181" s="53"/>
      <c r="S181" s="137"/>
      <c r="T181" s="137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</row>
    <row r="182" ht="12.75" customHeight="1">
      <c r="A182" s="137"/>
      <c r="B182" s="137"/>
      <c r="C182" s="137"/>
      <c r="D182" s="137"/>
      <c r="E182" s="137"/>
      <c r="F182" s="137"/>
      <c r="G182" s="137"/>
      <c r="H182" s="52"/>
      <c r="I182" s="52"/>
      <c r="J182" s="52"/>
      <c r="K182" s="137"/>
      <c r="L182" s="53"/>
      <c r="M182" s="53"/>
      <c r="N182" s="53"/>
      <c r="O182" s="53"/>
      <c r="P182" s="53"/>
      <c r="Q182" s="53"/>
      <c r="R182" s="53"/>
      <c r="S182" s="137"/>
      <c r="T182" s="137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</row>
    <row r="183" ht="12.75" customHeight="1">
      <c r="A183" s="137"/>
      <c r="B183" s="137"/>
      <c r="C183" s="137"/>
      <c r="D183" s="137"/>
      <c r="E183" s="137"/>
      <c r="F183" s="137"/>
      <c r="G183" s="137"/>
      <c r="H183" s="52"/>
      <c r="I183" s="52"/>
      <c r="J183" s="52"/>
      <c r="K183" s="137"/>
      <c r="L183" s="53"/>
      <c r="M183" s="53"/>
      <c r="N183" s="53"/>
      <c r="O183" s="53"/>
      <c r="P183" s="53"/>
      <c r="Q183" s="53"/>
      <c r="R183" s="53"/>
      <c r="S183" s="137"/>
      <c r="T183" s="137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</row>
    <row r="184" ht="12.75" customHeight="1">
      <c r="A184" s="137"/>
      <c r="B184" s="137"/>
      <c r="C184" s="137"/>
      <c r="D184" s="137"/>
      <c r="E184" s="137"/>
      <c r="F184" s="137"/>
      <c r="G184" s="137"/>
      <c r="H184" s="52"/>
      <c r="I184" s="52"/>
      <c r="J184" s="52"/>
      <c r="K184" s="137"/>
      <c r="L184" s="53"/>
      <c r="M184" s="53"/>
      <c r="N184" s="53"/>
      <c r="O184" s="53"/>
      <c r="P184" s="53"/>
      <c r="Q184" s="53"/>
      <c r="R184" s="53"/>
      <c r="S184" s="137"/>
      <c r="T184" s="137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</row>
    <row r="185" ht="12.75" customHeight="1">
      <c r="A185" s="137"/>
      <c r="B185" s="137"/>
      <c r="C185" s="137"/>
      <c r="D185" s="137"/>
      <c r="E185" s="137"/>
      <c r="F185" s="137"/>
      <c r="G185" s="137"/>
      <c r="H185" s="52"/>
      <c r="I185" s="52"/>
      <c r="J185" s="52"/>
      <c r="K185" s="137"/>
      <c r="L185" s="53"/>
      <c r="M185" s="53"/>
      <c r="N185" s="53"/>
      <c r="O185" s="53"/>
      <c r="P185" s="53"/>
      <c r="Q185" s="53"/>
      <c r="R185" s="53"/>
      <c r="S185" s="137"/>
      <c r="T185" s="137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</row>
    <row r="186" ht="12.75" customHeight="1">
      <c r="A186" s="137"/>
      <c r="B186" s="137"/>
      <c r="C186" s="137"/>
      <c r="D186" s="137"/>
      <c r="E186" s="137"/>
      <c r="F186" s="137"/>
      <c r="G186" s="137"/>
      <c r="H186" s="52"/>
      <c r="I186" s="52"/>
      <c r="J186" s="52"/>
      <c r="K186" s="137"/>
      <c r="L186" s="53"/>
      <c r="M186" s="53"/>
      <c r="N186" s="53"/>
      <c r="O186" s="53"/>
      <c r="P186" s="53"/>
      <c r="Q186" s="53"/>
      <c r="R186" s="53"/>
      <c r="S186" s="137"/>
      <c r="T186" s="137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</row>
    <row r="187" ht="12.75" customHeight="1">
      <c r="A187" s="137"/>
      <c r="B187" s="137"/>
      <c r="C187" s="137"/>
      <c r="D187" s="137"/>
      <c r="E187" s="137"/>
      <c r="F187" s="137"/>
      <c r="G187" s="137"/>
      <c r="H187" s="52"/>
      <c r="I187" s="52"/>
      <c r="J187" s="52"/>
      <c r="K187" s="137"/>
      <c r="L187" s="53"/>
      <c r="M187" s="53"/>
      <c r="N187" s="53"/>
      <c r="O187" s="53"/>
      <c r="P187" s="53"/>
      <c r="Q187" s="53"/>
      <c r="R187" s="53"/>
      <c r="S187" s="137"/>
      <c r="T187" s="137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</row>
    <row r="188" ht="12.75" customHeight="1">
      <c r="A188" s="137"/>
      <c r="B188" s="137"/>
      <c r="C188" s="137"/>
      <c r="D188" s="137"/>
      <c r="E188" s="137"/>
      <c r="F188" s="137"/>
      <c r="G188" s="137"/>
      <c r="H188" s="52"/>
      <c r="I188" s="52"/>
      <c r="J188" s="52"/>
      <c r="K188" s="137"/>
      <c r="L188" s="53"/>
      <c r="M188" s="53"/>
      <c r="N188" s="53"/>
      <c r="O188" s="53"/>
      <c r="P188" s="53"/>
      <c r="Q188" s="53"/>
      <c r="R188" s="53"/>
      <c r="S188" s="137"/>
      <c r="T188" s="137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</row>
    <row r="189" ht="12.75" customHeight="1">
      <c r="A189" s="137"/>
      <c r="B189" s="137"/>
      <c r="C189" s="137"/>
      <c r="D189" s="137"/>
      <c r="E189" s="137"/>
      <c r="F189" s="137"/>
      <c r="G189" s="137"/>
      <c r="H189" s="52"/>
      <c r="I189" s="52"/>
      <c r="J189" s="52"/>
      <c r="K189" s="137"/>
      <c r="L189" s="53"/>
      <c r="M189" s="53"/>
      <c r="N189" s="53"/>
      <c r="O189" s="53"/>
      <c r="P189" s="53"/>
      <c r="Q189" s="53"/>
      <c r="R189" s="53"/>
      <c r="S189" s="137"/>
      <c r="T189" s="137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</row>
    <row r="190" ht="12.75" customHeight="1">
      <c r="A190" s="137"/>
      <c r="B190" s="137"/>
      <c r="C190" s="137"/>
      <c r="D190" s="137"/>
      <c r="E190" s="137"/>
      <c r="F190" s="137"/>
      <c r="G190" s="137"/>
      <c r="H190" s="52"/>
      <c r="I190" s="52"/>
      <c r="J190" s="52"/>
      <c r="K190" s="137"/>
      <c r="L190" s="53"/>
      <c r="M190" s="53"/>
      <c r="N190" s="53"/>
      <c r="O190" s="53"/>
      <c r="P190" s="53"/>
      <c r="Q190" s="53"/>
      <c r="R190" s="53"/>
      <c r="S190" s="137"/>
      <c r="T190" s="137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</row>
    <row r="191" ht="12.75" customHeight="1">
      <c r="A191" s="137"/>
      <c r="B191" s="137"/>
      <c r="C191" s="137"/>
      <c r="D191" s="137"/>
      <c r="E191" s="137"/>
      <c r="F191" s="137"/>
      <c r="G191" s="137"/>
      <c r="H191" s="52"/>
      <c r="I191" s="52"/>
      <c r="J191" s="52"/>
      <c r="K191" s="137"/>
      <c r="L191" s="53"/>
      <c r="M191" s="53"/>
      <c r="N191" s="53"/>
      <c r="O191" s="53"/>
      <c r="P191" s="53"/>
      <c r="Q191" s="53"/>
      <c r="R191" s="53"/>
      <c r="S191" s="137"/>
      <c r="T191" s="137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</row>
    <row r="192" ht="12.75" customHeight="1">
      <c r="A192" s="137"/>
      <c r="B192" s="137"/>
      <c r="C192" s="137"/>
      <c r="D192" s="137"/>
      <c r="E192" s="137"/>
      <c r="F192" s="137"/>
      <c r="G192" s="137"/>
      <c r="H192" s="52"/>
      <c r="I192" s="52"/>
      <c r="J192" s="52"/>
      <c r="K192" s="137"/>
      <c r="L192" s="53"/>
      <c r="M192" s="53"/>
      <c r="N192" s="53"/>
      <c r="O192" s="53"/>
      <c r="P192" s="53"/>
      <c r="Q192" s="53"/>
      <c r="R192" s="53"/>
      <c r="S192" s="137"/>
      <c r="T192" s="137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</row>
    <row r="193" ht="12.75" customHeight="1">
      <c r="A193" s="137"/>
      <c r="B193" s="137"/>
      <c r="C193" s="137"/>
      <c r="D193" s="137"/>
      <c r="E193" s="137"/>
      <c r="F193" s="137"/>
      <c r="G193" s="137"/>
      <c r="H193" s="52"/>
      <c r="I193" s="52"/>
      <c r="J193" s="52"/>
      <c r="K193" s="137"/>
      <c r="L193" s="53"/>
      <c r="M193" s="53"/>
      <c r="N193" s="53"/>
      <c r="O193" s="53"/>
      <c r="P193" s="53"/>
      <c r="Q193" s="53"/>
      <c r="R193" s="53"/>
      <c r="S193" s="137"/>
      <c r="T193" s="137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</row>
    <row r="194" ht="12.75" customHeight="1">
      <c r="A194" s="137"/>
      <c r="B194" s="137"/>
      <c r="C194" s="137"/>
      <c r="D194" s="137"/>
      <c r="E194" s="137"/>
      <c r="F194" s="137"/>
      <c r="G194" s="137"/>
      <c r="H194" s="52"/>
      <c r="I194" s="52"/>
      <c r="J194" s="52"/>
      <c r="K194" s="137"/>
      <c r="L194" s="53"/>
      <c r="M194" s="53"/>
      <c r="N194" s="53"/>
      <c r="O194" s="53"/>
      <c r="P194" s="53"/>
      <c r="Q194" s="53"/>
      <c r="R194" s="53"/>
      <c r="S194" s="137"/>
      <c r="T194" s="137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</row>
    <row r="195" ht="12.75" customHeight="1">
      <c r="A195" s="137"/>
      <c r="B195" s="137"/>
      <c r="C195" s="137"/>
      <c r="D195" s="137"/>
      <c r="E195" s="137"/>
      <c r="F195" s="137"/>
      <c r="G195" s="137"/>
      <c r="H195" s="52"/>
      <c r="I195" s="52"/>
      <c r="J195" s="52"/>
      <c r="K195" s="137"/>
      <c r="L195" s="53"/>
      <c r="M195" s="53"/>
      <c r="N195" s="53"/>
      <c r="O195" s="53"/>
      <c r="P195" s="53"/>
      <c r="Q195" s="53"/>
      <c r="R195" s="53"/>
      <c r="S195" s="137"/>
      <c r="T195" s="137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</row>
    <row r="196" ht="12.75" customHeight="1">
      <c r="A196" s="137"/>
      <c r="B196" s="137"/>
      <c r="C196" s="137"/>
      <c r="D196" s="137"/>
      <c r="E196" s="137"/>
      <c r="F196" s="137"/>
      <c r="G196" s="137"/>
      <c r="H196" s="52"/>
      <c r="I196" s="52"/>
      <c r="J196" s="52"/>
      <c r="K196" s="137"/>
      <c r="L196" s="53"/>
      <c r="M196" s="53"/>
      <c r="N196" s="53"/>
      <c r="O196" s="53"/>
      <c r="P196" s="53"/>
      <c r="Q196" s="53"/>
      <c r="R196" s="53"/>
      <c r="S196" s="137"/>
      <c r="T196" s="137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</row>
    <row r="197" ht="12.75" customHeight="1">
      <c r="A197" s="137"/>
      <c r="B197" s="137"/>
      <c r="C197" s="137"/>
      <c r="D197" s="137"/>
      <c r="E197" s="137"/>
      <c r="F197" s="137"/>
      <c r="G197" s="137"/>
      <c r="H197" s="52"/>
      <c r="I197" s="52"/>
      <c r="J197" s="52"/>
      <c r="K197" s="137"/>
      <c r="L197" s="53"/>
      <c r="M197" s="53"/>
      <c r="N197" s="53"/>
      <c r="O197" s="53"/>
      <c r="P197" s="53"/>
      <c r="Q197" s="53"/>
      <c r="R197" s="53"/>
      <c r="S197" s="137"/>
      <c r="T197" s="137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</row>
    <row r="198" ht="12.75" customHeight="1">
      <c r="A198" s="137"/>
      <c r="B198" s="137"/>
      <c r="C198" s="137"/>
      <c r="D198" s="137"/>
      <c r="E198" s="137"/>
      <c r="F198" s="137"/>
      <c r="G198" s="137"/>
      <c r="H198" s="52"/>
      <c r="I198" s="52"/>
      <c r="J198" s="52"/>
      <c r="K198" s="137"/>
      <c r="L198" s="53"/>
      <c r="M198" s="53"/>
      <c r="N198" s="53"/>
      <c r="O198" s="53"/>
      <c r="P198" s="53"/>
      <c r="Q198" s="53"/>
      <c r="R198" s="53"/>
      <c r="S198" s="137"/>
      <c r="T198" s="137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</row>
    <row r="199" ht="12.75" customHeight="1">
      <c r="A199" s="137"/>
      <c r="B199" s="137"/>
      <c r="C199" s="137"/>
      <c r="D199" s="137"/>
      <c r="E199" s="137"/>
      <c r="F199" s="137"/>
      <c r="G199" s="137"/>
      <c r="H199" s="52"/>
      <c r="I199" s="52"/>
      <c r="J199" s="52"/>
      <c r="K199" s="137"/>
      <c r="L199" s="53"/>
      <c r="M199" s="53"/>
      <c r="N199" s="53"/>
      <c r="O199" s="53"/>
      <c r="P199" s="53"/>
      <c r="Q199" s="53"/>
      <c r="R199" s="53"/>
      <c r="S199" s="137"/>
      <c r="T199" s="137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</row>
    <row r="200" ht="12.75" customHeight="1">
      <c r="A200" s="137"/>
      <c r="B200" s="137"/>
      <c r="C200" s="137"/>
      <c r="D200" s="137"/>
      <c r="E200" s="137"/>
      <c r="F200" s="137"/>
      <c r="G200" s="137"/>
      <c r="H200" s="52"/>
      <c r="I200" s="52"/>
      <c r="J200" s="52"/>
      <c r="K200" s="137"/>
      <c r="L200" s="53"/>
      <c r="M200" s="53"/>
      <c r="N200" s="53"/>
      <c r="O200" s="53"/>
      <c r="P200" s="53"/>
      <c r="Q200" s="53"/>
      <c r="R200" s="53"/>
      <c r="S200" s="137"/>
      <c r="T200" s="137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</row>
    <row r="201" ht="12.75" customHeight="1">
      <c r="A201" s="137"/>
      <c r="B201" s="137"/>
      <c r="C201" s="137"/>
      <c r="D201" s="137"/>
      <c r="E201" s="137"/>
      <c r="F201" s="137"/>
      <c r="G201" s="137"/>
      <c r="H201" s="52"/>
      <c r="I201" s="52"/>
      <c r="J201" s="52"/>
      <c r="K201" s="137"/>
      <c r="L201" s="53"/>
      <c r="M201" s="53"/>
      <c r="N201" s="53"/>
      <c r="O201" s="53"/>
      <c r="P201" s="53"/>
      <c r="Q201" s="53"/>
      <c r="R201" s="53"/>
      <c r="S201" s="137"/>
      <c r="T201" s="137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</row>
    <row r="202" ht="12.75" customHeight="1">
      <c r="A202" s="137"/>
      <c r="B202" s="137"/>
      <c r="C202" s="137"/>
      <c r="D202" s="137"/>
      <c r="E202" s="137"/>
      <c r="F202" s="137"/>
      <c r="G202" s="137"/>
      <c r="H202" s="52"/>
      <c r="I202" s="52"/>
      <c r="J202" s="52"/>
      <c r="K202" s="137"/>
      <c r="L202" s="53"/>
      <c r="M202" s="53"/>
      <c r="N202" s="53"/>
      <c r="O202" s="53"/>
      <c r="P202" s="53"/>
      <c r="Q202" s="53"/>
      <c r="R202" s="53"/>
      <c r="S202" s="137"/>
      <c r="T202" s="137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</row>
    <row r="203" ht="12.75" customHeight="1">
      <c r="A203" s="137"/>
      <c r="B203" s="137"/>
      <c r="C203" s="137"/>
      <c r="D203" s="137"/>
      <c r="E203" s="137"/>
      <c r="F203" s="137"/>
      <c r="G203" s="137"/>
      <c r="H203" s="52"/>
      <c r="I203" s="52"/>
      <c r="J203" s="52"/>
      <c r="K203" s="137"/>
      <c r="L203" s="53"/>
      <c r="M203" s="53"/>
      <c r="N203" s="53"/>
      <c r="O203" s="53"/>
      <c r="P203" s="53"/>
      <c r="Q203" s="53"/>
      <c r="R203" s="53"/>
      <c r="S203" s="137"/>
      <c r="T203" s="137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</row>
    <row r="204" ht="12.75" customHeight="1">
      <c r="A204" s="137"/>
      <c r="B204" s="137"/>
      <c r="C204" s="137"/>
      <c r="D204" s="137"/>
      <c r="E204" s="137"/>
      <c r="F204" s="137"/>
      <c r="G204" s="137"/>
      <c r="H204" s="52"/>
      <c r="I204" s="52"/>
      <c r="J204" s="52"/>
      <c r="K204" s="137"/>
      <c r="L204" s="53"/>
      <c r="M204" s="53"/>
      <c r="N204" s="53"/>
      <c r="O204" s="53"/>
      <c r="P204" s="53"/>
      <c r="Q204" s="53"/>
      <c r="R204" s="53"/>
      <c r="S204" s="137"/>
      <c r="T204" s="137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</row>
    <row r="205" ht="12.75" customHeight="1">
      <c r="A205" s="137"/>
      <c r="B205" s="137"/>
      <c r="C205" s="137"/>
      <c r="D205" s="137"/>
      <c r="E205" s="137"/>
      <c r="F205" s="137"/>
      <c r="G205" s="137"/>
      <c r="H205" s="52"/>
      <c r="I205" s="52"/>
      <c r="J205" s="52"/>
      <c r="K205" s="137"/>
      <c r="L205" s="53"/>
      <c r="M205" s="53"/>
      <c r="N205" s="53"/>
      <c r="O205" s="53"/>
      <c r="P205" s="53"/>
      <c r="Q205" s="53"/>
      <c r="R205" s="53"/>
      <c r="S205" s="137"/>
      <c r="T205" s="137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</row>
    <row r="206" ht="12.75" customHeight="1">
      <c r="A206" s="137"/>
      <c r="B206" s="137"/>
      <c r="C206" s="137"/>
      <c r="D206" s="137"/>
      <c r="E206" s="137"/>
      <c r="F206" s="137"/>
      <c r="G206" s="137"/>
      <c r="H206" s="52"/>
      <c r="I206" s="52"/>
      <c r="J206" s="52"/>
      <c r="K206" s="137"/>
      <c r="L206" s="53"/>
      <c r="M206" s="53"/>
      <c r="N206" s="53"/>
      <c r="O206" s="53"/>
      <c r="P206" s="53"/>
      <c r="Q206" s="53"/>
      <c r="R206" s="53"/>
      <c r="S206" s="137"/>
      <c r="T206" s="137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</row>
    <row r="207" ht="12.75" customHeight="1">
      <c r="A207" s="137"/>
      <c r="B207" s="137"/>
      <c r="C207" s="137"/>
      <c r="D207" s="137"/>
      <c r="E207" s="137"/>
      <c r="F207" s="137"/>
      <c r="G207" s="137"/>
      <c r="H207" s="52"/>
      <c r="I207" s="52"/>
      <c r="J207" s="52"/>
      <c r="K207" s="137"/>
      <c r="L207" s="53"/>
      <c r="M207" s="53"/>
      <c r="N207" s="53"/>
      <c r="O207" s="53"/>
      <c r="P207" s="53"/>
      <c r="Q207" s="53"/>
      <c r="R207" s="53"/>
      <c r="S207" s="137"/>
      <c r="T207" s="137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</row>
    <row r="208" ht="12.75" customHeight="1">
      <c r="A208" s="137"/>
      <c r="B208" s="137"/>
      <c r="C208" s="137"/>
      <c r="D208" s="137"/>
      <c r="E208" s="137"/>
      <c r="F208" s="137"/>
      <c r="G208" s="137"/>
      <c r="H208" s="52"/>
      <c r="I208" s="52"/>
      <c r="J208" s="52"/>
      <c r="K208" s="137"/>
      <c r="L208" s="53"/>
      <c r="M208" s="53"/>
      <c r="N208" s="53"/>
      <c r="O208" s="53"/>
      <c r="P208" s="53"/>
      <c r="Q208" s="53"/>
      <c r="R208" s="53"/>
      <c r="S208" s="137"/>
      <c r="T208" s="137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</row>
    <row r="209" ht="12.75" customHeight="1">
      <c r="A209" s="137"/>
      <c r="B209" s="137"/>
      <c r="C209" s="137"/>
      <c r="D209" s="137"/>
      <c r="E209" s="137"/>
      <c r="F209" s="137"/>
      <c r="G209" s="137"/>
      <c r="H209" s="52"/>
      <c r="I209" s="52"/>
      <c r="J209" s="52"/>
      <c r="K209" s="137"/>
      <c r="L209" s="53"/>
      <c r="M209" s="53"/>
      <c r="N209" s="53"/>
      <c r="O209" s="53"/>
      <c r="P209" s="53"/>
      <c r="Q209" s="53"/>
      <c r="R209" s="53"/>
      <c r="S209" s="137"/>
      <c r="T209" s="137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</row>
    <row r="210" ht="12.75" customHeight="1">
      <c r="A210" s="137"/>
      <c r="B210" s="137"/>
      <c r="C210" s="137"/>
      <c r="D210" s="137"/>
      <c r="E210" s="137"/>
      <c r="F210" s="137"/>
      <c r="G210" s="137"/>
      <c r="H210" s="52"/>
      <c r="I210" s="52"/>
      <c r="J210" s="52"/>
      <c r="K210" s="137"/>
      <c r="L210" s="53"/>
      <c r="M210" s="53"/>
      <c r="N210" s="53"/>
      <c r="O210" s="53"/>
      <c r="P210" s="53"/>
      <c r="Q210" s="53"/>
      <c r="R210" s="53"/>
      <c r="S210" s="137"/>
      <c r="T210" s="137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</row>
    <row r="211" ht="12.75" customHeight="1">
      <c r="A211" s="137"/>
      <c r="B211" s="137"/>
      <c r="C211" s="137"/>
      <c r="D211" s="137"/>
      <c r="E211" s="137"/>
      <c r="F211" s="137"/>
      <c r="G211" s="137"/>
      <c r="H211" s="52"/>
      <c r="I211" s="52"/>
      <c r="J211" s="52"/>
      <c r="K211" s="137"/>
      <c r="L211" s="53"/>
      <c r="M211" s="53"/>
      <c r="N211" s="53"/>
      <c r="O211" s="53"/>
      <c r="P211" s="53"/>
      <c r="Q211" s="53"/>
      <c r="R211" s="53"/>
      <c r="S211" s="137"/>
      <c r="T211" s="137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</row>
    <row r="212" ht="12.75" customHeight="1">
      <c r="A212" s="137"/>
      <c r="B212" s="137"/>
      <c r="C212" s="137"/>
      <c r="D212" s="137"/>
      <c r="E212" s="137"/>
      <c r="F212" s="137"/>
      <c r="G212" s="137"/>
      <c r="H212" s="52"/>
      <c r="I212" s="52"/>
      <c r="J212" s="52"/>
      <c r="K212" s="137"/>
      <c r="L212" s="53"/>
      <c r="M212" s="53"/>
      <c r="N212" s="53"/>
      <c r="O212" s="53"/>
      <c r="P212" s="53"/>
      <c r="Q212" s="53"/>
      <c r="R212" s="53"/>
      <c r="S212" s="137"/>
      <c r="T212" s="137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</row>
    <row r="213" ht="12.75" customHeight="1">
      <c r="A213" s="137"/>
      <c r="B213" s="137"/>
      <c r="C213" s="137"/>
      <c r="D213" s="137"/>
      <c r="E213" s="137"/>
      <c r="F213" s="137"/>
      <c r="G213" s="137"/>
      <c r="H213" s="52"/>
      <c r="I213" s="52"/>
      <c r="J213" s="52"/>
      <c r="K213" s="137"/>
      <c r="L213" s="53"/>
      <c r="M213" s="53"/>
      <c r="N213" s="53"/>
      <c r="O213" s="53"/>
      <c r="P213" s="53"/>
      <c r="Q213" s="53"/>
      <c r="R213" s="53"/>
      <c r="S213" s="137"/>
      <c r="T213" s="137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</row>
    <row r="214" ht="12.75" customHeight="1">
      <c r="A214" s="137"/>
      <c r="B214" s="137"/>
      <c r="C214" s="137"/>
      <c r="D214" s="137"/>
      <c r="E214" s="137"/>
      <c r="F214" s="137"/>
      <c r="G214" s="137"/>
      <c r="H214" s="52"/>
      <c r="I214" s="52"/>
      <c r="J214" s="52"/>
      <c r="K214" s="137"/>
      <c r="L214" s="53"/>
      <c r="M214" s="53"/>
      <c r="N214" s="53"/>
      <c r="O214" s="53"/>
      <c r="P214" s="53"/>
      <c r="Q214" s="53"/>
      <c r="R214" s="53"/>
      <c r="S214" s="137"/>
      <c r="T214" s="137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</row>
    <row r="215" ht="12.75" customHeight="1">
      <c r="A215" s="137"/>
      <c r="B215" s="137"/>
      <c r="C215" s="137"/>
      <c r="D215" s="137"/>
      <c r="E215" s="137"/>
      <c r="F215" s="137"/>
      <c r="G215" s="137"/>
      <c r="H215" s="52"/>
      <c r="I215" s="52"/>
      <c r="J215" s="52"/>
      <c r="K215" s="137"/>
      <c r="L215" s="53"/>
      <c r="M215" s="53"/>
      <c r="N215" s="53"/>
      <c r="O215" s="53"/>
      <c r="P215" s="53"/>
      <c r="Q215" s="53"/>
      <c r="R215" s="53"/>
      <c r="S215" s="137"/>
      <c r="T215" s="137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</row>
    <row r="216" ht="12.75" customHeight="1">
      <c r="A216" s="137"/>
      <c r="B216" s="137"/>
      <c r="C216" s="137"/>
      <c r="D216" s="137"/>
      <c r="E216" s="137"/>
      <c r="F216" s="137"/>
      <c r="G216" s="137"/>
      <c r="H216" s="52"/>
      <c r="I216" s="52"/>
      <c r="J216" s="52"/>
      <c r="K216" s="137"/>
      <c r="L216" s="53"/>
      <c r="M216" s="53"/>
      <c r="N216" s="53"/>
      <c r="O216" s="53"/>
      <c r="P216" s="53"/>
      <c r="Q216" s="53"/>
      <c r="R216" s="53"/>
      <c r="S216" s="137"/>
      <c r="T216" s="137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</row>
    <row r="217" ht="12.75" customHeight="1">
      <c r="A217" s="137"/>
      <c r="B217" s="137"/>
      <c r="C217" s="137"/>
      <c r="D217" s="137"/>
      <c r="E217" s="137"/>
      <c r="F217" s="137"/>
      <c r="G217" s="137"/>
      <c r="H217" s="52"/>
      <c r="I217" s="52"/>
      <c r="J217" s="52"/>
      <c r="K217" s="137"/>
      <c r="L217" s="53"/>
      <c r="M217" s="53"/>
      <c r="N217" s="53"/>
      <c r="O217" s="53"/>
      <c r="P217" s="53"/>
      <c r="Q217" s="53"/>
      <c r="R217" s="53"/>
      <c r="S217" s="137"/>
      <c r="T217" s="137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</row>
    <row r="218" ht="12.75" customHeight="1">
      <c r="A218" s="137"/>
      <c r="B218" s="137"/>
      <c r="C218" s="137"/>
      <c r="D218" s="137"/>
      <c r="E218" s="137"/>
      <c r="F218" s="137"/>
      <c r="G218" s="137"/>
      <c r="H218" s="52"/>
      <c r="I218" s="52"/>
      <c r="J218" s="52"/>
      <c r="K218" s="137"/>
      <c r="L218" s="53"/>
      <c r="M218" s="53"/>
      <c r="N218" s="53"/>
      <c r="O218" s="53"/>
      <c r="P218" s="53"/>
      <c r="Q218" s="53"/>
      <c r="R218" s="53"/>
      <c r="S218" s="137"/>
      <c r="T218" s="137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</row>
    <row r="219" ht="12.75" customHeight="1">
      <c r="A219" s="137"/>
      <c r="B219" s="137"/>
      <c r="C219" s="137"/>
      <c r="D219" s="137"/>
      <c r="E219" s="137"/>
      <c r="F219" s="137"/>
      <c r="G219" s="137"/>
      <c r="H219" s="52"/>
      <c r="I219" s="52"/>
      <c r="J219" s="52"/>
      <c r="K219" s="137"/>
      <c r="L219" s="53"/>
      <c r="M219" s="53"/>
      <c r="N219" s="53"/>
      <c r="O219" s="53"/>
      <c r="P219" s="53"/>
      <c r="Q219" s="53"/>
      <c r="R219" s="53"/>
      <c r="S219" s="137"/>
      <c r="T219" s="137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</row>
    <row r="220" ht="12.75" customHeight="1">
      <c r="A220" s="137"/>
      <c r="B220" s="137"/>
      <c r="C220" s="137"/>
      <c r="D220" s="137"/>
      <c r="E220" s="137"/>
      <c r="F220" s="137"/>
      <c r="G220" s="137"/>
      <c r="H220" s="52"/>
      <c r="I220" s="52"/>
      <c r="J220" s="52"/>
      <c r="K220" s="137"/>
      <c r="L220" s="53"/>
      <c r="M220" s="53"/>
      <c r="N220" s="53"/>
      <c r="O220" s="53"/>
      <c r="P220" s="53"/>
      <c r="Q220" s="53"/>
      <c r="R220" s="53"/>
      <c r="S220" s="137"/>
      <c r="T220" s="137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</row>
    <row r="221" ht="12.75" customHeight="1">
      <c r="A221" s="137"/>
      <c r="B221" s="137"/>
      <c r="C221" s="137"/>
      <c r="D221" s="137"/>
      <c r="E221" s="137"/>
      <c r="F221" s="137"/>
      <c r="G221" s="137"/>
      <c r="H221" s="52"/>
      <c r="I221" s="52"/>
      <c r="J221" s="52"/>
      <c r="K221" s="137"/>
      <c r="L221" s="53"/>
      <c r="M221" s="53"/>
      <c r="N221" s="53"/>
      <c r="O221" s="53"/>
      <c r="P221" s="53"/>
      <c r="Q221" s="53"/>
      <c r="R221" s="53"/>
      <c r="S221" s="137"/>
      <c r="T221" s="137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</row>
    <row r="222" ht="12.75" customHeight="1">
      <c r="A222" s="137"/>
      <c r="B222" s="137"/>
      <c r="C222" s="137"/>
      <c r="D222" s="137"/>
      <c r="E222" s="137"/>
      <c r="F222" s="137"/>
      <c r="G222" s="137"/>
      <c r="H222" s="52"/>
      <c r="I222" s="52"/>
      <c r="J222" s="52"/>
      <c r="K222" s="137"/>
      <c r="L222" s="53"/>
      <c r="M222" s="53"/>
      <c r="N222" s="53"/>
      <c r="O222" s="53"/>
      <c r="P222" s="53"/>
      <c r="Q222" s="53"/>
      <c r="R222" s="53"/>
      <c r="S222" s="137"/>
      <c r="T222" s="137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</row>
    <row r="223" ht="12.75" customHeight="1">
      <c r="A223" s="137"/>
      <c r="B223" s="137"/>
      <c r="C223" s="137"/>
      <c r="D223" s="137"/>
      <c r="E223" s="137"/>
      <c r="F223" s="137"/>
      <c r="G223" s="137"/>
      <c r="H223" s="52"/>
      <c r="I223" s="52"/>
      <c r="J223" s="52"/>
      <c r="K223" s="137"/>
      <c r="L223" s="53"/>
      <c r="M223" s="53"/>
      <c r="N223" s="53"/>
      <c r="O223" s="53"/>
      <c r="P223" s="53"/>
      <c r="Q223" s="53"/>
      <c r="R223" s="53"/>
      <c r="S223" s="137"/>
      <c r="T223" s="137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</row>
    <row r="224" ht="12.75" customHeight="1">
      <c r="A224" s="137"/>
      <c r="B224" s="137"/>
      <c r="C224" s="137"/>
      <c r="D224" s="137"/>
      <c r="E224" s="137"/>
      <c r="F224" s="137"/>
      <c r="G224" s="137"/>
      <c r="H224" s="52"/>
      <c r="I224" s="52"/>
      <c r="J224" s="52"/>
      <c r="K224" s="137"/>
      <c r="L224" s="53"/>
      <c r="M224" s="53"/>
      <c r="N224" s="53"/>
      <c r="O224" s="53"/>
      <c r="P224" s="53"/>
      <c r="Q224" s="53"/>
      <c r="R224" s="53"/>
      <c r="S224" s="137"/>
      <c r="T224" s="137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</row>
    <row r="225" ht="12.75" customHeight="1">
      <c r="A225" s="137"/>
      <c r="B225" s="137"/>
      <c r="C225" s="137"/>
      <c r="D225" s="137"/>
      <c r="E225" s="137"/>
      <c r="F225" s="137"/>
      <c r="G225" s="137"/>
      <c r="H225" s="52"/>
      <c r="I225" s="52"/>
      <c r="J225" s="52"/>
      <c r="K225" s="137"/>
      <c r="L225" s="53"/>
      <c r="M225" s="53"/>
      <c r="N225" s="53"/>
      <c r="O225" s="53"/>
      <c r="P225" s="53"/>
      <c r="Q225" s="53"/>
      <c r="R225" s="53"/>
      <c r="S225" s="137"/>
      <c r="T225" s="137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</row>
    <row r="226" ht="12.75" customHeight="1">
      <c r="A226" s="137"/>
      <c r="B226" s="137"/>
      <c r="C226" s="137"/>
      <c r="D226" s="137"/>
      <c r="E226" s="137"/>
      <c r="F226" s="137"/>
      <c r="G226" s="137"/>
      <c r="H226" s="52"/>
      <c r="I226" s="52"/>
      <c r="J226" s="52"/>
      <c r="K226" s="137"/>
      <c r="L226" s="53"/>
      <c r="M226" s="53"/>
      <c r="N226" s="53"/>
      <c r="O226" s="53"/>
      <c r="P226" s="53"/>
      <c r="Q226" s="53"/>
      <c r="R226" s="53"/>
      <c r="S226" s="137"/>
      <c r="T226" s="137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</row>
    <row r="227" ht="12.75" customHeight="1">
      <c r="A227" s="137"/>
      <c r="B227" s="137"/>
      <c r="C227" s="137"/>
      <c r="D227" s="137"/>
      <c r="E227" s="137"/>
      <c r="F227" s="137"/>
      <c r="G227" s="137"/>
      <c r="H227" s="52"/>
      <c r="I227" s="52"/>
      <c r="J227" s="52"/>
      <c r="K227" s="137"/>
      <c r="L227" s="53"/>
      <c r="M227" s="53"/>
      <c r="N227" s="53"/>
      <c r="O227" s="53"/>
      <c r="P227" s="53"/>
      <c r="Q227" s="53"/>
      <c r="R227" s="53"/>
      <c r="S227" s="137"/>
      <c r="T227" s="137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</row>
    <row r="228" ht="12.75" customHeight="1">
      <c r="A228" s="137"/>
      <c r="B228" s="137"/>
      <c r="C228" s="137"/>
      <c r="D228" s="137"/>
      <c r="E228" s="137"/>
      <c r="F228" s="137"/>
      <c r="G228" s="137"/>
      <c r="H228" s="52"/>
      <c r="I228" s="52"/>
      <c r="J228" s="52"/>
      <c r="K228" s="137"/>
      <c r="L228" s="53"/>
      <c r="M228" s="53"/>
      <c r="N228" s="53"/>
      <c r="O228" s="53"/>
      <c r="P228" s="53"/>
      <c r="Q228" s="53"/>
      <c r="R228" s="53"/>
      <c r="S228" s="137"/>
      <c r="T228" s="137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</row>
    <row r="229" ht="12.75" customHeight="1">
      <c r="A229" s="137"/>
      <c r="B229" s="137"/>
      <c r="C229" s="137"/>
      <c r="D229" s="137"/>
      <c r="E229" s="137"/>
      <c r="F229" s="137"/>
      <c r="G229" s="137"/>
      <c r="H229" s="52"/>
      <c r="I229" s="52"/>
      <c r="J229" s="52"/>
      <c r="K229" s="137"/>
      <c r="L229" s="53"/>
      <c r="M229" s="53"/>
      <c r="N229" s="53"/>
      <c r="O229" s="53"/>
      <c r="P229" s="53"/>
      <c r="Q229" s="53"/>
      <c r="R229" s="53"/>
      <c r="S229" s="137"/>
      <c r="T229" s="137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</row>
    <row r="230" ht="12.75" customHeight="1">
      <c r="A230" s="137"/>
      <c r="B230" s="137"/>
      <c r="C230" s="137"/>
      <c r="D230" s="137"/>
      <c r="E230" s="137"/>
      <c r="F230" s="137"/>
      <c r="G230" s="137"/>
      <c r="H230" s="52"/>
      <c r="I230" s="52"/>
      <c r="J230" s="52"/>
      <c r="K230" s="137"/>
      <c r="L230" s="53"/>
      <c r="M230" s="53"/>
      <c r="N230" s="53"/>
      <c r="O230" s="53"/>
      <c r="P230" s="53"/>
      <c r="Q230" s="53"/>
      <c r="R230" s="53"/>
      <c r="S230" s="137"/>
      <c r="T230" s="137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</row>
    <row r="231" ht="12.75" customHeight="1">
      <c r="A231" s="137"/>
      <c r="B231" s="137"/>
      <c r="C231" s="137"/>
      <c r="D231" s="137"/>
      <c r="E231" s="137"/>
      <c r="F231" s="137"/>
      <c r="G231" s="137"/>
      <c r="H231" s="52"/>
      <c r="I231" s="52"/>
      <c r="J231" s="52"/>
      <c r="K231" s="137"/>
      <c r="L231" s="53"/>
      <c r="M231" s="53"/>
      <c r="N231" s="53"/>
      <c r="O231" s="53"/>
      <c r="P231" s="53"/>
      <c r="Q231" s="53"/>
      <c r="R231" s="53"/>
      <c r="S231" s="137"/>
      <c r="T231" s="137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</row>
    <row r="232" ht="12.75" customHeight="1">
      <c r="A232" s="137"/>
      <c r="B232" s="137"/>
      <c r="C232" s="137"/>
      <c r="D232" s="137"/>
      <c r="E232" s="137"/>
      <c r="F232" s="137"/>
      <c r="G232" s="137"/>
      <c r="H232" s="52"/>
      <c r="I232" s="52"/>
      <c r="J232" s="52"/>
      <c r="K232" s="137"/>
      <c r="L232" s="53"/>
      <c r="M232" s="53"/>
      <c r="N232" s="53"/>
      <c r="O232" s="53"/>
      <c r="P232" s="53"/>
      <c r="Q232" s="53"/>
      <c r="R232" s="53"/>
      <c r="S232" s="137"/>
      <c r="T232" s="137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</row>
    <row r="233" ht="12.75" customHeight="1">
      <c r="A233" s="137"/>
      <c r="B233" s="137"/>
      <c r="C233" s="137"/>
      <c r="D233" s="137"/>
      <c r="E233" s="137"/>
      <c r="F233" s="137"/>
      <c r="G233" s="137"/>
      <c r="H233" s="52"/>
      <c r="I233" s="52"/>
      <c r="J233" s="52"/>
      <c r="K233" s="137"/>
      <c r="L233" s="53"/>
      <c r="M233" s="53"/>
      <c r="N233" s="53"/>
      <c r="O233" s="53"/>
      <c r="P233" s="53"/>
      <c r="Q233" s="53"/>
      <c r="R233" s="53"/>
      <c r="S233" s="137"/>
      <c r="T233" s="137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</row>
    <row r="234" ht="12.75" customHeight="1">
      <c r="A234" s="137"/>
      <c r="B234" s="137"/>
      <c r="C234" s="137"/>
      <c r="D234" s="137"/>
      <c r="E234" s="137"/>
      <c r="F234" s="137"/>
      <c r="G234" s="137"/>
      <c r="H234" s="52"/>
      <c r="I234" s="52"/>
      <c r="J234" s="52"/>
      <c r="K234" s="137"/>
      <c r="L234" s="53"/>
      <c r="M234" s="53"/>
      <c r="N234" s="53"/>
      <c r="O234" s="53"/>
      <c r="P234" s="53"/>
      <c r="Q234" s="53"/>
      <c r="R234" s="53"/>
      <c r="S234" s="137"/>
      <c r="T234" s="137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</row>
    <row r="235" ht="12.75" customHeight="1">
      <c r="A235" s="137"/>
      <c r="B235" s="137"/>
      <c r="C235" s="137"/>
      <c r="D235" s="137"/>
      <c r="E235" s="137"/>
      <c r="F235" s="137"/>
      <c r="G235" s="137"/>
      <c r="H235" s="52"/>
      <c r="I235" s="52"/>
      <c r="J235" s="52"/>
      <c r="K235" s="137"/>
      <c r="L235" s="53"/>
      <c r="M235" s="53"/>
      <c r="N235" s="53"/>
      <c r="O235" s="53"/>
      <c r="P235" s="53"/>
      <c r="Q235" s="53"/>
      <c r="R235" s="53"/>
      <c r="S235" s="137"/>
      <c r="T235" s="137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</row>
    <row r="236" ht="12.75" customHeight="1">
      <c r="A236" s="137"/>
      <c r="B236" s="137"/>
      <c r="C236" s="137"/>
      <c r="D236" s="137"/>
      <c r="E236" s="137"/>
      <c r="F236" s="137"/>
      <c r="G236" s="137"/>
      <c r="H236" s="52"/>
      <c r="I236" s="52"/>
      <c r="J236" s="52"/>
      <c r="K236" s="137"/>
      <c r="L236" s="53"/>
      <c r="M236" s="53"/>
      <c r="N236" s="53"/>
      <c r="O236" s="53"/>
      <c r="P236" s="53"/>
      <c r="Q236" s="53"/>
      <c r="R236" s="53"/>
      <c r="S236" s="137"/>
      <c r="T236" s="137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</row>
    <row r="237" ht="12.75" customHeight="1">
      <c r="A237" s="137"/>
      <c r="B237" s="137"/>
      <c r="C237" s="137"/>
      <c r="D237" s="137"/>
      <c r="E237" s="137"/>
      <c r="F237" s="137"/>
      <c r="G237" s="137"/>
      <c r="H237" s="52"/>
      <c r="I237" s="52"/>
      <c r="J237" s="52"/>
      <c r="K237" s="137"/>
      <c r="L237" s="53"/>
      <c r="M237" s="53"/>
      <c r="N237" s="53"/>
      <c r="O237" s="53"/>
      <c r="P237" s="53"/>
      <c r="Q237" s="53"/>
      <c r="R237" s="53"/>
      <c r="S237" s="137"/>
      <c r="T237" s="137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</row>
    <row r="238" ht="12.75" customHeight="1">
      <c r="A238" s="137"/>
      <c r="B238" s="137"/>
      <c r="C238" s="137"/>
      <c r="D238" s="137"/>
      <c r="E238" s="137"/>
      <c r="F238" s="137"/>
      <c r="G238" s="137"/>
      <c r="H238" s="52"/>
      <c r="I238" s="52"/>
      <c r="J238" s="52"/>
      <c r="K238" s="137"/>
      <c r="L238" s="53"/>
      <c r="M238" s="53"/>
      <c r="N238" s="53"/>
      <c r="O238" s="53"/>
      <c r="P238" s="53"/>
      <c r="Q238" s="53"/>
      <c r="R238" s="53"/>
      <c r="S238" s="137"/>
      <c r="T238" s="137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</row>
    <row r="239" ht="12.75" customHeight="1">
      <c r="A239" s="137"/>
      <c r="B239" s="137"/>
      <c r="C239" s="137"/>
      <c r="D239" s="137"/>
      <c r="E239" s="137"/>
      <c r="F239" s="137"/>
      <c r="G239" s="137"/>
      <c r="H239" s="52"/>
      <c r="I239" s="52"/>
      <c r="J239" s="52"/>
      <c r="K239" s="137"/>
      <c r="L239" s="53"/>
      <c r="M239" s="53"/>
      <c r="N239" s="53"/>
      <c r="O239" s="53"/>
      <c r="P239" s="53"/>
      <c r="Q239" s="53"/>
      <c r="R239" s="53"/>
      <c r="S239" s="137"/>
      <c r="T239" s="137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</row>
    <row r="240" ht="12.75" customHeight="1">
      <c r="A240" s="137"/>
      <c r="B240" s="137"/>
      <c r="C240" s="137"/>
      <c r="D240" s="137"/>
      <c r="E240" s="137"/>
      <c r="F240" s="137"/>
      <c r="G240" s="137"/>
      <c r="H240" s="52"/>
      <c r="I240" s="52"/>
      <c r="J240" s="52"/>
      <c r="K240" s="137"/>
      <c r="L240" s="53"/>
      <c r="M240" s="53"/>
      <c r="N240" s="53"/>
      <c r="O240" s="53"/>
      <c r="P240" s="53"/>
      <c r="Q240" s="53"/>
      <c r="R240" s="53"/>
      <c r="S240" s="137"/>
      <c r="T240" s="137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</row>
    <row r="241" ht="12.75" customHeight="1">
      <c r="A241" s="137"/>
      <c r="B241" s="137"/>
      <c r="C241" s="137"/>
      <c r="D241" s="137"/>
      <c r="E241" s="137"/>
      <c r="F241" s="137"/>
      <c r="G241" s="137"/>
      <c r="H241" s="52"/>
      <c r="I241" s="52"/>
      <c r="J241" s="52"/>
      <c r="K241" s="137"/>
      <c r="L241" s="53"/>
      <c r="M241" s="53"/>
      <c r="N241" s="53"/>
      <c r="O241" s="53"/>
      <c r="P241" s="53"/>
      <c r="Q241" s="53"/>
      <c r="R241" s="53"/>
      <c r="S241" s="137"/>
      <c r="T241" s="137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</row>
    <row r="242" ht="12.75" customHeight="1">
      <c r="A242" s="137"/>
      <c r="B242" s="137"/>
      <c r="C242" s="137"/>
      <c r="D242" s="137"/>
      <c r="E242" s="137"/>
      <c r="F242" s="137"/>
      <c r="G242" s="137"/>
      <c r="H242" s="52"/>
      <c r="I242" s="52"/>
      <c r="J242" s="52"/>
      <c r="K242" s="137"/>
      <c r="L242" s="53"/>
      <c r="M242" s="53"/>
      <c r="N242" s="53"/>
      <c r="O242" s="53"/>
      <c r="P242" s="53"/>
      <c r="Q242" s="53"/>
      <c r="R242" s="53"/>
      <c r="S242" s="137"/>
      <c r="T242" s="137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</row>
    <row r="243" ht="12.75" customHeight="1">
      <c r="A243" s="137"/>
      <c r="B243" s="137"/>
      <c r="C243" s="137"/>
      <c r="D243" s="137"/>
      <c r="E243" s="137"/>
      <c r="F243" s="137"/>
      <c r="G243" s="137"/>
      <c r="H243" s="52"/>
      <c r="I243" s="52"/>
      <c r="J243" s="52"/>
      <c r="K243" s="137"/>
      <c r="L243" s="53"/>
      <c r="M243" s="53"/>
      <c r="N243" s="53"/>
      <c r="O243" s="53"/>
      <c r="P243" s="53"/>
      <c r="Q243" s="53"/>
      <c r="R243" s="53"/>
      <c r="S243" s="137"/>
      <c r="T243" s="137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</row>
    <row r="244" ht="12.75" customHeight="1">
      <c r="A244" s="137"/>
      <c r="B244" s="137"/>
      <c r="C244" s="137"/>
      <c r="D244" s="137"/>
      <c r="E244" s="137"/>
      <c r="F244" s="137"/>
      <c r="G244" s="137"/>
      <c r="H244" s="52"/>
      <c r="I244" s="52"/>
      <c r="J244" s="52"/>
      <c r="K244" s="137"/>
      <c r="L244" s="53"/>
      <c r="M244" s="53"/>
      <c r="N244" s="53"/>
      <c r="O244" s="53"/>
      <c r="P244" s="53"/>
      <c r="Q244" s="53"/>
      <c r="R244" s="53"/>
      <c r="S244" s="137"/>
      <c r="T244" s="137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</row>
    <row r="245" ht="12.75" customHeight="1">
      <c r="A245" s="137"/>
      <c r="B245" s="137"/>
      <c r="C245" s="137"/>
      <c r="D245" s="137"/>
      <c r="E245" s="137"/>
      <c r="F245" s="137"/>
      <c r="G245" s="137"/>
      <c r="H245" s="52"/>
      <c r="I245" s="52"/>
      <c r="J245" s="52"/>
      <c r="K245" s="137"/>
      <c r="L245" s="53"/>
      <c r="M245" s="53"/>
      <c r="N245" s="53"/>
      <c r="O245" s="53"/>
      <c r="P245" s="53"/>
      <c r="Q245" s="53"/>
      <c r="R245" s="53"/>
      <c r="S245" s="137"/>
      <c r="T245" s="137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</row>
    <row r="246" ht="12.75" customHeight="1">
      <c r="A246" s="137"/>
      <c r="B246" s="137"/>
      <c r="C246" s="137"/>
      <c r="D246" s="137"/>
      <c r="E246" s="137"/>
      <c r="F246" s="137"/>
      <c r="G246" s="137"/>
      <c r="H246" s="52"/>
      <c r="I246" s="52"/>
      <c r="J246" s="52"/>
      <c r="K246" s="137"/>
      <c r="L246" s="53"/>
      <c r="M246" s="53"/>
      <c r="N246" s="53"/>
      <c r="O246" s="53"/>
      <c r="P246" s="53"/>
      <c r="Q246" s="53"/>
      <c r="R246" s="53"/>
      <c r="S246" s="137"/>
      <c r="T246" s="137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</row>
    <row r="247" ht="12.75" customHeight="1">
      <c r="A247" s="137"/>
      <c r="B247" s="137"/>
      <c r="C247" s="137"/>
      <c r="D247" s="137"/>
      <c r="E247" s="137"/>
      <c r="F247" s="137"/>
      <c r="G247" s="137"/>
      <c r="H247" s="52"/>
      <c r="I247" s="52"/>
      <c r="J247" s="52"/>
      <c r="K247" s="137"/>
      <c r="L247" s="53"/>
      <c r="M247" s="53"/>
      <c r="N247" s="53"/>
      <c r="O247" s="53"/>
      <c r="P247" s="53"/>
      <c r="Q247" s="53"/>
      <c r="R247" s="53"/>
      <c r="S247" s="137"/>
      <c r="T247" s="137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</row>
    <row r="248" ht="12.75" customHeight="1">
      <c r="A248" s="137"/>
      <c r="B248" s="137"/>
      <c r="C248" s="137"/>
      <c r="D248" s="137"/>
      <c r="E248" s="137"/>
      <c r="F248" s="137"/>
      <c r="G248" s="137"/>
      <c r="H248" s="52"/>
      <c r="I248" s="52"/>
      <c r="J248" s="52"/>
      <c r="K248" s="137"/>
      <c r="L248" s="53"/>
      <c r="M248" s="53"/>
      <c r="N248" s="53"/>
      <c r="O248" s="53"/>
      <c r="P248" s="53"/>
      <c r="Q248" s="53"/>
      <c r="R248" s="53"/>
      <c r="S248" s="137"/>
      <c r="T248" s="137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</row>
    <row r="249" ht="12.75" customHeight="1">
      <c r="A249" s="137"/>
      <c r="B249" s="137"/>
      <c r="C249" s="137"/>
      <c r="D249" s="137"/>
      <c r="E249" s="137"/>
      <c r="F249" s="137"/>
      <c r="G249" s="137"/>
      <c r="H249" s="52"/>
      <c r="I249" s="52"/>
      <c r="J249" s="52"/>
      <c r="K249" s="137"/>
      <c r="L249" s="53"/>
      <c r="M249" s="53"/>
      <c r="N249" s="53"/>
      <c r="O249" s="53"/>
      <c r="P249" s="53"/>
      <c r="Q249" s="53"/>
      <c r="R249" s="53"/>
      <c r="S249" s="137"/>
      <c r="T249" s="137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</row>
    <row r="250" ht="12.75" customHeight="1">
      <c r="A250" s="137"/>
      <c r="B250" s="137"/>
      <c r="C250" s="137"/>
      <c r="D250" s="137"/>
      <c r="E250" s="137"/>
      <c r="F250" s="137"/>
      <c r="G250" s="137"/>
      <c r="H250" s="52"/>
      <c r="I250" s="52"/>
      <c r="J250" s="52"/>
      <c r="K250" s="137"/>
      <c r="L250" s="53"/>
      <c r="M250" s="53"/>
      <c r="N250" s="53"/>
      <c r="O250" s="53"/>
      <c r="P250" s="53"/>
      <c r="Q250" s="53"/>
      <c r="R250" s="53"/>
      <c r="S250" s="137"/>
      <c r="T250" s="137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</row>
    <row r="251" ht="12.75" customHeight="1">
      <c r="A251" s="137"/>
      <c r="B251" s="137"/>
      <c r="C251" s="137"/>
      <c r="D251" s="137"/>
      <c r="E251" s="137"/>
      <c r="F251" s="137"/>
      <c r="G251" s="137"/>
      <c r="H251" s="52"/>
      <c r="I251" s="52"/>
      <c r="J251" s="52"/>
      <c r="K251" s="137"/>
      <c r="L251" s="53"/>
      <c r="M251" s="53"/>
      <c r="N251" s="53"/>
      <c r="O251" s="53"/>
      <c r="P251" s="53"/>
      <c r="Q251" s="53"/>
      <c r="R251" s="53"/>
      <c r="S251" s="137"/>
      <c r="T251" s="137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</row>
    <row r="252" ht="12.75" customHeight="1">
      <c r="A252" s="137"/>
      <c r="B252" s="137"/>
      <c r="C252" s="137"/>
      <c r="D252" s="137"/>
      <c r="E252" s="137"/>
      <c r="F252" s="137"/>
      <c r="G252" s="137"/>
      <c r="H252" s="52"/>
      <c r="I252" s="52"/>
      <c r="J252" s="52"/>
      <c r="K252" s="137"/>
      <c r="L252" s="53"/>
      <c r="M252" s="53"/>
      <c r="N252" s="53"/>
      <c r="O252" s="53"/>
      <c r="P252" s="53"/>
      <c r="Q252" s="53"/>
      <c r="R252" s="53"/>
      <c r="S252" s="137"/>
      <c r="T252" s="137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</row>
    <row r="253" ht="12.75" customHeight="1">
      <c r="A253" s="137"/>
      <c r="B253" s="137"/>
      <c r="C253" s="137"/>
      <c r="D253" s="137"/>
      <c r="E253" s="137"/>
      <c r="F253" s="137"/>
      <c r="G253" s="137"/>
      <c r="H253" s="52"/>
      <c r="I253" s="52"/>
      <c r="J253" s="52"/>
      <c r="K253" s="137"/>
      <c r="L253" s="53"/>
      <c r="M253" s="53"/>
      <c r="N253" s="53"/>
      <c r="O253" s="53"/>
      <c r="P253" s="53"/>
      <c r="Q253" s="53"/>
      <c r="R253" s="53"/>
      <c r="S253" s="137"/>
      <c r="T253" s="137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</row>
    <row r="254" ht="12.75" customHeight="1">
      <c r="A254" s="137"/>
      <c r="B254" s="137"/>
      <c r="C254" s="137"/>
      <c r="D254" s="137"/>
      <c r="E254" s="137"/>
      <c r="F254" s="137"/>
      <c r="G254" s="137"/>
      <c r="H254" s="52"/>
      <c r="I254" s="52"/>
      <c r="J254" s="52"/>
      <c r="K254" s="137"/>
      <c r="L254" s="53"/>
      <c r="M254" s="53"/>
      <c r="N254" s="53"/>
      <c r="O254" s="53"/>
      <c r="P254" s="53"/>
      <c r="Q254" s="53"/>
      <c r="R254" s="53"/>
      <c r="S254" s="137"/>
      <c r="T254" s="137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</row>
    <row r="255" ht="12.75" customHeight="1">
      <c r="A255" s="137"/>
      <c r="B255" s="137"/>
      <c r="C255" s="137"/>
      <c r="D255" s="137"/>
      <c r="E255" s="137"/>
      <c r="F255" s="137"/>
      <c r="G255" s="137"/>
      <c r="H255" s="52"/>
      <c r="I255" s="52"/>
      <c r="J255" s="52"/>
      <c r="K255" s="137"/>
      <c r="L255" s="53"/>
      <c r="M255" s="53"/>
      <c r="N255" s="53"/>
      <c r="O255" s="53"/>
      <c r="P255" s="53"/>
      <c r="Q255" s="53"/>
      <c r="R255" s="53"/>
      <c r="S255" s="137"/>
      <c r="T255" s="137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</row>
    <row r="256" ht="12.75" customHeight="1">
      <c r="A256" s="137"/>
      <c r="B256" s="137"/>
      <c r="C256" s="137"/>
      <c r="D256" s="137"/>
      <c r="E256" s="137"/>
      <c r="F256" s="137"/>
      <c r="G256" s="137"/>
      <c r="H256" s="52"/>
      <c r="I256" s="52"/>
      <c r="J256" s="52"/>
      <c r="K256" s="137"/>
      <c r="L256" s="53"/>
      <c r="M256" s="53"/>
      <c r="N256" s="53"/>
      <c r="O256" s="53"/>
      <c r="P256" s="53"/>
      <c r="Q256" s="53"/>
      <c r="R256" s="53"/>
      <c r="S256" s="137"/>
      <c r="T256" s="137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</row>
    <row r="257" ht="12.75" customHeight="1">
      <c r="A257" s="137"/>
      <c r="B257" s="137"/>
      <c r="C257" s="137"/>
      <c r="D257" s="137"/>
      <c r="E257" s="137"/>
      <c r="F257" s="137"/>
      <c r="G257" s="137"/>
      <c r="H257" s="52"/>
      <c r="I257" s="52"/>
      <c r="J257" s="52"/>
      <c r="K257" s="137"/>
      <c r="L257" s="53"/>
      <c r="M257" s="53"/>
      <c r="N257" s="53"/>
      <c r="O257" s="53"/>
      <c r="P257" s="53"/>
      <c r="Q257" s="53"/>
      <c r="R257" s="53"/>
      <c r="S257" s="137"/>
      <c r="T257" s="137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</row>
    <row r="258" ht="12.75" customHeight="1">
      <c r="A258" s="137"/>
      <c r="B258" s="137"/>
      <c r="C258" s="137"/>
      <c r="D258" s="137"/>
      <c r="E258" s="137"/>
      <c r="F258" s="137"/>
      <c r="G258" s="137"/>
      <c r="H258" s="52"/>
      <c r="I258" s="52"/>
      <c r="J258" s="52"/>
      <c r="K258" s="137"/>
      <c r="L258" s="53"/>
      <c r="M258" s="53"/>
      <c r="N258" s="53"/>
      <c r="O258" s="53"/>
      <c r="P258" s="53"/>
      <c r="Q258" s="53"/>
      <c r="R258" s="53"/>
      <c r="S258" s="137"/>
      <c r="T258" s="137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</row>
    <row r="259" ht="12.75" customHeight="1">
      <c r="A259" s="137"/>
      <c r="B259" s="137"/>
      <c r="C259" s="137"/>
      <c r="D259" s="137"/>
      <c r="E259" s="137"/>
      <c r="F259" s="137"/>
      <c r="G259" s="137"/>
      <c r="H259" s="52"/>
      <c r="I259" s="52"/>
      <c r="J259" s="52"/>
      <c r="K259" s="137"/>
      <c r="L259" s="53"/>
      <c r="M259" s="53"/>
      <c r="N259" s="53"/>
      <c r="O259" s="53"/>
      <c r="P259" s="53"/>
      <c r="Q259" s="53"/>
      <c r="R259" s="53"/>
      <c r="S259" s="137"/>
      <c r="T259" s="137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</row>
    <row r="260" ht="12.75" customHeight="1">
      <c r="A260" s="137"/>
      <c r="B260" s="137"/>
      <c r="C260" s="137"/>
      <c r="D260" s="137"/>
      <c r="E260" s="137"/>
      <c r="F260" s="137"/>
      <c r="G260" s="137"/>
      <c r="H260" s="52"/>
      <c r="I260" s="52"/>
      <c r="J260" s="52"/>
      <c r="K260" s="137"/>
      <c r="L260" s="53"/>
      <c r="M260" s="53"/>
      <c r="N260" s="53"/>
      <c r="O260" s="53"/>
      <c r="P260" s="53"/>
      <c r="Q260" s="53"/>
      <c r="R260" s="53"/>
      <c r="S260" s="137"/>
      <c r="T260" s="137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</row>
    <row r="261" ht="12.75" customHeight="1">
      <c r="A261" s="137"/>
      <c r="B261" s="137"/>
      <c r="C261" s="137"/>
      <c r="D261" s="137"/>
      <c r="E261" s="137"/>
      <c r="F261" s="137"/>
      <c r="G261" s="137"/>
      <c r="H261" s="52"/>
      <c r="I261" s="52"/>
      <c r="J261" s="52"/>
      <c r="K261" s="137"/>
      <c r="L261" s="53"/>
      <c r="M261" s="53"/>
      <c r="N261" s="53"/>
      <c r="O261" s="53"/>
      <c r="P261" s="53"/>
      <c r="Q261" s="53"/>
      <c r="R261" s="53"/>
      <c r="S261" s="137"/>
      <c r="T261" s="137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</row>
    <row r="262" ht="12.75" customHeight="1">
      <c r="A262" s="137"/>
      <c r="B262" s="137"/>
      <c r="C262" s="137"/>
      <c r="D262" s="137"/>
      <c r="E262" s="137"/>
      <c r="F262" s="137"/>
      <c r="G262" s="137"/>
      <c r="H262" s="52"/>
      <c r="I262" s="52"/>
      <c r="J262" s="52"/>
      <c r="K262" s="137"/>
      <c r="L262" s="53"/>
      <c r="M262" s="53"/>
      <c r="N262" s="53"/>
      <c r="O262" s="53"/>
      <c r="P262" s="53"/>
      <c r="Q262" s="53"/>
      <c r="R262" s="53"/>
      <c r="S262" s="137"/>
      <c r="T262" s="137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</row>
    <row r="263" ht="12.75" customHeight="1">
      <c r="A263" s="137"/>
      <c r="B263" s="137"/>
      <c r="C263" s="137"/>
      <c r="D263" s="137"/>
      <c r="E263" s="137"/>
      <c r="F263" s="137"/>
      <c r="G263" s="137"/>
      <c r="H263" s="52"/>
      <c r="I263" s="52"/>
      <c r="J263" s="52"/>
      <c r="K263" s="137"/>
      <c r="L263" s="53"/>
      <c r="M263" s="53"/>
      <c r="N263" s="53"/>
      <c r="O263" s="53"/>
      <c r="P263" s="53"/>
      <c r="Q263" s="53"/>
      <c r="R263" s="53"/>
      <c r="S263" s="137"/>
      <c r="T263" s="137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</row>
    <row r="264" ht="12.75" customHeight="1">
      <c r="A264" s="137"/>
      <c r="B264" s="137"/>
      <c r="C264" s="137"/>
      <c r="D264" s="137"/>
      <c r="E264" s="137"/>
      <c r="F264" s="137"/>
      <c r="G264" s="137"/>
      <c r="H264" s="52"/>
      <c r="I264" s="52"/>
      <c r="J264" s="52"/>
      <c r="K264" s="137"/>
      <c r="L264" s="53"/>
      <c r="M264" s="53"/>
      <c r="N264" s="53"/>
      <c r="O264" s="53"/>
      <c r="P264" s="53"/>
      <c r="Q264" s="53"/>
      <c r="R264" s="53"/>
      <c r="S264" s="137"/>
      <c r="T264" s="137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</row>
    <row r="265" ht="12.75" customHeight="1">
      <c r="A265" s="137"/>
      <c r="B265" s="137"/>
      <c r="C265" s="137"/>
      <c r="D265" s="137"/>
      <c r="E265" s="137"/>
      <c r="F265" s="137"/>
      <c r="G265" s="137"/>
      <c r="H265" s="52"/>
      <c r="I265" s="52"/>
      <c r="J265" s="52"/>
      <c r="K265" s="137"/>
      <c r="L265" s="53"/>
      <c r="M265" s="53"/>
      <c r="N265" s="53"/>
      <c r="O265" s="53"/>
      <c r="P265" s="53"/>
      <c r="Q265" s="53"/>
      <c r="R265" s="53"/>
      <c r="S265" s="137"/>
      <c r="T265" s="137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</row>
    <row r="266" ht="12.75" customHeight="1">
      <c r="A266" s="137"/>
      <c r="B266" s="137"/>
      <c r="C266" s="137"/>
      <c r="D266" s="137"/>
      <c r="E266" s="137"/>
      <c r="F266" s="137"/>
      <c r="G266" s="137"/>
      <c r="H266" s="52"/>
      <c r="I266" s="52"/>
      <c r="J266" s="52"/>
      <c r="K266" s="137"/>
      <c r="L266" s="53"/>
      <c r="M266" s="53"/>
      <c r="N266" s="53"/>
      <c r="O266" s="53"/>
      <c r="P266" s="53"/>
      <c r="Q266" s="53"/>
      <c r="R266" s="53"/>
      <c r="S266" s="137"/>
      <c r="T266" s="137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</row>
    <row r="267" ht="12.75" customHeight="1">
      <c r="A267" s="137"/>
      <c r="B267" s="137"/>
      <c r="C267" s="137"/>
      <c r="D267" s="137"/>
      <c r="E267" s="137"/>
      <c r="F267" s="137"/>
      <c r="G267" s="137"/>
      <c r="H267" s="52"/>
      <c r="I267" s="52"/>
      <c r="J267" s="52"/>
      <c r="K267" s="137"/>
      <c r="L267" s="53"/>
      <c r="M267" s="53"/>
      <c r="N267" s="53"/>
      <c r="O267" s="53"/>
      <c r="P267" s="53"/>
      <c r="Q267" s="53"/>
      <c r="R267" s="53"/>
      <c r="S267" s="137"/>
      <c r="T267" s="137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</row>
    <row r="268" ht="12.75" customHeight="1">
      <c r="A268" s="137"/>
      <c r="B268" s="137"/>
      <c r="C268" s="137"/>
      <c r="D268" s="137"/>
      <c r="E268" s="137"/>
      <c r="F268" s="137"/>
      <c r="G268" s="137"/>
      <c r="H268" s="52"/>
      <c r="I268" s="52"/>
      <c r="J268" s="52"/>
      <c r="K268" s="137"/>
      <c r="L268" s="53"/>
      <c r="M268" s="53"/>
      <c r="N268" s="53"/>
      <c r="O268" s="53"/>
      <c r="P268" s="53"/>
      <c r="Q268" s="53"/>
      <c r="R268" s="53"/>
      <c r="S268" s="137"/>
      <c r="T268" s="137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</row>
    <row r="269" ht="12.75" customHeight="1">
      <c r="A269" s="137"/>
      <c r="B269" s="137"/>
      <c r="C269" s="137"/>
      <c r="D269" s="137"/>
      <c r="E269" s="137"/>
      <c r="F269" s="137"/>
      <c r="G269" s="137"/>
      <c r="H269" s="52"/>
      <c r="I269" s="52"/>
      <c r="J269" s="52"/>
      <c r="K269" s="137"/>
      <c r="L269" s="53"/>
      <c r="M269" s="53"/>
      <c r="N269" s="53"/>
      <c r="O269" s="53"/>
      <c r="P269" s="53"/>
      <c r="Q269" s="53"/>
      <c r="R269" s="53"/>
      <c r="S269" s="137"/>
      <c r="T269" s="137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</row>
    <row r="270" ht="12.75" customHeight="1">
      <c r="A270" s="137"/>
      <c r="B270" s="137"/>
      <c r="C270" s="137"/>
      <c r="D270" s="137"/>
      <c r="E270" s="137"/>
      <c r="F270" s="137"/>
      <c r="G270" s="137"/>
      <c r="H270" s="52"/>
      <c r="I270" s="52"/>
      <c r="J270" s="52"/>
      <c r="K270" s="137"/>
      <c r="L270" s="53"/>
      <c r="M270" s="53"/>
      <c r="N270" s="53"/>
      <c r="O270" s="53"/>
      <c r="P270" s="53"/>
      <c r="Q270" s="53"/>
      <c r="R270" s="53"/>
      <c r="S270" s="137"/>
      <c r="T270" s="137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</row>
    <row r="271" ht="12.75" customHeight="1">
      <c r="A271" s="137"/>
      <c r="B271" s="137"/>
      <c r="C271" s="137"/>
      <c r="D271" s="137"/>
      <c r="E271" s="137"/>
      <c r="F271" s="137"/>
      <c r="G271" s="137"/>
      <c r="H271" s="52"/>
      <c r="I271" s="52"/>
      <c r="J271" s="52"/>
      <c r="K271" s="137"/>
      <c r="L271" s="53"/>
      <c r="M271" s="53"/>
      <c r="N271" s="53"/>
      <c r="O271" s="53"/>
      <c r="P271" s="53"/>
      <c r="Q271" s="53"/>
      <c r="R271" s="53"/>
      <c r="S271" s="137"/>
      <c r="T271" s="137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</row>
    <row r="272" ht="12.75" customHeight="1">
      <c r="A272" s="137"/>
      <c r="B272" s="137"/>
      <c r="C272" s="137"/>
      <c r="D272" s="137"/>
      <c r="E272" s="137"/>
      <c r="F272" s="137"/>
      <c r="G272" s="137"/>
      <c r="H272" s="52"/>
      <c r="I272" s="52"/>
      <c r="J272" s="52"/>
      <c r="K272" s="137"/>
      <c r="L272" s="53"/>
      <c r="M272" s="53"/>
      <c r="N272" s="53"/>
      <c r="O272" s="53"/>
      <c r="P272" s="53"/>
      <c r="Q272" s="53"/>
      <c r="R272" s="53"/>
      <c r="S272" s="137"/>
      <c r="T272" s="137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</row>
    <row r="273" ht="12.75" customHeight="1">
      <c r="A273" s="137"/>
      <c r="B273" s="137"/>
      <c r="C273" s="137"/>
      <c r="D273" s="137"/>
      <c r="E273" s="137"/>
      <c r="F273" s="137"/>
      <c r="G273" s="137"/>
      <c r="H273" s="52"/>
      <c r="I273" s="52"/>
      <c r="J273" s="52"/>
      <c r="K273" s="137"/>
      <c r="L273" s="53"/>
      <c r="M273" s="53"/>
      <c r="N273" s="53"/>
      <c r="O273" s="53"/>
      <c r="P273" s="53"/>
      <c r="Q273" s="53"/>
      <c r="R273" s="53"/>
      <c r="S273" s="137"/>
      <c r="T273" s="137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</row>
    <row r="274" ht="12.75" customHeight="1">
      <c r="A274" s="137"/>
      <c r="B274" s="137"/>
      <c r="C274" s="137"/>
      <c r="D274" s="137"/>
      <c r="E274" s="137"/>
      <c r="F274" s="137"/>
      <c r="G274" s="137"/>
      <c r="H274" s="52"/>
      <c r="I274" s="52"/>
      <c r="J274" s="52"/>
      <c r="K274" s="137"/>
      <c r="L274" s="53"/>
      <c r="M274" s="53"/>
      <c r="N274" s="53"/>
      <c r="O274" s="53"/>
      <c r="P274" s="53"/>
      <c r="Q274" s="53"/>
      <c r="R274" s="53"/>
      <c r="S274" s="137"/>
      <c r="T274" s="137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</row>
    <row r="275" ht="12.75" customHeight="1">
      <c r="A275" s="137"/>
      <c r="B275" s="137"/>
      <c r="C275" s="137"/>
      <c r="D275" s="137"/>
      <c r="E275" s="137"/>
      <c r="F275" s="137"/>
      <c r="G275" s="137"/>
      <c r="H275" s="52"/>
      <c r="I275" s="52"/>
      <c r="J275" s="52"/>
      <c r="K275" s="137"/>
      <c r="L275" s="53"/>
      <c r="M275" s="53"/>
      <c r="N275" s="53"/>
      <c r="O275" s="53"/>
      <c r="P275" s="53"/>
      <c r="Q275" s="53"/>
      <c r="R275" s="53"/>
      <c r="S275" s="137"/>
      <c r="T275" s="137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</row>
    <row r="276" ht="12.75" customHeight="1">
      <c r="A276" s="137"/>
      <c r="B276" s="137"/>
      <c r="C276" s="137"/>
      <c r="D276" s="137"/>
      <c r="E276" s="137"/>
      <c r="F276" s="137"/>
      <c r="G276" s="137"/>
      <c r="H276" s="52"/>
      <c r="I276" s="52"/>
      <c r="J276" s="52"/>
      <c r="K276" s="137"/>
      <c r="L276" s="53"/>
      <c r="M276" s="53"/>
      <c r="N276" s="53"/>
      <c r="O276" s="53"/>
      <c r="P276" s="53"/>
      <c r="Q276" s="53"/>
      <c r="R276" s="53"/>
      <c r="S276" s="137"/>
      <c r="T276" s="137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</row>
    <row r="277" ht="12.75" customHeight="1">
      <c r="A277" s="137"/>
      <c r="B277" s="137"/>
      <c r="C277" s="137"/>
      <c r="D277" s="137"/>
      <c r="E277" s="137"/>
      <c r="F277" s="137"/>
      <c r="G277" s="137"/>
      <c r="H277" s="52"/>
      <c r="I277" s="52"/>
      <c r="J277" s="52"/>
      <c r="K277" s="137"/>
      <c r="L277" s="53"/>
      <c r="M277" s="53"/>
      <c r="N277" s="53"/>
      <c r="O277" s="53"/>
      <c r="P277" s="53"/>
      <c r="Q277" s="53"/>
      <c r="R277" s="53"/>
      <c r="S277" s="137"/>
      <c r="T277" s="137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</row>
    <row r="278" ht="12.75" customHeight="1">
      <c r="A278" s="137"/>
      <c r="B278" s="137"/>
      <c r="C278" s="137"/>
      <c r="D278" s="137"/>
      <c r="E278" s="137"/>
      <c r="F278" s="137"/>
      <c r="G278" s="137"/>
      <c r="H278" s="52"/>
      <c r="I278" s="52"/>
      <c r="J278" s="52"/>
      <c r="K278" s="137"/>
      <c r="L278" s="53"/>
      <c r="M278" s="53"/>
      <c r="N278" s="53"/>
      <c r="O278" s="53"/>
      <c r="P278" s="53"/>
      <c r="Q278" s="53"/>
      <c r="R278" s="53"/>
      <c r="S278" s="137"/>
      <c r="T278" s="137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</row>
    <row r="279" ht="12.75" customHeight="1">
      <c r="A279" s="137"/>
      <c r="B279" s="137"/>
      <c r="C279" s="137"/>
      <c r="D279" s="137"/>
      <c r="E279" s="137"/>
      <c r="F279" s="137"/>
      <c r="G279" s="137"/>
      <c r="H279" s="52"/>
      <c r="I279" s="52"/>
      <c r="J279" s="52"/>
      <c r="K279" s="137"/>
      <c r="L279" s="53"/>
      <c r="M279" s="53"/>
      <c r="N279" s="53"/>
      <c r="O279" s="53"/>
      <c r="P279" s="53"/>
      <c r="Q279" s="53"/>
      <c r="R279" s="53"/>
      <c r="S279" s="137"/>
      <c r="T279" s="137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</row>
    <row r="280" ht="12.75" customHeight="1">
      <c r="A280" s="137"/>
      <c r="B280" s="137"/>
      <c r="C280" s="137"/>
      <c r="D280" s="137"/>
      <c r="E280" s="137"/>
      <c r="F280" s="137"/>
      <c r="G280" s="137"/>
      <c r="H280" s="52"/>
      <c r="I280" s="52"/>
      <c r="J280" s="52"/>
      <c r="K280" s="137"/>
      <c r="L280" s="53"/>
      <c r="M280" s="53"/>
      <c r="N280" s="53"/>
      <c r="O280" s="53"/>
      <c r="P280" s="53"/>
      <c r="Q280" s="53"/>
      <c r="R280" s="53"/>
      <c r="S280" s="137"/>
      <c r="T280" s="137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</row>
    <row r="281" ht="12.75" customHeight="1">
      <c r="A281" s="137"/>
      <c r="B281" s="137"/>
      <c r="C281" s="137"/>
      <c r="D281" s="137"/>
      <c r="E281" s="137"/>
      <c r="F281" s="137"/>
      <c r="G281" s="137"/>
      <c r="H281" s="52"/>
      <c r="I281" s="52"/>
      <c r="J281" s="52"/>
      <c r="K281" s="137"/>
      <c r="L281" s="53"/>
      <c r="M281" s="53"/>
      <c r="N281" s="53"/>
      <c r="O281" s="53"/>
      <c r="P281" s="53"/>
      <c r="Q281" s="53"/>
      <c r="R281" s="53"/>
      <c r="S281" s="137"/>
      <c r="T281" s="137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</row>
    <row r="282" ht="12.75" customHeight="1">
      <c r="A282" s="137"/>
      <c r="B282" s="137"/>
      <c r="C282" s="137"/>
      <c r="D282" s="137"/>
      <c r="E282" s="137"/>
      <c r="F282" s="137"/>
      <c r="G282" s="137"/>
      <c r="H282" s="52"/>
      <c r="I282" s="52"/>
      <c r="J282" s="52"/>
      <c r="K282" s="137"/>
      <c r="L282" s="53"/>
      <c r="M282" s="53"/>
      <c r="N282" s="53"/>
      <c r="O282" s="53"/>
      <c r="P282" s="53"/>
      <c r="Q282" s="53"/>
      <c r="R282" s="53"/>
      <c r="S282" s="137"/>
      <c r="T282" s="137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</row>
    <row r="283" ht="12.75" customHeight="1">
      <c r="A283" s="137"/>
      <c r="B283" s="137"/>
      <c r="C283" s="137"/>
      <c r="D283" s="137"/>
      <c r="E283" s="137"/>
      <c r="F283" s="137"/>
      <c r="G283" s="137"/>
      <c r="H283" s="52"/>
      <c r="I283" s="52"/>
      <c r="J283" s="52"/>
      <c r="K283" s="137"/>
      <c r="L283" s="53"/>
      <c r="M283" s="53"/>
      <c r="N283" s="53"/>
      <c r="O283" s="53"/>
      <c r="P283" s="53"/>
      <c r="Q283" s="53"/>
      <c r="R283" s="53"/>
      <c r="S283" s="137"/>
      <c r="T283" s="137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</row>
    <row r="284" ht="12.75" customHeight="1">
      <c r="A284" s="137"/>
      <c r="B284" s="137"/>
      <c r="C284" s="137"/>
      <c r="D284" s="137"/>
      <c r="E284" s="137"/>
      <c r="F284" s="137"/>
      <c r="G284" s="137"/>
      <c r="H284" s="52"/>
      <c r="I284" s="52"/>
      <c r="J284" s="52"/>
      <c r="K284" s="137"/>
      <c r="L284" s="53"/>
      <c r="M284" s="53"/>
      <c r="N284" s="53"/>
      <c r="O284" s="53"/>
      <c r="P284" s="53"/>
      <c r="Q284" s="53"/>
      <c r="R284" s="53"/>
      <c r="S284" s="137"/>
      <c r="T284" s="137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</row>
    <row r="285" ht="12.75" customHeight="1">
      <c r="A285" s="137"/>
      <c r="B285" s="137"/>
      <c r="C285" s="137"/>
      <c r="D285" s="137"/>
      <c r="E285" s="137"/>
      <c r="F285" s="137"/>
      <c r="G285" s="137"/>
      <c r="H285" s="52"/>
      <c r="I285" s="52"/>
      <c r="J285" s="52"/>
      <c r="K285" s="137"/>
      <c r="L285" s="53"/>
      <c r="M285" s="53"/>
      <c r="N285" s="53"/>
      <c r="O285" s="53"/>
      <c r="P285" s="53"/>
      <c r="Q285" s="53"/>
      <c r="R285" s="53"/>
      <c r="S285" s="137"/>
      <c r="T285" s="137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</row>
    <row r="286" ht="12.75" customHeight="1">
      <c r="A286" s="137"/>
      <c r="B286" s="137"/>
      <c r="C286" s="137"/>
      <c r="D286" s="137"/>
      <c r="E286" s="137"/>
      <c r="F286" s="137"/>
      <c r="G286" s="137"/>
      <c r="H286" s="52"/>
      <c r="I286" s="52"/>
      <c r="J286" s="52"/>
      <c r="K286" s="137"/>
      <c r="L286" s="53"/>
      <c r="M286" s="53"/>
      <c r="N286" s="53"/>
      <c r="O286" s="53"/>
      <c r="P286" s="53"/>
      <c r="Q286" s="53"/>
      <c r="R286" s="53"/>
      <c r="S286" s="137"/>
      <c r="T286" s="137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</row>
    <row r="287" ht="12.75" customHeight="1">
      <c r="A287" s="137"/>
      <c r="B287" s="137"/>
      <c r="C287" s="137"/>
      <c r="D287" s="137"/>
      <c r="E287" s="137"/>
      <c r="F287" s="137"/>
      <c r="G287" s="137"/>
      <c r="H287" s="52"/>
      <c r="I287" s="52"/>
      <c r="J287" s="52"/>
      <c r="K287" s="137"/>
      <c r="L287" s="53"/>
      <c r="M287" s="53"/>
      <c r="N287" s="53"/>
      <c r="O287" s="53"/>
      <c r="P287" s="53"/>
      <c r="Q287" s="53"/>
      <c r="R287" s="53"/>
      <c r="S287" s="137"/>
      <c r="T287" s="137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</row>
    <row r="288" ht="12.75" customHeight="1">
      <c r="A288" s="137"/>
      <c r="B288" s="137"/>
      <c r="C288" s="137"/>
      <c r="D288" s="137"/>
      <c r="E288" s="137"/>
      <c r="F288" s="137"/>
      <c r="G288" s="137"/>
      <c r="H288" s="52"/>
      <c r="I288" s="52"/>
      <c r="J288" s="52"/>
      <c r="K288" s="137"/>
      <c r="L288" s="53"/>
      <c r="M288" s="53"/>
      <c r="N288" s="53"/>
      <c r="O288" s="53"/>
      <c r="P288" s="53"/>
      <c r="Q288" s="53"/>
      <c r="R288" s="53"/>
      <c r="S288" s="137"/>
      <c r="T288" s="137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</row>
    <row r="289" ht="12.75" customHeight="1">
      <c r="A289" s="137"/>
      <c r="B289" s="137"/>
      <c r="C289" s="137"/>
      <c r="D289" s="137"/>
      <c r="E289" s="137"/>
      <c r="F289" s="137"/>
      <c r="G289" s="137"/>
      <c r="H289" s="52"/>
      <c r="I289" s="52"/>
      <c r="J289" s="52"/>
      <c r="K289" s="137"/>
      <c r="L289" s="53"/>
      <c r="M289" s="53"/>
      <c r="N289" s="53"/>
      <c r="O289" s="53"/>
      <c r="P289" s="53"/>
      <c r="Q289" s="53"/>
      <c r="R289" s="53"/>
      <c r="S289" s="137"/>
      <c r="T289" s="137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</row>
    <row r="290" ht="12.75" customHeight="1">
      <c r="A290" s="137"/>
      <c r="B290" s="137"/>
      <c r="C290" s="137"/>
      <c r="D290" s="137"/>
      <c r="E290" s="137"/>
      <c r="F290" s="137"/>
      <c r="G290" s="137"/>
      <c r="H290" s="52"/>
      <c r="I290" s="52"/>
      <c r="J290" s="52"/>
      <c r="K290" s="137"/>
      <c r="L290" s="53"/>
      <c r="M290" s="53"/>
      <c r="N290" s="53"/>
      <c r="O290" s="53"/>
      <c r="P290" s="53"/>
      <c r="Q290" s="53"/>
      <c r="R290" s="53"/>
      <c r="S290" s="137"/>
      <c r="T290" s="137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</row>
    <row r="291" ht="12.75" customHeight="1">
      <c r="A291" s="137"/>
      <c r="B291" s="137"/>
      <c r="C291" s="137"/>
      <c r="D291" s="137"/>
      <c r="E291" s="137"/>
      <c r="F291" s="137"/>
      <c r="G291" s="137"/>
      <c r="H291" s="52"/>
      <c r="I291" s="52"/>
      <c r="J291" s="52"/>
      <c r="K291" s="137"/>
      <c r="L291" s="53"/>
      <c r="M291" s="53"/>
      <c r="N291" s="53"/>
      <c r="O291" s="53"/>
      <c r="P291" s="53"/>
      <c r="Q291" s="53"/>
      <c r="R291" s="53"/>
      <c r="S291" s="137"/>
      <c r="T291" s="137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</row>
    <row r="292" ht="12.75" customHeight="1">
      <c r="A292" s="137"/>
      <c r="B292" s="137"/>
      <c r="C292" s="137"/>
      <c r="D292" s="137"/>
      <c r="E292" s="137"/>
      <c r="F292" s="137"/>
      <c r="G292" s="137"/>
      <c r="H292" s="52"/>
      <c r="I292" s="52"/>
      <c r="J292" s="52"/>
      <c r="K292" s="137"/>
      <c r="L292" s="53"/>
      <c r="M292" s="53"/>
      <c r="N292" s="53"/>
      <c r="O292" s="53"/>
      <c r="P292" s="53"/>
      <c r="Q292" s="53"/>
      <c r="R292" s="53"/>
      <c r="S292" s="137"/>
      <c r="T292" s="137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</row>
    <row r="293" ht="12.75" customHeight="1">
      <c r="A293" s="137"/>
      <c r="B293" s="137"/>
      <c r="C293" s="137"/>
      <c r="D293" s="137"/>
      <c r="E293" s="137"/>
      <c r="F293" s="137"/>
      <c r="G293" s="137"/>
      <c r="H293" s="52"/>
      <c r="I293" s="52"/>
      <c r="J293" s="52"/>
      <c r="K293" s="137"/>
      <c r="L293" s="53"/>
      <c r="M293" s="53"/>
      <c r="N293" s="53"/>
      <c r="O293" s="53"/>
      <c r="P293" s="53"/>
      <c r="Q293" s="53"/>
      <c r="R293" s="53"/>
      <c r="S293" s="137"/>
      <c r="T293" s="137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</row>
    <row r="294" ht="12.75" customHeight="1">
      <c r="A294" s="137"/>
      <c r="B294" s="137"/>
      <c r="C294" s="137"/>
      <c r="D294" s="137"/>
      <c r="E294" s="137"/>
      <c r="F294" s="137"/>
      <c r="G294" s="137"/>
      <c r="H294" s="52"/>
      <c r="I294" s="52"/>
      <c r="J294" s="52"/>
      <c r="K294" s="137"/>
      <c r="L294" s="53"/>
      <c r="M294" s="53"/>
      <c r="N294" s="53"/>
      <c r="O294" s="53"/>
      <c r="P294" s="53"/>
      <c r="Q294" s="53"/>
      <c r="R294" s="53"/>
      <c r="S294" s="137"/>
      <c r="T294" s="137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</row>
    <row r="295" ht="12.75" customHeight="1">
      <c r="A295" s="137"/>
      <c r="B295" s="137"/>
      <c r="C295" s="137"/>
      <c r="D295" s="137"/>
      <c r="E295" s="137"/>
      <c r="F295" s="137"/>
      <c r="G295" s="137"/>
      <c r="H295" s="52"/>
      <c r="I295" s="52"/>
      <c r="J295" s="52"/>
      <c r="K295" s="137"/>
      <c r="L295" s="53"/>
      <c r="M295" s="53"/>
      <c r="N295" s="53"/>
      <c r="O295" s="53"/>
      <c r="P295" s="53"/>
      <c r="Q295" s="53"/>
      <c r="R295" s="53"/>
      <c r="S295" s="137"/>
      <c r="T295" s="137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</row>
    <row r="296" ht="12.75" customHeight="1">
      <c r="A296" s="137"/>
      <c r="B296" s="137"/>
      <c r="C296" s="137"/>
      <c r="D296" s="137"/>
      <c r="E296" s="137"/>
      <c r="F296" s="137"/>
      <c r="G296" s="137"/>
      <c r="H296" s="52"/>
      <c r="I296" s="52"/>
      <c r="J296" s="52"/>
      <c r="K296" s="137"/>
      <c r="L296" s="53"/>
      <c r="M296" s="53"/>
      <c r="N296" s="53"/>
      <c r="O296" s="53"/>
      <c r="P296" s="53"/>
      <c r="Q296" s="53"/>
      <c r="R296" s="53"/>
      <c r="S296" s="137"/>
      <c r="T296" s="137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</row>
    <row r="297" ht="12.75" customHeight="1">
      <c r="A297" s="137"/>
      <c r="B297" s="137"/>
      <c r="C297" s="137"/>
      <c r="D297" s="137"/>
      <c r="E297" s="137"/>
      <c r="F297" s="137"/>
      <c r="G297" s="137"/>
      <c r="H297" s="52"/>
      <c r="I297" s="52"/>
      <c r="J297" s="52"/>
      <c r="K297" s="137"/>
      <c r="L297" s="53"/>
      <c r="M297" s="53"/>
      <c r="N297" s="53"/>
      <c r="O297" s="53"/>
      <c r="P297" s="53"/>
      <c r="Q297" s="53"/>
      <c r="R297" s="53"/>
      <c r="S297" s="137"/>
      <c r="T297" s="137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</row>
    <row r="298" ht="12.75" customHeight="1">
      <c r="A298" s="137"/>
      <c r="B298" s="137"/>
      <c r="C298" s="137"/>
      <c r="D298" s="137"/>
      <c r="E298" s="137"/>
      <c r="F298" s="137"/>
      <c r="G298" s="137"/>
      <c r="H298" s="52"/>
      <c r="I298" s="52"/>
      <c r="J298" s="52"/>
      <c r="K298" s="137"/>
      <c r="L298" s="53"/>
      <c r="M298" s="53"/>
      <c r="N298" s="53"/>
      <c r="O298" s="53"/>
      <c r="P298" s="53"/>
      <c r="Q298" s="53"/>
      <c r="R298" s="53"/>
      <c r="S298" s="137"/>
      <c r="T298" s="137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0.75" footer="0.0" header="0.0" left="0.7" right="0.7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A1" s="136"/>
      <c r="B1" s="1"/>
      <c r="C1" s="59"/>
      <c r="D1" s="59"/>
      <c r="E1" s="59"/>
      <c r="F1" s="59"/>
      <c r="G1" s="59"/>
      <c r="H1" s="3"/>
      <c r="I1" s="59"/>
      <c r="J1" s="59"/>
      <c r="K1" s="3"/>
      <c r="L1" s="59"/>
      <c r="M1" s="59"/>
      <c r="N1" s="59"/>
      <c r="O1" s="59"/>
      <c r="P1" s="59"/>
      <c r="Q1" s="59"/>
      <c r="R1" s="59"/>
      <c r="S1" s="59"/>
      <c r="T1" s="3"/>
      <c r="U1" s="4"/>
      <c r="V1" s="59"/>
      <c r="W1" s="59"/>
      <c r="X1" s="59"/>
      <c r="Y1" s="6"/>
      <c r="Z1" s="7"/>
      <c r="AA1" s="7"/>
      <c r="AB1" s="7"/>
      <c r="AC1" s="7"/>
      <c r="AD1" s="7"/>
      <c r="AE1" s="7"/>
      <c r="AF1" s="7"/>
      <c r="AG1" s="7"/>
      <c r="AH1" s="7"/>
      <c r="AI1" s="59"/>
      <c r="AJ1" s="59"/>
      <c r="AK1" s="59"/>
      <c r="AL1" s="59"/>
      <c r="AM1" s="59"/>
      <c r="AN1" s="59"/>
      <c r="AO1" s="59"/>
      <c r="AP1" s="59"/>
      <c r="AQ1" s="59"/>
      <c r="AR1" s="59"/>
    </row>
    <row r="2" ht="18.75" customHeight="1">
      <c r="A2" s="136"/>
      <c r="B2" s="8" t="s">
        <v>256</v>
      </c>
      <c r="C2" s="9"/>
      <c r="D2" s="9"/>
      <c r="E2" s="9"/>
      <c r="F2" s="10"/>
      <c r="G2" s="59"/>
      <c r="H2" s="11" t="s">
        <v>23</v>
      </c>
      <c r="I2" s="10"/>
      <c r="J2" s="59"/>
      <c r="K2" s="11" t="s">
        <v>24</v>
      </c>
      <c r="L2" s="9"/>
      <c r="M2" s="9"/>
      <c r="N2" s="9"/>
      <c r="O2" s="9"/>
      <c r="P2" s="9"/>
      <c r="Q2" s="9"/>
      <c r="R2" s="10"/>
      <c r="S2" s="59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59"/>
      <c r="AJ2" s="59"/>
      <c r="AK2" s="59"/>
      <c r="AL2" s="59"/>
      <c r="AM2" s="59"/>
      <c r="AN2" s="59"/>
      <c r="AO2" s="59"/>
      <c r="AP2" s="59"/>
      <c r="AQ2" s="59"/>
      <c r="AR2" s="59"/>
    </row>
    <row r="3" ht="15.0" customHeight="1">
      <c r="A3" s="136"/>
      <c r="B3" s="136"/>
      <c r="C3" s="59"/>
      <c r="D3" s="59"/>
      <c r="E3" s="59"/>
      <c r="F3" s="59"/>
      <c r="G3" s="59"/>
      <c r="H3" s="59"/>
      <c r="I3" s="59"/>
      <c r="J3" s="59"/>
      <c r="K3" s="3"/>
      <c r="L3" s="59"/>
      <c r="M3" s="59"/>
      <c r="N3" s="59"/>
      <c r="O3" s="59"/>
      <c r="P3" s="59"/>
      <c r="Q3" s="59"/>
      <c r="R3" s="59"/>
      <c r="S3" s="59"/>
      <c r="T3" s="13" t="s">
        <v>26</v>
      </c>
      <c r="U3" s="14" t="str">
        <f>SUM(U5:U10,U13:U18,U21:U26,U29:U34,U37:U42,U45:U50,U53:U58,U61:U66)</f>
        <v>12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  <c r="AI3" s="136"/>
      <c r="AJ3" s="136"/>
      <c r="AK3" s="136"/>
      <c r="AL3" s="136"/>
      <c r="AM3" s="136"/>
      <c r="AN3" s="136"/>
      <c r="AO3" s="136"/>
      <c r="AP3" s="136"/>
      <c r="AQ3" s="136"/>
      <c r="AR3" s="136"/>
    </row>
    <row r="4" ht="13.5" customHeight="1">
      <c r="A4" s="136"/>
      <c r="B4" s="15" t="s">
        <v>27</v>
      </c>
      <c r="C4" s="9"/>
      <c r="D4" s="9"/>
      <c r="E4" s="9"/>
      <c r="F4" s="10"/>
      <c r="G4" s="59"/>
      <c r="H4" s="16" t="s">
        <v>28</v>
      </c>
      <c r="I4" s="17" t="s">
        <v>29</v>
      </c>
      <c r="J4" s="18"/>
      <c r="K4" s="59"/>
      <c r="L4" s="59"/>
      <c r="M4" s="59"/>
      <c r="N4" s="59"/>
      <c r="O4" s="59"/>
      <c r="P4" s="59"/>
      <c r="Q4" s="59"/>
      <c r="R4" s="59"/>
      <c r="S4" s="59"/>
      <c r="T4" s="136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  <c r="AI4" s="136"/>
      <c r="AJ4" s="136"/>
      <c r="AK4" s="136"/>
      <c r="AL4" s="136"/>
      <c r="AM4" s="136"/>
      <c r="AN4" s="136"/>
      <c r="AO4" s="136"/>
      <c r="AP4" s="136"/>
      <c r="AQ4" s="136"/>
      <c r="AR4" s="136"/>
    </row>
    <row r="5" ht="13.5" customHeight="1">
      <c r="A5" s="136"/>
      <c r="B5" s="21" t="s">
        <v>30</v>
      </c>
      <c r="C5" s="22"/>
      <c r="D5" s="19" t="s">
        <v>31</v>
      </c>
      <c r="E5" s="23"/>
      <c r="F5" s="24" t="s">
        <v>32</v>
      </c>
      <c r="G5" s="59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>XXX</v>
      </c>
      <c r="U5" s="19" t="str">
        <f t="shared" ref="U5:U10" si="2">SUM(Y5,Z5,AA5, AB5)</f>
        <v>0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0</v>
      </c>
      <c r="AA5" s="33" t="str">
        <f>IF(AND(ISNUMBER(RESULTADOS!C5),ISNUMBER(RESULTADOS!E5),ISNUMBER(C5),ISNUMBER(E5),AND(Z5=1,OR(C5=RESULTADOS!C5,E5=RESULTADOS!E5))),1,0)</f>
        <v>0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  <c r="AI5" s="136"/>
      <c r="AJ5" s="136"/>
      <c r="AK5" s="136"/>
      <c r="AL5" s="136"/>
      <c r="AM5" s="136"/>
      <c r="AN5" s="136"/>
      <c r="AO5" s="136"/>
      <c r="AP5" s="136"/>
      <c r="AQ5" s="136"/>
      <c r="AR5" s="136"/>
    </row>
    <row r="6" ht="13.5" customHeight="1">
      <c r="A6" s="136"/>
      <c r="B6" s="21" t="s">
        <v>40</v>
      </c>
      <c r="C6" s="22"/>
      <c r="D6" s="19" t="s">
        <v>31</v>
      </c>
      <c r="E6" s="23"/>
      <c r="F6" s="34" t="s">
        <v>41</v>
      </c>
      <c r="G6" s="59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4</v>
      </c>
      <c r="M6" s="19" t="str">
        <f t="shared" ref="M6:M9" si="5">N6-O6</f>
        <v>2</v>
      </c>
      <c r="N6" s="19" t="str">
        <f t="shared" ref="N6:N9" si="6">SUM(INDIRECT($AC6),INDIRECT($AD6),INDIRECT($AE6))</f>
        <v>4</v>
      </c>
      <c r="O6" s="19" t="str">
        <f t="shared" ref="O6:O9" si="7">SUM(INDIRECT($AF6),INDIRECT($AG6),INDIRECT($AH6))</f>
        <v>2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1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0</v>
      </c>
      <c r="S6" s="31"/>
      <c r="T6" s="32" t="str">
        <f t="shared" si="1"/>
        <v>XXX</v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  <c r="AI6" s="136"/>
      <c r="AJ6" s="136"/>
      <c r="AK6" s="136"/>
      <c r="AL6" s="136"/>
      <c r="AM6" s="136"/>
      <c r="AN6" s="136"/>
      <c r="AO6" s="136"/>
      <c r="AP6" s="136"/>
      <c r="AQ6" s="136"/>
      <c r="AR6" s="136"/>
    </row>
    <row r="7" ht="12.75" customHeight="1">
      <c r="A7" s="136"/>
      <c r="B7" s="21" t="s">
        <v>41</v>
      </c>
      <c r="C7" s="22">
        <v>1.0</v>
      </c>
      <c r="D7" s="19" t="s">
        <v>31</v>
      </c>
      <c r="E7" s="23">
        <v>1.0</v>
      </c>
      <c r="F7" s="34" t="s">
        <v>32</v>
      </c>
      <c r="G7" s="59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4</v>
      </c>
      <c r="M7" s="19" t="str">
        <f t="shared" si="5"/>
        <v>2</v>
      </c>
      <c r="N7" s="19" t="str">
        <f t="shared" si="6"/>
        <v>5</v>
      </c>
      <c r="O7" s="19" t="str">
        <f t="shared" si="7"/>
        <v>3</v>
      </c>
      <c r="P7" s="19" t="str">
        <f t="shared" si="8"/>
        <v>1</v>
      </c>
      <c r="Q7" s="19" t="str">
        <f t="shared" si="9"/>
        <v>1</v>
      </c>
      <c r="R7" s="36" t="str">
        <f t="shared" si="10"/>
        <v>0</v>
      </c>
      <c r="S7" s="59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  <c r="AI7" s="136"/>
      <c r="AJ7" s="136"/>
      <c r="AK7" s="136"/>
      <c r="AL7" s="136"/>
      <c r="AM7" s="136"/>
      <c r="AN7" s="136"/>
      <c r="AO7" s="136"/>
      <c r="AP7" s="136"/>
      <c r="AQ7" s="136"/>
      <c r="AR7" s="136"/>
    </row>
    <row r="8" ht="12.75" customHeight="1">
      <c r="A8" s="136"/>
      <c r="B8" s="21" t="s">
        <v>30</v>
      </c>
      <c r="C8" s="22">
        <v>2.0</v>
      </c>
      <c r="D8" s="19" t="s">
        <v>31</v>
      </c>
      <c r="E8" s="23">
        <v>2.0</v>
      </c>
      <c r="F8" s="34" t="s">
        <v>40</v>
      </c>
      <c r="G8" s="59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1</v>
      </c>
      <c r="M8" s="19" t="str">
        <f t="shared" si="5"/>
        <v>-2</v>
      </c>
      <c r="N8" s="19" t="str">
        <f t="shared" si="6"/>
        <v>2</v>
      </c>
      <c r="O8" s="19" t="str">
        <f t="shared" si="7"/>
        <v>4</v>
      </c>
      <c r="P8" s="19" t="str">
        <f t="shared" si="8"/>
        <v>0</v>
      </c>
      <c r="Q8" s="19" t="str">
        <f t="shared" si="9"/>
        <v>1</v>
      </c>
      <c r="R8" s="36" t="str">
        <f t="shared" si="10"/>
        <v>1</v>
      </c>
      <c r="S8" s="59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  <c r="AI8" s="136"/>
      <c r="AJ8" s="136"/>
      <c r="AK8" s="136"/>
      <c r="AL8" s="136"/>
      <c r="AM8" s="136"/>
      <c r="AN8" s="136"/>
      <c r="AO8" s="136"/>
      <c r="AP8" s="136"/>
      <c r="AQ8" s="136"/>
      <c r="AR8" s="136"/>
    </row>
    <row r="9" ht="12.75" customHeight="1">
      <c r="A9" s="136"/>
      <c r="B9" s="21" t="s">
        <v>32</v>
      </c>
      <c r="C9" s="22">
        <v>0.0</v>
      </c>
      <c r="D9" s="19" t="s">
        <v>31</v>
      </c>
      <c r="E9" s="23">
        <v>2.0</v>
      </c>
      <c r="F9" s="34" t="s">
        <v>40</v>
      </c>
      <c r="G9" s="59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1</v>
      </c>
      <c r="M9" s="38" t="str">
        <f t="shared" si="5"/>
        <v>-2</v>
      </c>
      <c r="N9" s="38" t="str">
        <f t="shared" si="6"/>
        <v>1</v>
      </c>
      <c r="O9" s="38" t="str">
        <f t="shared" si="7"/>
        <v>3</v>
      </c>
      <c r="P9" s="38" t="str">
        <f t="shared" si="8"/>
        <v>0</v>
      </c>
      <c r="Q9" s="38" t="str">
        <f t="shared" si="9"/>
        <v>1</v>
      </c>
      <c r="R9" s="39" t="str">
        <f t="shared" si="10"/>
        <v>1</v>
      </c>
      <c r="S9" s="59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  <c r="AI9" s="136"/>
      <c r="AJ9" s="136"/>
      <c r="AK9" s="136"/>
      <c r="AL9" s="136"/>
      <c r="AM9" s="136"/>
      <c r="AN9" s="136"/>
      <c r="AO9" s="136"/>
      <c r="AP9" s="136"/>
      <c r="AQ9" s="136"/>
      <c r="AR9" s="136"/>
    </row>
    <row r="10" ht="13.5" customHeight="1">
      <c r="A10" s="136"/>
      <c r="B10" s="40" t="s">
        <v>41</v>
      </c>
      <c r="C10" s="41">
        <v>1.0</v>
      </c>
      <c r="D10" s="38" t="s">
        <v>31</v>
      </c>
      <c r="E10" s="42">
        <v>3.0</v>
      </c>
      <c r="F10" s="43" t="s">
        <v>30</v>
      </c>
      <c r="G10" s="59"/>
      <c r="H10" s="44">
        <v>46197.0</v>
      </c>
      <c r="I10" s="45">
        <v>0.916666666666667</v>
      </c>
      <c r="J10" s="27"/>
      <c r="K10" s="31"/>
      <c r="L10" s="136"/>
      <c r="M10" s="136"/>
      <c r="N10" s="136"/>
      <c r="O10" s="136"/>
      <c r="P10" s="136"/>
      <c r="Q10" s="136"/>
      <c r="R10" s="136"/>
      <c r="S10" s="59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</row>
    <row r="11" ht="13.5" customHeight="1">
      <c r="A11" s="136"/>
      <c r="B11" s="4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136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</row>
    <row r="12" ht="13.5" customHeight="1">
      <c r="A12" s="136"/>
      <c r="B12" s="138" t="s">
        <v>54</v>
      </c>
      <c r="C12" s="138"/>
      <c r="D12" s="138"/>
      <c r="E12" s="138"/>
      <c r="F12" s="138"/>
      <c r="G12" s="59"/>
      <c r="H12" s="16" t="s">
        <v>28</v>
      </c>
      <c r="I12" s="17" t="s">
        <v>29</v>
      </c>
      <c r="J12" s="18"/>
      <c r="K12" s="59"/>
      <c r="L12" s="59"/>
      <c r="M12" s="59"/>
      <c r="N12" s="59"/>
      <c r="O12" s="59"/>
      <c r="P12" s="59"/>
      <c r="Q12" s="59"/>
      <c r="R12" s="59"/>
      <c r="S12" s="59"/>
      <c r="T12" s="136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</row>
    <row r="13" ht="13.5" customHeight="1">
      <c r="A13" s="136"/>
      <c r="B13" s="21" t="s">
        <v>55</v>
      </c>
      <c r="C13" s="22">
        <v>2.0</v>
      </c>
      <c r="D13" s="19" t="s">
        <v>31</v>
      </c>
      <c r="E13" s="23">
        <v>1.0</v>
      </c>
      <c r="F13" s="24" t="s">
        <v>56</v>
      </c>
      <c r="G13" s="59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</row>
    <row r="14" ht="13.5" customHeight="1">
      <c r="A14" s="136"/>
      <c r="B14" s="21" t="s">
        <v>57</v>
      </c>
      <c r="C14" s="22">
        <v>0.0</v>
      </c>
      <c r="D14" s="19" t="s">
        <v>31</v>
      </c>
      <c r="E14" s="23">
        <v>2.0</v>
      </c>
      <c r="F14" s="24" t="s">
        <v>58</v>
      </c>
      <c r="G14" s="59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4</v>
      </c>
      <c r="M14" s="19" t="str">
        <f t="shared" ref="M14:M17" si="18">N14-O14</f>
        <v>0</v>
      </c>
      <c r="N14" s="19" t="str">
        <f t="shared" ref="N14:N17" si="19">SUM(INDIRECT($AC14),INDIRECT($AD14),INDIRECT($AE14))</f>
        <v>3</v>
      </c>
      <c r="O14" s="19" t="str">
        <f t="shared" ref="O14:O17" si="20">SUM(INDIRECT($AF14),INDIRECT($AG14),INDIRECT($AH14))</f>
        <v>3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1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1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</row>
    <row r="15" ht="12.75" customHeight="1">
      <c r="A15" s="136"/>
      <c r="B15" s="21" t="s">
        <v>58</v>
      </c>
      <c r="C15" s="22">
        <v>1.0</v>
      </c>
      <c r="D15" s="19" t="s">
        <v>31</v>
      </c>
      <c r="E15" s="23">
        <v>1.0</v>
      </c>
      <c r="F15" s="24" t="s">
        <v>56</v>
      </c>
      <c r="G15" s="59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6</v>
      </c>
      <c r="M15" s="19" t="str">
        <f t="shared" si="18"/>
        <v>1</v>
      </c>
      <c r="N15" s="19" t="str">
        <f t="shared" si="19"/>
        <v>4</v>
      </c>
      <c r="O15" s="19" t="str">
        <f t="shared" si="20"/>
        <v>3</v>
      </c>
      <c r="P15" s="19" t="str">
        <f t="shared" si="21"/>
        <v>2</v>
      </c>
      <c r="Q15" s="19" t="str">
        <f t="shared" si="22"/>
        <v>0</v>
      </c>
      <c r="R15" s="36" t="str">
        <f t="shared" si="23"/>
        <v>1</v>
      </c>
      <c r="S15" s="59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</row>
    <row r="16" ht="12.75" customHeight="1">
      <c r="A16" s="136"/>
      <c r="B16" s="21" t="s">
        <v>55</v>
      </c>
      <c r="C16" s="22">
        <v>1.0</v>
      </c>
      <c r="D16" s="19" t="s">
        <v>31</v>
      </c>
      <c r="E16" s="23">
        <v>0.0</v>
      </c>
      <c r="F16" s="24" t="s">
        <v>57</v>
      </c>
      <c r="G16" s="59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-4</v>
      </c>
      <c r="N16" s="19" t="str">
        <f t="shared" si="19"/>
        <v>0</v>
      </c>
      <c r="O16" s="19" t="str">
        <f t="shared" si="20"/>
        <v>4</v>
      </c>
      <c r="P16" s="19" t="str">
        <f t="shared" si="21"/>
        <v>0</v>
      </c>
      <c r="Q16" s="19" t="str">
        <f t="shared" si="22"/>
        <v>0</v>
      </c>
      <c r="R16" s="36" t="str">
        <f t="shared" si="23"/>
        <v>3</v>
      </c>
      <c r="S16" s="59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</row>
    <row r="17" ht="12.75" customHeight="1">
      <c r="A17" s="136"/>
      <c r="B17" s="21" t="s">
        <v>58</v>
      </c>
      <c r="C17" s="22">
        <v>2.0</v>
      </c>
      <c r="D17" s="19" t="s">
        <v>31</v>
      </c>
      <c r="E17" s="23">
        <v>1.0</v>
      </c>
      <c r="F17" s="24" t="s">
        <v>55</v>
      </c>
      <c r="G17" s="59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7</v>
      </c>
      <c r="M17" s="38" t="str">
        <f t="shared" si="18"/>
        <v>3</v>
      </c>
      <c r="N17" s="38" t="str">
        <f t="shared" si="19"/>
        <v>5</v>
      </c>
      <c r="O17" s="38" t="str">
        <f t="shared" si="20"/>
        <v>2</v>
      </c>
      <c r="P17" s="38" t="str">
        <f t="shared" si="21"/>
        <v>2</v>
      </c>
      <c r="Q17" s="38" t="str">
        <f t="shared" si="22"/>
        <v>1</v>
      </c>
      <c r="R17" s="39" t="str">
        <f t="shared" si="23"/>
        <v>0</v>
      </c>
      <c r="S17" s="59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</row>
    <row r="18" ht="13.5" customHeight="1">
      <c r="A18" s="136"/>
      <c r="B18" s="40" t="s">
        <v>56</v>
      </c>
      <c r="C18" s="41">
        <v>1.0</v>
      </c>
      <c r="D18" s="38" t="s">
        <v>31</v>
      </c>
      <c r="E18" s="42">
        <v>0.0</v>
      </c>
      <c r="F18" s="48" t="s">
        <v>57</v>
      </c>
      <c r="G18" s="59"/>
      <c r="H18" s="44">
        <v>46197.0</v>
      </c>
      <c r="I18" s="45">
        <v>0.666666666666667</v>
      </c>
      <c r="J18" s="27"/>
      <c r="K18" s="31"/>
      <c r="L18" s="136"/>
      <c r="M18" s="136"/>
      <c r="N18" s="136"/>
      <c r="O18" s="136"/>
      <c r="P18" s="136"/>
      <c r="Q18" s="136"/>
      <c r="R18" s="136"/>
      <c r="S18" s="59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</row>
    <row r="19" ht="13.5" customHeight="1">
      <c r="A19" s="136"/>
      <c r="B19" s="4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136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</row>
    <row r="20" ht="13.5" customHeight="1">
      <c r="A20" s="136"/>
      <c r="B20" s="138" t="s">
        <v>71</v>
      </c>
      <c r="C20" s="138"/>
      <c r="D20" s="138"/>
      <c r="E20" s="138"/>
      <c r="F20" s="138"/>
      <c r="G20" s="59"/>
      <c r="H20" s="16" t="s">
        <v>28</v>
      </c>
      <c r="I20" s="17" t="s">
        <v>29</v>
      </c>
      <c r="J20" s="18"/>
      <c r="K20" s="59"/>
      <c r="L20" s="59"/>
      <c r="M20" s="59"/>
      <c r="N20" s="59"/>
      <c r="O20" s="59"/>
      <c r="P20" s="59"/>
      <c r="Q20" s="59"/>
      <c r="R20" s="59"/>
      <c r="S20" s="59"/>
      <c r="T20" s="136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</row>
    <row r="21" ht="13.5" customHeight="1">
      <c r="A21" s="136"/>
      <c r="B21" s="21" t="s">
        <v>72</v>
      </c>
      <c r="C21" s="22">
        <v>2.0</v>
      </c>
      <c r="D21" s="19" t="s">
        <v>31</v>
      </c>
      <c r="E21" s="23">
        <v>0.0</v>
      </c>
      <c r="F21" s="24" t="s">
        <v>73</v>
      </c>
      <c r="G21" s="59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</row>
    <row r="22" ht="13.5" customHeight="1">
      <c r="A22" s="136"/>
      <c r="B22" s="21" t="s">
        <v>74</v>
      </c>
      <c r="C22" s="22">
        <v>0.0</v>
      </c>
      <c r="D22" s="19" t="s">
        <v>31</v>
      </c>
      <c r="E22" s="23">
        <v>3.0</v>
      </c>
      <c r="F22" s="24" t="s">
        <v>75</v>
      </c>
      <c r="G22" s="59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7</v>
      </c>
      <c r="N22" s="19" t="str">
        <f t="shared" ref="N22:N25" si="32">SUM(INDIRECT($AC22),INDIRECT($AD22),INDIRECT($AE22))</f>
        <v>8</v>
      </c>
      <c r="O22" s="19" t="str">
        <f t="shared" ref="O22:O25" si="33">SUM(INDIRECT($AF22),INDIRECT($AG22),INDIRECT($AH22))</f>
        <v>1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1</v>
      </c>
      <c r="AB22" s="6" t="str">
        <f>IF(
  AND(
    ISNUMBER(RESULTADOS!C22),
    ISNUMBER(RESULTADOS!E22),
    ISNUMBER(C22),
    ISNUMBER(E22),
    AND(Z22=1,AA22=0,(RESULTADOS!C22-RESULTADOS!E22)=(C22-E22))
  ),
  1,
  0
)</f>
        <v>0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</row>
    <row r="23" ht="12.75" customHeight="1">
      <c r="A23" s="136"/>
      <c r="B23" s="21" t="s">
        <v>75</v>
      </c>
      <c r="C23" s="22">
        <v>0.0</v>
      </c>
      <c r="D23" s="19" t="s">
        <v>31</v>
      </c>
      <c r="E23" s="23">
        <v>2.0</v>
      </c>
      <c r="F23" s="24" t="s">
        <v>73</v>
      </c>
      <c r="G23" s="59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0</v>
      </c>
      <c r="N23" s="19" t="str">
        <f t="shared" si="32"/>
        <v>4</v>
      </c>
      <c r="O23" s="19" t="str">
        <f t="shared" si="33"/>
        <v>4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59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</row>
    <row r="24" ht="12.75" customHeight="1">
      <c r="A24" s="136"/>
      <c r="B24" s="21" t="s">
        <v>72</v>
      </c>
      <c r="C24" s="22">
        <v>4.0</v>
      </c>
      <c r="D24" s="19" t="s">
        <v>31</v>
      </c>
      <c r="E24" s="23">
        <v>0.0</v>
      </c>
      <c r="F24" s="24" t="s">
        <v>74</v>
      </c>
      <c r="G24" s="59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-9</v>
      </c>
      <c r="N24" s="19" t="str">
        <f t="shared" si="32"/>
        <v>1</v>
      </c>
      <c r="O24" s="19" t="str">
        <f t="shared" si="33"/>
        <v>10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59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</row>
    <row r="25" ht="12.75" customHeight="1">
      <c r="A25" s="136"/>
      <c r="B25" s="21" t="s">
        <v>73</v>
      </c>
      <c r="C25" s="22">
        <v>3.0</v>
      </c>
      <c r="D25" s="19" t="s">
        <v>31</v>
      </c>
      <c r="E25" s="23">
        <v>1.0</v>
      </c>
      <c r="F25" s="24" t="s">
        <v>74</v>
      </c>
      <c r="G25" s="59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2</v>
      </c>
      <c r="N25" s="38" t="str">
        <f t="shared" si="32"/>
        <v>5</v>
      </c>
      <c r="O25" s="38" t="str">
        <f t="shared" si="33"/>
        <v>3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59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</row>
    <row r="26" ht="13.5" customHeight="1">
      <c r="A26" s="136"/>
      <c r="B26" s="40" t="s">
        <v>75</v>
      </c>
      <c r="C26" s="41">
        <v>1.0</v>
      </c>
      <c r="D26" s="38" t="s">
        <v>31</v>
      </c>
      <c r="E26" s="42">
        <v>2.0</v>
      </c>
      <c r="F26" s="48" t="s">
        <v>72</v>
      </c>
      <c r="G26" s="59"/>
      <c r="H26" s="44">
        <v>46197.0</v>
      </c>
      <c r="I26" s="45">
        <v>0.791666666666667</v>
      </c>
      <c r="J26" s="27"/>
      <c r="K26" s="46"/>
      <c r="L26" s="136"/>
      <c r="M26" s="136"/>
      <c r="N26" s="136"/>
      <c r="O26" s="136"/>
      <c r="P26" s="136"/>
      <c r="Q26" s="136"/>
      <c r="R26" s="136"/>
      <c r="S26" s="59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</row>
    <row r="27" ht="13.5" customHeight="1">
      <c r="A27" s="136"/>
      <c r="B27" s="4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136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</row>
    <row r="28" ht="13.5" customHeight="1">
      <c r="A28" s="136"/>
      <c r="B28" s="138" t="s">
        <v>88</v>
      </c>
      <c r="C28" s="138"/>
      <c r="D28" s="138"/>
      <c r="E28" s="138"/>
      <c r="F28" s="138"/>
      <c r="G28" s="59"/>
      <c r="H28" s="16" t="s">
        <v>28</v>
      </c>
      <c r="I28" s="17" t="s">
        <v>29</v>
      </c>
      <c r="J28" s="18"/>
      <c r="K28" s="59"/>
      <c r="L28" s="59"/>
      <c r="M28" s="59"/>
      <c r="N28" s="59"/>
      <c r="O28" s="59"/>
      <c r="P28" s="59"/>
      <c r="Q28" s="59"/>
      <c r="R28" s="59"/>
      <c r="S28" s="59"/>
      <c r="T28" s="136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</row>
    <row r="29" ht="13.5" customHeight="1">
      <c r="A29" s="136"/>
      <c r="B29" s="21" t="s">
        <v>89</v>
      </c>
      <c r="C29" s="22">
        <v>1.0</v>
      </c>
      <c r="D29" s="19" t="s">
        <v>31</v>
      </c>
      <c r="E29" s="23">
        <v>0.0</v>
      </c>
      <c r="F29" s="24" t="s">
        <v>90</v>
      </c>
      <c r="G29" s="59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1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1</v>
      </c>
      <c r="AA29" s="33" t="str">
        <f>IF(AND(ISNUMBER(RESULTADOS!C29),ISNUMBER(RESULTADOS!E29),ISNUMBER(C29),ISNUMBER(E29),AND(Z29=1,OR(C29=RESULTADOS!C29,E29=RESULTADOS!E29))),1,0)</f>
        <v>0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</row>
    <row r="30" ht="13.5" customHeight="1">
      <c r="A30" s="136"/>
      <c r="B30" s="21" t="s">
        <v>91</v>
      </c>
      <c r="C30" s="22">
        <v>0.0</v>
      </c>
      <c r="D30" s="19" t="s">
        <v>31</v>
      </c>
      <c r="E30" s="23">
        <v>1.0</v>
      </c>
      <c r="F30" s="24" t="s">
        <v>92</v>
      </c>
      <c r="G30" s="59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1</v>
      </c>
      <c r="M30" s="19" t="str">
        <f t="shared" ref="M30:M33" si="44">N30-O30</f>
        <v>-2</v>
      </c>
      <c r="N30" s="19" t="str">
        <f t="shared" ref="N30:N33" si="45">SUM(INDIRECT($AC30),INDIRECT($AD30),INDIRECT($AE30))</f>
        <v>0</v>
      </c>
      <c r="O30" s="19" t="str">
        <f t="shared" ref="O30:O33" si="46">SUM(INDIRECT($AF30),INDIRECT($AG30),INDIRECT($AH30))</f>
        <v>2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1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2</v>
      </c>
      <c r="S30" s="31"/>
      <c r="T30" s="32" t="str">
        <f t="shared" si="40"/>
        <v/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</row>
    <row r="31" ht="12.75" customHeight="1">
      <c r="A31" s="136"/>
      <c r="B31" s="21" t="s">
        <v>89</v>
      </c>
      <c r="C31" s="22">
        <v>0.0</v>
      </c>
      <c r="D31" s="19" t="s">
        <v>31</v>
      </c>
      <c r="E31" s="23">
        <v>0.0</v>
      </c>
      <c r="F31" s="24" t="s">
        <v>91</v>
      </c>
      <c r="G31" s="59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4</v>
      </c>
      <c r="M31" s="19" t="str">
        <f t="shared" si="44"/>
        <v>-1</v>
      </c>
      <c r="N31" s="19" t="str">
        <f t="shared" si="45"/>
        <v>1</v>
      </c>
      <c r="O31" s="19" t="str">
        <f t="shared" si="46"/>
        <v>2</v>
      </c>
      <c r="P31" s="19" t="str">
        <f t="shared" si="47"/>
        <v>1</v>
      </c>
      <c r="Q31" s="19" t="str">
        <f t="shared" si="48"/>
        <v>1</v>
      </c>
      <c r="R31" s="36" t="str">
        <f t="shared" si="49"/>
        <v>1</v>
      </c>
      <c r="S31" s="59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</row>
    <row r="32" ht="12.75" customHeight="1">
      <c r="A32" s="136"/>
      <c r="B32" s="21" t="s">
        <v>92</v>
      </c>
      <c r="C32" s="22">
        <v>2.0</v>
      </c>
      <c r="D32" s="19" t="s">
        <v>31</v>
      </c>
      <c r="E32" s="23">
        <v>1.0</v>
      </c>
      <c r="F32" s="24" t="s">
        <v>90</v>
      </c>
      <c r="G32" s="59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0</v>
      </c>
      <c r="M32" s="19" t="str">
        <f t="shared" si="44"/>
        <v>-3</v>
      </c>
      <c r="N32" s="19" t="str">
        <f t="shared" si="45"/>
        <v>1</v>
      </c>
      <c r="O32" s="19" t="str">
        <f t="shared" si="46"/>
        <v>4</v>
      </c>
      <c r="P32" s="19" t="str">
        <f t="shared" si="47"/>
        <v>0</v>
      </c>
      <c r="Q32" s="19" t="str">
        <f t="shared" si="48"/>
        <v>0</v>
      </c>
      <c r="R32" s="36" t="str">
        <f t="shared" si="49"/>
        <v>3</v>
      </c>
      <c r="S32" s="59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</row>
    <row r="33" ht="12.75" customHeight="1">
      <c r="A33" s="136"/>
      <c r="B33" s="21" t="s">
        <v>92</v>
      </c>
      <c r="C33" s="22">
        <v>2.0</v>
      </c>
      <c r="D33" s="19" t="s">
        <v>31</v>
      </c>
      <c r="E33" s="23">
        <v>0.0</v>
      </c>
      <c r="F33" s="24" t="s">
        <v>89</v>
      </c>
      <c r="G33" s="59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9</v>
      </c>
      <c r="M33" s="38" t="str">
        <f t="shared" si="44"/>
        <v>4</v>
      </c>
      <c r="N33" s="38" t="str">
        <f t="shared" si="45"/>
        <v>5</v>
      </c>
      <c r="O33" s="38" t="str">
        <f t="shared" si="46"/>
        <v>1</v>
      </c>
      <c r="P33" s="38" t="str">
        <f t="shared" si="47"/>
        <v>3</v>
      </c>
      <c r="Q33" s="38" t="str">
        <f t="shared" si="48"/>
        <v>0</v>
      </c>
      <c r="R33" s="39" t="str">
        <f t="shared" si="49"/>
        <v>0</v>
      </c>
      <c r="S33" s="59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</row>
    <row r="34" ht="13.5" customHeight="1">
      <c r="A34" s="136"/>
      <c r="B34" s="40" t="s">
        <v>90</v>
      </c>
      <c r="C34" s="41">
        <v>1.0</v>
      </c>
      <c r="D34" s="38" t="s">
        <v>31</v>
      </c>
      <c r="E34" s="42">
        <v>0.0</v>
      </c>
      <c r="F34" s="48" t="s">
        <v>91</v>
      </c>
      <c r="G34" s="59"/>
      <c r="H34" s="44">
        <v>46198.0</v>
      </c>
      <c r="I34" s="45">
        <v>0.958333333333333</v>
      </c>
      <c r="J34" s="27"/>
      <c r="K34" s="46"/>
      <c r="L34" s="136"/>
      <c r="M34" s="136"/>
      <c r="N34" s="136"/>
      <c r="O34" s="136"/>
      <c r="P34" s="136"/>
      <c r="Q34" s="136"/>
      <c r="R34" s="136"/>
      <c r="S34" s="59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</row>
    <row r="35" ht="13.5" customHeight="1">
      <c r="A35" s="136"/>
      <c r="B35" s="4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136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</row>
    <row r="36" ht="13.5" customHeight="1">
      <c r="A36" s="136"/>
      <c r="B36" s="138" t="s">
        <v>104</v>
      </c>
      <c r="C36" s="138"/>
      <c r="D36" s="138"/>
      <c r="E36" s="138"/>
      <c r="F36" s="138"/>
      <c r="G36" s="59"/>
      <c r="H36" s="16" t="s">
        <v>28</v>
      </c>
      <c r="I36" s="17" t="s">
        <v>29</v>
      </c>
      <c r="J36" s="18"/>
      <c r="K36" s="59"/>
      <c r="L36" s="59"/>
      <c r="M36" s="59"/>
      <c r="N36" s="59"/>
      <c r="O36" s="59"/>
      <c r="P36" s="59"/>
      <c r="Q36" s="59"/>
      <c r="R36" s="59"/>
      <c r="S36" s="59"/>
      <c r="T36" s="136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</row>
    <row r="37" ht="13.5" customHeight="1">
      <c r="A37" s="136"/>
      <c r="B37" s="21" t="s">
        <v>105</v>
      </c>
      <c r="C37" s="22">
        <v>3.0</v>
      </c>
      <c r="D37" s="19" t="s">
        <v>31</v>
      </c>
      <c r="E37" s="23">
        <v>0.0</v>
      </c>
      <c r="F37" s="34" t="s">
        <v>106</v>
      </c>
      <c r="G37" s="59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/>
      </c>
      <c r="U37" s="19" t="str">
        <f t="shared" ref="U37:U42" si="54">SUM(Y37,Z37,AA37, AB37)</f>
        <v>1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1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</row>
    <row r="38" ht="13.5" customHeight="1">
      <c r="A38" s="136"/>
      <c r="B38" s="21" t="s">
        <v>107</v>
      </c>
      <c r="C38" s="22">
        <v>0.0</v>
      </c>
      <c r="D38" s="19" t="s">
        <v>31</v>
      </c>
      <c r="E38" s="23">
        <v>2.0</v>
      </c>
      <c r="F38" s="34" t="s">
        <v>108</v>
      </c>
      <c r="G38" s="59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9</v>
      </c>
      <c r="M38" s="19" t="str">
        <f t="shared" ref="M38:M41" si="57">N38-O38</f>
        <v>6</v>
      </c>
      <c r="N38" s="19" t="str">
        <f t="shared" ref="N38:N41" si="58">SUM(INDIRECT($AC38),INDIRECT($AD38),INDIRECT($AE38))</f>
        <v>7</v>
      </c>
      <c r="O38" s="19" t="str">
        <f t="shared" ref="O38:O41" si="59">SUM(INDIRECT($AF38),INDIRECT($AG38),INDIRECT($AH38))</f>
        <v>1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3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/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</row>
    <row r="39" ht="12.75" customHeight="1">
      <c r="A39" s="136"/>
      <c r="B39" s="21" t="s">
        <v>105</v>
      </c>
      <c r="C39" s="22">
        <v>2.0</v>
      </c>
      <c r="D39" s="19" t="s">
        <v>31</v>
      </c>
      <c r="E39" s="23">
        <v>0.0</v>
      </c>
      <c r="F39" s="34" t="s">
        <v>107</v>
      </c>
      <c r="G39" s="59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0</v>
      </c>
      <c r="M39" s="19" t="str">
        <f t="shared" si="57"/>
        <v>-5</v>
      </c>
      <c r="N39" s="19" t="str">
        <f t="shared" si="58"/>
        <v>0</v>
      </c>
      <c r="O39" s="19" t="str">
        <f t="shared" si="59"/>
        <v>5</v>
      </c>
      <c r="P39" s="19" t="str">
        <f t="shared" si="60"/>
        <v>0</v>
      </c>
      <c r="Q39" s="19" t="str">
        <f t="shared" si="61"/>
        <v>0</v>
      </c>
      <c r="R39" s="36" t="str">
        <f t="shared" si="62"/>
        <v>3</v>
      </c>
      <c r="S39" s="59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</row>
    <row r="40" ht="12.75" customHeight="1">
      <c r="A40" s="136"/>
      <c r="B40" s="21" t="s">
        <v>108</v>
      </c>
      <c r="C40" s="22">
        <v>2.0</v>
      </c>
      <c r="D40" s="19" t="s">
        <v>31</v>
      </c>
      <c r="E40" s="23">
        <v>1.0</v>
      </c>
      <c r="F40" s="34" t="s">
        <v>106</v>
      </c>
      <c r="G40" s="59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3</v>
      </c>
      <c r="M40" s="19" t="str">
        <f t="shared" si="57"/>
        <v>-3</v>
      </c>
      <c r="N40" s="19" t="str">
        <f t="shared" si="58"/>
        <v>2</v>
      </c>
      <c r="O40" s="19" t="str">
        <f t="shared" si="59"/>
        <v>5</v>
      </c>
      <c r="P40" s="19" t="str">
        <f t="shared" si="60"/>
        <v>1</v>
      </c>
      <c r="Q40" s="19" t="str">
        <f t="shared" si="61"/>
        <v>0</v>
      </c>
      <c r="R40" s="36" t="str">
        <f t="shared" si="62"/>
        <v>2</v>
      </c>
      <c r="S40" s="59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</row>
    <row r="41" ht="12.75" customHeight="1">
      <c r="A41" s="136"/>
      <c r="B41" s="21" t="s">
        <v>108</v>
      </c>
      <c r="C41" s="22">
        <v>1.0</v>
      </c>
      <c r="D41" s="19" t="s">
        <v>31</v>
      </c>
      <c r="E41" s="23">
        <v>2.0</v>
      </c>
      <c r="F41" s="34" t="s">
        <v>105</v>
      </c>
      <c r="G41" s="59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6</v>
      </c>
      <c r="M41" s="38" t="str">
        <f t="shared" si="57"/>
        <v>2</v>
      </c>
      <c r="N41" s="38" t="str">
        <f t="shared" si="58"/>
        <v>5</v>
      </c>
      <c r="O41" s="38" t="str">
        <f t="shared" si="59"/>
        <v>3</v>
      </c>
      <c r="P41" s="38" t="str">
        <f t="shared" si="60"/>
        <v>2</v>
      </c>
      <c r="Q41" s="38" t="str">
        <f t="shared" si="61"/>
        <v>0</v>
      </c>
      <c r="R41" s="39" t="str">
        <f t="shared" si="62"/>
        <v>1</v>
      </c>
      <c r="S41" s="59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</row>
    <row r="42" ht="13.5" customHeight="1">
      <c r="A42" s="136"/>
      <c r="B42" s="40" t="s">
        <v>106</v>
      </c>
      <c r="C42" s="41">
        <v>1.0</v>
      </c>
      <c r="D42" s="38" t="s">
        <v>31</v>
      </c>
      <c r="E42" s="42">
        <v>0.0</v>
      </c>
      <c r="F42" s="43" t="s">
        <v>107</v>
      </c>
      <c r="G42" s="59"/>
      <c r="H42" s="44">
        <v>46198.0</v>
      </c>
      <c r="I42" s="45">
        <v>0.708333333333333</v>
      </c>
      <c r="J42" s="27"/>
      <c r="K42" s="46"/>
      <c r="L42" s="136"/>
      <c r="M42" s="136"/>
      <c r="N42" s="136"/>
      <c r="O42" s="136"/>
      <c r="P42" s="136"/>
      <c r="Q42" s="136"/>
      <c r="R42" s="136"/>
      <c r="S42" s="59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</row>
    <row r="43" ht="13.5" customHeight="1">
      <c r="A43" s="136"/>
      <c r="B43" s="4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136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</row>
    <row r="44" ht="13.5" customHeight="1">
      <c r="A44" s="136"/>
      <c r="B44" s="138" t="s">
        <v>121</v>
      </c>
      <c r="C44" s="138"/>
      <c r="D44" s="138"/>
      <c r="E44" s="138"/>
      <c r="F44" s="138"/>
      <c r="G44" s="59"/>
      <c r="H44" s="16" t="s">
        <v>28</v>
      </c>
      <c r="I44" s="17" t="s">
        <v>29</v>
      </c>
      <c r="J44" s="18"/>
      <c r="K44" s="59"/>
      <c r="L44" s="59"/>
      <c r="M44" s="59"/>
      <c r="N44" s="59"/>
      <c r="O44" s="59"/>
      <c r="P44" s="59"/>
      <c r="Q44" s="59"/>
      <c r="R44" s="59"/>
      <c r="S44" s="59"/>
      <c r="T44" s="136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</row>
    <row r="45" ht="13.5" customHeight="1">
      <c r="A45" s="136"/>
      <c r="B45" s="21" t="s">
        <v>122</v>
      </c>
      <c r="C45" s="22">
        <v>2.0</v>
      </c>
      <c r="D45" s="19" t="s">
        <v>31</v>
      </c>
      <c r="E45" s="23">
        <v>2.0</v>
      </c>
      <c r="F45" s="34" t="s">
        <v>123</v>
      </c>
      <c r="G45" s="59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/>
      </c>
      <c r="U45" s="19" t="str">
        <f t="shared" ref="U45:U50" si="67">SUM(Y45,Z45,AA45, AB45)</f>
        <v>4</v>
      </c>
      <c r="Y45" s="33" t="str">
        <f>IF(AND(ISNUMBER(RESULTADOS!C45),ISNUMBER(RESULTADOS!E45),ISNUMBER(C45),ISNUMBER(E45),C45=RESULTADOS!C45,E45=RESULTADOS!E45),2,0)</f>
        <v>2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2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</row>
    <row r="46" ht="13.5" customHeight="1">
      <c r="A46" s="136"/>
      <c r="B46" s="21" t="s">
        <v>124</v>
      </c>
      <c r="C46" s="22">
        <v>2.0</v>
      </c>
      <c r="D46" s="19" t="s">
        <v>31</v>
      </c>
      <c r="E46" s="23">
        <v>1.0</v>
      </c>
      <c r="F46" s="34" t="s">
        <v>125</v>
      </c>
      <c r="G46" s="59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4</v>
      </c>
      <c r="M46" s="19" t="str">
        <f t="shared" ref="M46:M49" si="70">N46-O46</f>
        <v>1</v>
      </c>
      <c r="N46" s="19" t="str">
        <f t="shared" ref="N46:N49" si="71">SUM(INDIRECT($AC46),INDIRECT($AD46),INDIRECT($AE46))</f>
        <v>4</v>
      </c>
      <c r="O46" s="19" t="str">
        <f t="shared" ref="O46:O49" si="72">SUM(INDIRECT($AF46),INDIRECT($AG46),INDIRECT($AH46))</f>
        <v>3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1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1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1</v>
      </c>
      <c r="S46" s="31"/>
      <c r="T46" s="32" t="str">
        <f t="shared" si="66"/>
        <v/>
      </c>
      <c r="U46" s="19" t="str">
        <f t="shared" si="67"/>
        <v>2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1</v>
      </c>
      <c r="AA46" s="33" t="str">
        <f>IF(AND(ISNUMBER(RESULTADOS!C46),ISNUMBER(RESULTADOS!E46),ISNUMBER(C46),ISNUMBER(E46),AND(Z46=1,OR(C46=RESULTADOS!C46,E46=RESULTADOS!E46))),1,0)</f>
        <v>1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</row>
    <row r="47" ht="12.75" customHeight="1">
      <c r="A47" s="136"/>
      <c r="B47" s="21" t="s">
        <v>122</v>
      </c>
      <c r="C47" s="22">
        <v>0.0</v>
      </c>
      <c r="D47" s="19" t="s">
        <v>31</v>
      </c>
      <c r="E47" s="23">
        <v>1.0</v>
      </c>
      <c r="F47" s="34" t="s">
        <v>124</v>
      </c>
      <c r="G47" s="59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4</v>
      </c>
      <c r="M47" s="19" t="str">
        <f t="shared" si="70"/>
        <v>0</v>
      </c>
      <c r="N47" s="19" t="str">
        <f t="shared" si="71"/>
        <v>4</v>
      </c>
      <c r="O47" s="19" t="str">
        <f t="shared" si="72"/>
        <v>4</v>
      </c>
      <c r="P47" s="19" t="str">
        <f t="shared" si="73"/>
        <v>1</v>
      </c>
      <c r="Q47" s="19" t="str">
        <f t="shared" si="74"/>
        <v>1</v>
      </c>
      <c r="R47" s="36" t="str">
        <f t="shared" si="75"/>
        <v>1</v>
      </c>
      <c r="S47" s="59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</row>
    <row r="48" ht="12.75" customHeight="1">
      <c r="A48" s="136"/>
      <c r="B48" s="21" t="s">
        <v>125</v>
      </c>
      <c r="C48" s="22">
        <v>0.0</v>
      </c>
      <c r="D48" s="19" t="s">
        <v>31</v>
      </c>
      <c r="E48" s="23">
        <v>1.0</v>
      </c>
      <c r="F48" s="34" t="s">
        <v>123</v>
      </c>
      <c r="G48" s="59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9</v>
      </c>
      <c r="M48" s="19" t="str">
        <f t="shared" si="70"/>
        <v>3</v>
      </c>
      <c r="N48" s="19" t="str">
        <f t="shared" si="71"/>
        <v>5</v>
      </c>
      <c r="O48" s="19" t="str">
        <f t="shared" si="72"/>
        <v>2</v>
      </c>
      <c r="P48" s="19" t="str">
        <f t="shared" si="73"/>
        <v>3</v>
      </c>
      <c r="Q48" s="19" t="str">
        <f t="shared" si="74"/>
        <v>0</v>
      </c>
      <c r="R48" s="36" t="str">
        <f t="shared" si="75"/>
        <v>0</v>
      </c>
      <c r="S48" s="59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</row>
    <row r="49" ht="12.75" customHeight="1">
      <c r="A49" s="136"/>
      <c r="B49" s="21" t="s">
        <v>125</v>
      </c>
      <c r="C49" s="22">
        <v>0.0</v>
      </c>
      <c r="D49" s="19" t="s">
        <v>31</v>
      </c>
      <c r="E49" s="23">
        <v>2.0</v>
      </c>
      <c r="F49" s="34" t="s">
        <v>122</v>
      </c>
      <c r="G49" s="59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-4</v>
      </c>
      <c r="N49" s="38" t="str">
        <f t="shared" si="71"/>
        <v>1</v>
      </c>
      <c r="O49" s="38" t="str">
        <f t="shared" si="72"/>
        <v>5</v>
      </c>
      <c r="P49" s="38" t="str">
        <f t="shared" si="73"/>
        <v>0</v>
      </c>
      <c r="Q49" s="38" t="str">
        <f t="shared" si="74"/>
        <v>0</v>
      </c>
      <c r="R49" s="39" t="str">
        <f t="shared" si="75"/>
        <v>3</v>
      </c>
      <c r="S49" s="59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</row>
    <row r="50" ht="13.5" customHeight="1">
      <c r="A50" s="136"/>
      <c r="B50" s="40" t="s">
        <v>123</v>
      </c>
      <c r="C50" s="41">
        <v>1.0</v>
      </c>
      <c r="D50" s="38" t="s">
        <v>31</v>
      </c>
      <c r="E50" s="42">
        <v>2.0</v>
      </c>
      <c r="F50" s="43" t="s">
        <v>124</v>
      </c>
      <c r="G50" s="59"/>
      <c r="H50" s="44">
        <v>46198.0</v>
      </c>
      <c r="I50" s="45">
        <v>0.833333333333333</v>
      </c>
      <c r="J50" s="27"/>
      <c r="K50" s="46"/>
      <c r="L50" s="136"/>
      <c r="M50" s="136"/>
      <c r="N50" s="136"/>
      <c r="O50" s="136"/>
      <c r="P50" s="136"/>
      <c r="Q50" s="136"/>
      <c r="R50" s="136"/>
      <c r="S50" s="59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</row>
    <row r="51" ht="13.5" customHeight="1">
      <c r="A51" s="136"/>
      <c r="B51" s="4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136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</row>
    <row r="52" ht="13.5" customHeight="1">
      <c r="A52" s="136"/>
      <c r="B52" s="138" t="s">
        <v>138</v>
      </c>
      <c r="C52" s="138"/>
      <c r="D52" s="138"/>
      <c r="E52" s="138"/>
      <c r="F52" s="138"/>
      <c r="G52" s="59"/>
      <c r="H52" s="16" t="s">
        <v>28</v>
      </c>
      <c r="I52" s="17" t="s">
        <v>29</v>
      </c>
      <c r="J52" s="18"/>
      <c r="K52" s="59"/>
      <c r="L52" s="59"/>
      <c r="M52" s="59"/>
      <c r="N52" s="59"/>
      <c r="O52" s="59"/>
      <c r="P52" s="59"/>
      <c r="Q52" s="59"/>
      <c r="R52" s="59"/>
      <c r="S52" s="59"/>
      <c r="T52" s="136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</row>
    <row r="53" ht="13.5" customHeight="1">
      <c r="A53" s="136"/>
      <c r="B53" s="21" t="s">
        <v>139</v>
      </c>
      <c r="C53" s="22">
        <v>2.0</v>
      </c>
      <c r="D53" s="19" t="s">
        <v>31</v>
      </c>
      <c r="E53" s="23">
        <v>1.0</v>
      </c>
      <c r="F53" s="34" t="s">
        <v>140</v>
      </c>
      <c r="G53" s="59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</row>
    <row r="54" ht="13.5" customHeight="1">
      <c r="A54" s="136"/>
      <c r="B54" s="21" t="s">
        <v>141</v>
      </c>
      <c r="C54" s="22">
        <v>1.0</v>
      </c>
      <c r="D54" s="19" t="s">
        <v>31</v>
      </c>
      <c r="E54" s="23">
        <v>1.0</v>
      </c>
      <c r="F54" s="34" t="s">
        <v>142</v>
      </c>
      <c r="G54" s="59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9</v>
      </c>
      <c r="M54" s="19" t="str">
        <f t="shared" ref="M54:M57" si="83">N54-O54</f>
        <v>6</v>
      </c>
      <c r="N54" s="19" t="str">
        <f t="shared" ref="N54:N57" si="84">SUM(INDIRECT($AC54),INDIRECT($AD54),INDIRECT($AE54))</f>
        <v>7</v>
      </c>
      <c r="O54" s="19" t="str">
        <f t="shared" ref="O54:O57" si="85">SUM(INDIRECT($AF54),INDIRECT($AG54),INDIRECT($AH54))</f>
        <v>1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3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2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2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</row>
    <row r="55" ht="12.75" customHeight="1">
      <c r="A55" s="136"/>
      <c r="B55" s="21" t="s">
        <v>139</v>
      </c>
      <c r="C55" s="22">
        <v>2.0</v>
      </c>
      <c r="D55" s="19" t="s">
        <v>31</v>
      </c>
      <c r="E55" s="23">
        <v>0.0</v>
      </c>
      <c r="F55" s="34" t="s">
        <v>141</v>
      </c>
      <c r="G55" s="59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6</v>
      </c>
      <c r="M55" s="19" t="str">
        <f t="shared" si="83"/>
        <v>2</v>
      </c>
      <c r="N55" s="19" t="str">
        <f t="shared" si="84"/>
        <v>5</v>
      </c>
      <c r="O55" s="19" t="str">
        <f t="shared" si="85"/>
        <v>3</v>
      </c>
      <c r="P55" s="19" t="str">
        <f t="shared" si="86"/>
        <v>2</v>
      </c>
      <c r="Q55" s="19" t="str">
        <f t="shared" si="87"/>
        <v>0</v>
      </c>
      <c r="R55" s="36" t="str">
        <f t="shared" si="88"/>
        <v>1</v>
      </c>
      <c r="S55" s="59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</row>
    <row r="56" ht="12.75" customHeight="1">
      <c r="A56" s="136"/>
      <c r="B56" s="21" t="s">
        <v>142</v>
      </c>
      <c r="C56" s="22">
        <v>1.0</v>
      </c>
      <c r="D56" s="19" t="s">
        <v>31</v>
      </c>
      <c r="E56" s="23">
        <v>2.0</v>
      </c>
      <c r="F56" s="34" t="s">
        <v>140</v>
      </c>
      <c r="G56" s="59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1</v>
      </c>
      <c r="M56" s="19" t="str">
        <f t="shared" si="83"/>
        <v>-4</v>
      </c>
      <c r="N56" s="19" t="str">
        <f t="shared" si="84"/>
        <v>1</v>
      </c>
      <c r="O56" s="19" t="str">
        <f t="shared" si="85"/>
        <v>5</v>
      </c>
      <c r="P56" s="19" t="str">
        <f t="shared" si="86"/>
        <v>0</v>
      </c>
      <c r="Q56" s="19" t="str">
        <f t="shared" si="87"/>
        <v>1</v>
      </c>
      <c r="R56" s="36" t="str">
        <f t="shared" si="88"/>
        <v>2</v>
      </c>
      <c r="S56" s="59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</row>
    <row r="57" ht="12.75" customHeight="1">
      <c r="A57" s="136"/>
      <c r="B57" s="21" t="s">
        <v>140</v>
      </c>
      <c r="C57" s="22">
        <v>2.0</v>
      </c>
      <c r="D57" s="19" t="s">
        <v>31</v>
      </c>
      <c r="E57" s="23">
        <v>0.0</v>
      </c>
      <c r="F57" s="34" t="s">
        <v>141</v>
      </c>
      <c r="G57" s="59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1</v>
      </c>
      <c r="M57" s="38" t="str">
        <f t="shared" si="83"/>
        <v>-4</v>
      </c>
      <c r="N57" s="38" t="str">
        <f t="shared" si="84"/>
        <v>2</v>
      </c>
      <c r="O57" s="38" t="str">
        <f t="shared" si="85"/>
        <v>6</v>
      </c>
      <c r="P57" s="38" t="str">
        <f t="shared" si="86"/>
        <v>0</v>
      </c>
      <c r="Q57" s="38" t="str">
        <f t="shared" si="87"/>
        <v>1</v>
      </c>
      <c r="R57" s="39" t="str">
        <f t="shared" si="88"/>
        <v>2</v>
      </c>
      <c r="S57" s="59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</row>
    <row r="58" ht="13.5" customHeight="1">
      <c r="A58" s="136"/>
      <c r="B58" s="40" t="s">
        <v>142</v>
      </c>
      <c r="C58" s="41">
        <v>0.0</v>
      </c>
      <c r="D58" s="38" t="s">
        <v>31</v>
      </c>
      <c r="E58" s="42">
        <v>3.0</v>
      </c>
      <c r="F58" s="43" t="s">
        <v>139</v>
      </c>
      <c r="G58" s="59"/>
      <c r="H58" s="44">
        <v>46200.0</v>
      </c>
      <c r="I58" s="45">
        <v>0.0</v>
      </c>
      <c r="J58" s="27"/>
      <c r="K58" s="46"/>
      <c r="L58" s="136"/>
      <c r="M58" s="136"/>
      <c r="N58" s="136"/>
      <c r="O58" s="136"/>
      <c r="P58" s="136"/>
      <c r="Q58" s="136"/>
      <c r="R58" s="136"/>
      <c r="S58" s="59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</row>
    <row r="59" ht="13.5" customHeight="1">
      <c r="A59" s="136"/>
      <c r="B59" s="4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136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</row>
    <row r="60" ht="13.5" customHeight="1">
      <c r="A60" s="136"/>
      <c r="B60" s="138" t="s">
        <v>155</v>
      </c>
      <c r="C60" s="138"/>
      <c r="D60" s="138"/>
      <c r="E60" s="138"/>
      <c r="F60" s="138"/>
      <c r="G60" s="59"/>
      <c r="H60" s="16" t="s">
        <v>28</v>
      </c>
      <c r="I60" s="17" t="s">
        <v>29</v>
      </c>
      <c r="J60" s="18"/>
      <c r="K60" s="59"/>
      <c r="L60" s="59"/>
      <c r="M60" s="59"/>
      <c r="N60" s="59"/>
      <c r="O60" s="59"/>
      <c r="P60" s="59"/>
      <c r="Q60" s="59"/>
      <c r="R60" s="59"/>
      <c r="S60" s="59"/>
      <c r="T60" s="136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</row>
    <row r="61" ht="13.5" customHeight="1">
      <c r="A61" s="136"/>
      <c r="B61" s="21" t="s">
        <v>156</v>
      </c>
      <c r="C61" s="22">
        <v>3.0</v>
      </c>
      <c r="D61" s="19" t="s">
        <v>31</v>
      </c>
      <c r="E61" s="23">
        <v>0.0</v>
      </c>
      <c r="F61" s="34" t="s">
        <v>157</v>
      </c>
      <c r="G61" s="59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/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</row>
    <row r="62" ht="13.5" customHeight="1">
      <c r="A62" s="136"/>
      <c r="B62" s="21" t="s">
        <v>158</v>
      </c>
      <c r="C62" s="22">
        <v>1.0</v>
      </c>
      <c r="D62" s="19" t="s">
        <v>31</v>
      </c>
      <c r="E62" s="23">
        <v>2.0</v>
      </c>
      <c r="F62" s="34" t="s">
        <v>159</v>
      </c>
      <c r="G62" s="59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3</v>
      </c>
      <c r="M62" s="19" t="str">
        <f t="shared" ref="M62:M65" si="96">N62-O62</f>
        <v>0</v>
      </c>
      <c r="N62" s="19" t="str">
        <f t="shared" ref="N62:N65" si="97">SUM(INDIRECT($AC62),INDIRECT($AD62),INDIRECT($AE62))</f>
        <v>3</v>
      </c>
      <c r="O62" s="19" t="str">
        <f t="shared" ref="O62:O65" si="98">SUM(INDIRECT($AF62),INDIRECT($AG62),INDIRECT($AH62))</f>
        <v>3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0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2</v>
      </c>
      <c r="S62" s="31"/>
      <c r="T62" s="32" t="str">
        <f t="shared" si="92"/>
        <v/>
      </c>
      <c r="U62" s="19" t="str">
        <f t="shared" si="93"/>
        <v>0</v>
      </c>
      <c r="Y62" s="33" t="str">
        <f>IF(AND(ISNUMBER(RESULTADOS!C62),ISNUMBER(RESULTADOS!E62),ISNUMBER(C62),ISNUMBER(E62),C62=RESULTADOS!C62,E62=RESULTADOS!E62),2,0)</f>
        <v>0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0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</row>
    <row r="63" ht="12.75" customHeight="1">
      <c r="A63" s="136"/>
      <c r="B63" s="21" t="s">
        <v>156</v>
      </c>
      <c r="C63" s="22">
        <v>1.0</v>
      </c>
      <c r="D63" s="19" t="s">
        <v>31</v>
      </c>
      <c r="E63" s="23">
        <v>0.0</v>
      </c>
      <c r="F63" s="34" t="s">
        <v>158</v>
      </c>
      <c r="G63" s="59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-7</v>
      </c>
      <c r="N63" s="19" t="str">
        <f t="shared" si="97"/>
        <v>0</v>
      </c>
      <c r="O63" s="19" t="str">
        <f t="shared" si="98"/>
        <v>7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3</v>
      </c>
      <c r="S63" s="59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</row>
    <row r="64" ht="12.75" customHeight="1">
      <c r="A64" s="136"/>
      <c r="B64" s="21" t="s">
        <v>159</v>
      </c>
      <c r="C64" s="22">
        <v>2.0</v>
      </c>
      <c r="D64" s="19" t="s">
        <v>31</v>
      </c>
      <c r="E64" s="23">
        <v>0.0</v>
      </c>
      <c r="F64" s="34" t="s">
        <v>157</v>
      </c>
      <c r="G64" s="59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9</v>
      </c>
      <c r="M64" s="19" t="str">
        <f t="shared" si="96"/>
        <v>6</v>
      </c>
      <c r="N64" s="19" t="str">
        <f t="shared" si="97"/>
        <v>7</v>
      </c>
      <c r="O64" s="19" t="str">
        <f t="shared" si="98"/>
        <v>1</v>
      </c>
      <c r="P64" s="19" t="str">
        <f t="shared" si="99"/>
        <v>3</v>
      </c>
      <c r="Q64" s="19" t="str">
        <f t="shared" si="100"/>
        <v>0</v>
      </c>
      <c r="R64" s="36" t="str">
        <f t="shared" si="101"/>
        <v>0</v>
      </c>
      <c r="S64" s="59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</row>
    <row r="65" ht="12.75" customHeight="1">
      <c r="A65" s="136"/>
      <c r="B65" s="21" t="s">
        <v>157</v>
      </c>
      <c r="C65" s="22">
        <v>0.0</v>
      </c>
      <c r="D65" s="19" t="s">
        <v>31</v>
      </c>
      <c r="E65" s="23">
        <v>2.0</v>
      </c>
      <c r="F65" s="34" t="s">
        <v>158</v>
      </c>
      <c r="G65" s="59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6</v>
      </c>
      <c r="M65" s="38" t="str">
        <f t="shared" si="96"/>
        <v>1</v>
      </c>
      <c r="N65" s="38" t="str">
        <f t="shared" si="97"/>
        <v>5</v>
      </c>
      <c r="O65" s="38" t="str">
        <f t="shared" si="98"/>
        <v>4</v>
      </c>
      <c r="P65" s="38" t="str">
        <f t="shared" si="99"/>
        <v>2</v>
      </c>
      <c r="Q65" s="38" t="str">
        <f t="shared" si="100"/>
        <v>0</v>
      </c>
      <c r="R65" s="39" t="str">
        <f t="shared" si="101"/>
        <v>1</v>
      </c>
      <c r="S65" s="59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</row>
    <row r="66" ht="13.5" customHeight="1">
      <c r="A66" s="136"/>
      <c r="B66" s="40" t="s">
        <v>159</v>
      </c>
      <c r="C66" s="41">
        <v>1.0</v>
      </c>
      <c r="D66" s="38" t="s">
        <v>31</v>
      </c>
      <c r="E66" s="42">
        <v>3.0</v>
      </c>
      <c r="F66" s="43" t="s">
        <v>156</v>
      </c>
      <c r="G66" s="59"/>
      <c r="H66" s="44">
        <v>46199.0</v>
      </c>
      <c r="I66" s="45">
        <v>0.875</v>
      </c>
      <c r="J66" s="27"/>
      <c r="K66" s="46"/>
      <c r="L66" s="136"/>
      <c r="M66" s="136"/>
      <c r="N66" s="136"/>
      <c r="O66" s="136"/>
      <c r="P66" s="136"/>
      <c r="Q66" s="136"/>
      <c r="R66" s="136"/>
      <c r="S66" s="59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</row>
    <row r="67" ht="12.75" customHeight="1">
      <c r="A67" s="136"/>
      <c r="B67" s="13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</row>
    <row r="68" ht="12.75" customHeight="1">
      <c r="A68" s="136"/>
      <c r="B68" s="138" t="s">
        <v>172</v>
      </c>
      <c r="C68" s="138"/>
      <c r="D68" s="138"/>
      <c r="E68" s="138"/>
      <c r="F68" s="138"/>
      <c r="G68" s="59"/>
      <c r="H68" s="16" t="s">
        <v>28</v>
      </c>
      <c r="I68" s="17" t="s">
        <v>29</v>
      </c>
      <c r="J68" s="18"/>
      <c r="K68" s="59"/>
      <c r="L68" s="59"/>
      <c r="M68" s="59"/>
      <c r="N68" s="59"/>
      <c r="O68" s="59"/>
      <c r="P68" s="59"/>
      <c r="Q68" s="59"/>
      <c r="R68" s="59"/>
      <c r="S68" s="59"/>
      <c r="T68" s="136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</row>
    <row r="69" ht="12.75" customHeight="1">
      <c r="A69" s="136"/>
      <c r="B69" s="21" t="s">
        <v>173</v>
      </c>
      <c r="C69" s="22">
        <v>2.0</v>
      </c>
      <c r="D69" s="19" t="s">
        <v>31</v>
      </c>
      <c r="E69" s="23">
        <v>0.0</v>
      </c>
      <c r="F69" s="34" t="s">
        <v>174</v>
      </c>
      <c r="G69" s="59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2</v>
      </c>
      <c r="Y69" s="33" t="str">
        <f>IF(AND(ISNUMBER(RESULTADOS!C69),ISNUMBER(RESULTADOS!E69),ISNUMBER(C69),ISNUMBER(E69),C69=RESULTADOS!C69,E69=RESULTADOS!E69),2,0)</f>
        <v>0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0</v>
      </c>
      <c r="AB69" s="6" t="str">
        <f>IF(
  AND(
    ISNUMBER(RESULTADOS!C69),
    ISNUMBER(RESULTADOS!E69),
    ISNUMBER(C69),
    ISNUMBER(E69),
    AND(Z69=1,AA69=0,(RESULTADOS!C69-RESULTADOS!E69)=(C69-E69))
  ),
  1,
  0
)</f>
        <v>1</v>
      </c>
      <c r="AC69" s="6"/>
      <c r="AD69" s="6"/>
      <c r="AE69" s="6"/>
      <c r="AF69" s="6"/>
      <c r="AG69" s="6"/>
      <c r="AH69" s="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</row>
    <row r="70" ht="12.75" customHeight="1">
      <c r="A70" s="136"/>
      <c r="B70" s="21" t="s">
        <v>175</v>
      </c>
      <c r="C70" s="22">
        <v>1.0</v>
      </c>
      <c r="D70" s="19" t="s">
        <v>31</v>
      </c>
      <c r="E70" s="23">
        <v>3.0</v>
      </c>
      <c r="F70" s="34" t="s">
        <v>176</v>
      </c>
      <c r="G70" s="59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6</v>
      </c>
      <c r="N70" s="19" t="str">
        <f t="shared" ref="N70:N73" si="110">SUM(INDIRECT($AC70),INDIRECT($AD70),INDIRECT($AE70))</f>
        <v>7</v>
      </c>
      <c r="O70" s="19" t="str">
        <f t="shared" ref="O70:O73" si="111">SUM(INDIRECT($AF70),INDIRECT($AG70),INDIRECT($AH70))</f>
        <v>1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2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1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</row>
    <row r="71" ht="12.75" customHeight="1">
      <c r="A71" s="136"/>
      <c r="B71" s="21" t="s">
        <v>173</v>
      </c>
      <c r="C71" s="22">
        <v>3.0</v>
      </c>
      <c r="D71" s="19" t="s">
        <v>31</v>
      </c>
      <c r="E71" s="23">
        <v>0.0</v>
      </c>
      <c r="F71" s="34" t="s">
        <v>175</v>
      </c>
      <c r="G71" s="59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-7</v>
      </c>
      <c r="N71" s="19" t="str">
        <f t="shared" si="110"/>
        <v>1</v>
      </c>
      <c r="O71" s="19" t="str">
        <f t="shared" si="111"/>
        <v>8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59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</row>
    <row r="72" ht="12.75" customHeight="1">
      <c r="A72" s="136"/>
      <c r="B72" s="21" t="s">
        <v>176</v>
      </c>
      <c r="C72" s="22">
        <v>1.0</v>
      </c>
      <c r="D72" s="19" t="s">
        <v>31</v>
      </c>
      <c r="E72" s="23">
        <v>2.0</v>
      </c>
      <c r="F72" s="34" t="s">
        <v>174</v>
      </c>
      <c r="G72" s="59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3</v>
      </c>
      <c r="M72" s="19" t="str">
        <f t="shared" si="109"/>
        <v>0</v>
      </c>
      <c r="N72" s="19" t="str">
        <f t="shared" si="110"/>
        <v>5</v>
      </c>
      <c r="O72" s="19" t="str">
        <f t="shared" si="111"/>
        <v>5</v>
      </c>
      <c r="P72" s="19" t="str">
        <f t="shared" si="112"/>
        <v>1</v>
      </c>
      <c r="Q72" s="19" t="str">
        <f t="shared" si="113"/>
        <v>0</v>
      </c>
      <c r="R72" s="36" t="str">
        <f t="shared" si="114"/>
        <v>2</v>
      </c>
      <c r="S72" s="59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</row>
    <row r="73" ht="12.75" customHeight="1">
      <c r="A73" s="136"/>
      <c r="B73" s="21" t="s">
        <v>174</v>
      </c>
      <c r="C73" s="22">
        <v>2.0</v>
      </c>
      <c r="D73" s="19" t="s">
        <v>31</v>
      </c>
      <c r="E73" s="23">
        <v>0.0</v>
      </c>
      <c r="F73" s="34" t="s">
        <v>175</v>
      </c>
      <c r="G73" s="59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6</v>
      </c>
      <c r="M73" s="38" t="str">
        <f t="shared" si="109"/>
        <v>1</v>
      </c>
      <c r="N73" s="38" t="str">
        <f t="shared" si="110"/>
        <v>4</v>
      </c>
      <c r="O73" s="38" t="str">
        <f t="shared" si="111"/>
        <v>3</v>
      </c>
      <c r="P73" s="38" t="str">
        <f t="shared" si="112"/>
        <v>2</v>
      </c>
      <c r="Q73" s="38" t="str">
        <f t="shared" si="113"/>
        <v>0</v>
      </c>
      <c r="R73" s="39" t="str">
        <f t="shared" si="114"/>
        <v>1</v>
      </c>
      <c r="S73" s="59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</row>
    <row r="74" ht="12.75" customHeight="1">
      <c r="A74" s="136"/>
      <c r="B74" s="40" t="s">
        <v>176</v>
      </c>
      <c r="C74" s="41">
        <v>1.0</v>
      </c>
      <c r="D74" s="38" t="s">
        <v>31</v>
      </c>
      <c r="E74" s="42">
        <v>2.0</v>
      </c>
      <c r="F74" s="43" t="s">
        <v>173</v>
      </c>
      <c r="G74" s="59"/>
      <c r="H74" s="44">
        <v>46199.0</v>
      </c>
      <c r="I74" s="45">
        <v>0.666666666666667</v>
      </c>
      <c r="J74" s="27"/>
      <c r="K74" s="46"/>
      <c r="L74" s="136"/>
      <c r="M74" s="136"/>
      <c r="N74" s="136"/>
      <c r="O74" s="136"/>
      <c r="P74" s="136"/>
      <c r="Q74" s="136"/>
      <c r="R74" s="136"/>
      <c r="S74" s="59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</row>
    <row r="75" ht="12.75" customHeight="1">
      <c r="A75" s="136"/>
      <c r="B75" s="4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136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</row>
    <row r="76" ht="12.75" customHeight="1">
      <c r="A76" s="136"/>
      <c r="B76" s="138" t="s">
        <v>189</v>
      </c>
      <c r="C76" s="138"/>
      <c r="D76" s="138"/>
      <c r="E76" s="138"/>
      <c r="F76" s="138"/>
      <c r="G76" s="59"/>
      <c r="H76" s="16" t="s">
        <v>28</v>
      </c>
      <c r="I76" s="17" t="s">
        <v>29</v>
      </c>
      <c r="J76" s="18"/>
      <c r="K76" s="59"/>
      <c r="L76" s="59"/>
      <c r="M76" s="59"/>
      <c r="N76" s="59"/>
      <c r="O76" s="59"/>
      <c r="P76" s="59"/>
      <c r="Q76" s="59"/>
      <c r="R76" s="59"/>
      <c r="S76" s="59"/>
      <c r="T76" s="136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</row>
    <row r="77" ht="12.75" customHeight="1">
      <c r="A77" s="136"/>
      <c r="B77" s="21" t="s">
        <v>190</v>
      </c>
      <c r="C77" s="22">
        <v>2.0</v>
      </c>
      <c r="D77" s="19" t="s">
        <v>31</v>
      </c>
      <c r="E77" s="23">
        <v>0.0</v>
      </c>
      <c r="F77" s="34" t="s">
        <v>191</v>
      </c>
      <c r="G77" s="59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2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1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</row>
    <row r="78" ht="12.75" customHeight="1">
      <c r="A78" s="136"/>
      <c r="B78" s="21" t="s">
        <v>192</v>
      </c>
      <c r="C78" s="22">
        <v>1.0</v>
      </c>
      <c r="D78" s="19" t="s">
        <v>31</v>
      </c>
      <c r="E78" s="23">
        <v>1.0</v>
      </c>
      <c r="F78" s="34" t="s">
        <v>193</v>
      </c>
      <c r="G78" s="59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6</v>
      </c>
      <c r="N78" s="19" t="str">
        <f t="shared" ref="N78:N81" si="123">SUM(INDIRECT($AC78),INDIRECT($AD78),INDIRECT($AE78))</f>
        <v>7</v>
      </c>
      <c r="O78" s="19" t="str">
        <f t="shared" ref="O78:O81" si="124">SUM(INDIRECT($AF78),INDIRECT($AG78),INDIRECT($AH78))</f>
        <v>1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0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0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0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</row>
    <row r="79" ht="12.75" customHeight="1">
      <c r="A79" s="136"/>
      <c r="B79" s="21" t="s">
        <v>190</v>
      </c>
      <c r="C79" s="22">
        <v>3.0</v>
      </c>
      <c r="D79" s="19" t="s">
        <v>31</v>
      </c>
      <c r="E79" s="23">
        <v>1.0</v>
      </c>
      <c r="F79" s="34" t="s">
        <v>192</v>
      </c>
      <c r="G79" s="59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4</v>
      </c>
      <c r="M79" s="19" t="str">
        <f t="shared" si="122"/>
        <v>0</v>
      </c>
      <c r="N79" s="19" t="str">
        <f t="shared" si="123"/>
        <v>3</v>
      </c>
      <c r="O79" s="19" t="str">
        <f t="shared" si="124"/>
        <v>3</v>
      </c>
      <c r="P79" s="19" t="str">
        <f t="shared" si="125"/>
        <v>1</v>
      </c>
      <c r="Q79" s="19" t="str">
        <f t="shared" si="126"/>
        <v>1</v>
      </c>
      <c r="R79" s="36" t="str">
        <f t="shared" si="127"/>
        <v>1</v>
      </c>
      <c r="S79" s="59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</row>
    <row r="80" ht="12.75" customHeight="1">
      <c r="A80" s="136"/>
      <c r="B80" s="21" t="s">
        <v>193</v>
      </c>
      <c r="C80" s="22">
        <v>0.0</v>
      </c>
      <c r="D80" s="19" t="s">
        <v>31</v>
      </c>
      <c r="E80" s="23">
        <v>2.0</v>
      </c>
      <c r="F80" s="34" t="s">
        <v>191</v>
      </c>
      <c r="G80" s="59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1</v>
      </c>
      <c r="M80" s="19" t="str">
        <f t="shared" si="122"/>
        <v>-4</v>
      </c>
      <c r="N80" s="19" t="str">
        <f t="shared" si="123"/>
        <v>1</v>
      </c>
      <c r="O80" s="19" t="str">
        <f t="shared" si="124"/>
        <v>5</v>
      </c>
      <c r="P80" s="19" t="str">
        <f t="shared" si="125"/>
        <v>0</v>
      </c>
      <c r="Q80" s="19" t="str">
        <f t="shared" si="126"/>
        <v>1</v>
      </c>
      <c r="R80" s="36" t="str">
        <f t="shared" si="127"/>
        <v>2</v>
      </c>
      <c r="S80" s="59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</row>
    <row r="81" ht="12.75" customHeight="1">
      <c r="A81" s="136"/>
      <c r="B81" s="21" t="s">
        <v>193</v>
      </c>
      <c r="C81" s="22">
        <v>0.0</v>
      </c>
      <c r="D81" s="19" t="s">
        <v>31</v>
      </c>
      <c r="E81" s="23">
        <v>2.0</v>
      </c>
      <c r="F81" s="34" t="s">
        <v>190</v>
      </c>
      <c r="G81" s="59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2</v>
      </c>
      <c r="M81" s="38" t="str">
        <f t="shared" si="122"/>
        <v>-2</v>
      </c>
      <c r="N81" s="38" t="str">
        <f t="shared" si="123"/>
        <v>3</v>
      </c>
      <c r="O81" s="38" t="str">
        <f t="shared" si="124"/>
        <v>5</v>
      </c>
      <c r="P81" s="38" t="str">
        <f t="shared" si="125"/>
        <v>0</v>
      </c>
      <c r="Q81" s="38" t="str">
        <f t="shared" si="126"/>
        <v>2</v>
      </c>
      <c r="R81" s="39" t="str">
        <f t="shared" si="127"/>
        <v>1</v>
      </c>
      <c r="S81" s="59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</row>
    <row r="82" ht="12.75" customHeight="1">
      <c r="A82" s="136"/>
      <c r="B82" s="40" t="s">
        <v>191</v>
      </c>
      <c r="C82" s="41">
        <v>1.0</v>
      </c>
      <c r="D82" s="38" t="s">
        <v>31</v>
      </c>
      <c r="E82" s="42">
        <v>1.0</v>
      </c>
      <c r="F82" s="43" t="s">
        <v>192</v>
      </c>
      <c r="G82" s="59"/>
      <c r="H82" s="44">
        <v>46200.0</v>
      </c>
      <c r="I82" s="45">
        <v>0.958333333333333</v>
      </c>
      <c r="J82" s="27"/>
      <c r="K82" s="46"/>
      <c r="L82" s="136"/>
      <c r="M82" s="136"/>
      <c r="N82" s="136"/>
      <c r="O82" s="136"/>
      <c r="P82" s="136"/>
      <c r="Q82" s="136"/>
      <c r="R82" s="136"/>
      <c r="S82" s="59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</row>
    <row r="83" ht="12.75" customHeight="1">
      <c r="A83" s="136"/>
      <c r="B83" s="4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136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</row>
    <row r="84" ht="12.75" customHeight="1">
      <c r="A84" s="136"/>
      <c r="B84" s="138" t="s">
        <v>206</v>
      </c>
      <c r="C84" s="138"/>
      <c r="D84" s="138"/>
      <c r="E84" s="138"/>
      <c r="F84" s="138"/>
      <c r="G84" s="59"/>
      <c r="H84" s="16" t="s">
        <v>28</v>
      </c>
      <c r="I84" s="17" t="s">
        <v>29</v>
      </c>
      <c r="J84" s="18"/>
      <c r="K84" s="59"/>
      <c r="L84" s="59"/>
      <c r="M84" s="59"/>
      <c r="N84" s="59"/>
      <c r="O84" s="59"/>
      <c r="P84" s="59"/>
      <c r="Q84" s="59"/>
      <c r="R84" s="59"/>
      <c r="S84" s="59"/>
      <c r="T84" s="136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</row>
    <row r="85" ht="12.75" customHeight="1">
      <c r="A85" s="136"/>
      <c r="B85" s="21" t="s">
        <v>207</v>
      </c>
      <c r="C85" s="22">
        <v>2.0</v>
      </c>
      <c r="D85" s="19" t="s">
        <v>31</v>
      </c>
      <c r="E85" s="23">
        <v>0.0</v>
      </c>
      <c r="F85" s="34" t="s">
        <v>208</v>
      </c>
      <c r="G85" s="59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</row>
    <row r="86" ht="12.75" customHeight="1">
      <c r="A86" s="136"/>
      <c r="B86" s="21" t="s">
        <v>209</v>
      </c>
      <c r="C86" s="22">
        <v>0.0</v>
      </c>
      <c r="D86" s="19" t="s">
        <v>31</v>
      </c>
      <c r="E86" s="23">
        <v>2.0</v>
      </c>
      <c r="F86" s="34" t="s">
        <v>210</v>
      </c>
      <c r="G86" s="59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6</v>
      </c>
      <c r="M86" s="19" t="str">
        <f t="shared" ref="M86:M89" si="135">N86-O86</f>
        <v>1</v>
      </c>
      <c r="N86" s="19" t="str">
        <f t="shared" ref="N86:N89" si="136">SUM(INDIRECT($AC86),INDIRECT($AD86),INDIRECT($AE86))</f>
        <v>5</v>
      </c>
      <c r="O86" s="19" t="str">
        <f t="shared" ref="O86:O89" si="137">SUM(INDIRECT($AF86),INDIRECT($AG86),INDIRECT($AH86))</f>
        <v>4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0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1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1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</row>
    <row r="87" ht="12.75" customHeight="1">
      <c r="A87" s="136"/>
      <c r="B87" s="21" t="s">
        <v>207</v>
      </c>
      <c r="C87" s="22">
        <v>3.0</v>
      </c>
      <c r="D87" s="19" t="s">
        <v>31</v>
      </c>
      <c r="E87" s="23">
        <v>0.0</v>
      </c>
      <c r="F87" s="34" t="s">
        <v>209</v>
      </c>
      <c r="G87" s="59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9</v>
      </c>
      <c r="M87" s="19" t="str">
        <f t="shared" si="135"/>
        <v>7</v>
      </c>
      <c r="N87" s="19" t="str">
        <f t="shared" si="136"/>
        <v>8</v>
      </c>
      <c r="O87" s="19" t="str">
        <f t="shared" si="137"/>
        <v>1</v>
      </c>
      <c r="P87" s="19" t="str">
        <f t="shared" si="138"/>
        <v>3</v>
      </c>
      <c r="Q87" s="19" t="str">
        <f t="shared" si="139"/>
        <v>0</v>
      </c>
      <c r="R87" s="36" t="str">
        <f t="shared" si="140"/>
        <v>0</v>
      </c>
      <c r="S87" s="59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</row>
    <row r="88" ht="12.75" customHeight="1">
      <c r="A88" s="136"/>
      <c r="B88" s="21" t="s">
        <v>210</v>
      </c>
      <c r="C88" s="22">
        <v>2.0</v>
      </c>
      <c r="D88" s="19" t="s">
        <v>31</v>
      </c>
      <c r="E88" s="23">
        <v>1.0</v>
      </c>
      <c r="F88" s="34" t="s">
        <v>208</v>
      </c>
      <c r="G88" s="59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-2</v>
      </c>
      <c r="N88" s="19" t="str">
        <f t="shared" si="136"/>
        <v>2</v>
      </c>
      <c r="O88" s="19" t="str">
        <f t="shared" si="137"/>
        <v>4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59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</row>
    <row r="89" ht="12.75" customHeight="1">
      <c r="A89" s="136"/>
      <c r="B89" s="21" t="s">
        <v>208</v>
      </c>
      <c r="C89" s="22">
        <v>1.0</v>
      </c>
      <c r="D89" s="19" t="s">
        <v>31</v>
      </c>
      <c r="E89" s="23">
        <v>0.0</v>
      </c>
      <c r="F89" s="34" t="s">
        <v>209</v>
      </c>
      <c r="G89" s="59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-6</v>
      </c>
      <c r="N89" s="38" t="str">
        <f t="shared" si="136"/>
        <v>0</v>
      </c>
      <c r="O89" s="38" t="str">
        <f t="shared" si="137"/>
        <v>6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59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</row>
    <row r="90" ht="12.75" customHeight="1">
      <c r="A90" s="136"/>
      <c r="B90" s="40" t="s">
        <v>210</v>
      </c>
      <c r="C90" s="41">
        <v>1.0</v>
      </c>
      <c r="D90" s="38" t="s">
        <v>31</v>
      </c>
      <c r="E90" s="42">
        <v>3.0</v>
      </c>
      <c r="F90" s="43" t="s">
        <v>207</v>
      </c>
      <c r="G90" s="59"/>
      <c r="H90" s="44">
        <v>46200.0</v>
      </c>
      <c r="I90" s="45">
        <v>0.854166666666667</v>
      </c>
      <c r="J90" s="27"/>
      <c r="K90" s="46"/>
      <c r="L90" s="136"/>
      <c r="M90" s="136"/>
      <c r="N90" s="136"/>
      <c r="O90" s="136"/>
      <c r="P90" s="136"/>
      <c r="Q90" s="136"/>
      <c r="R90" s="136"/>
      <c r="S90" s="59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</row>
    <row r="91" ht="12.75" customHeight="1">
      <c r="A91" s="136"/>
      <c r="B91" s="4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136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</row>
    <row r="92" ht="12.75" customHeight="1">
      <c r="A92" s="136"/>
      <c r="B92" s="138" t="s">
        <v>223</v>
      </c>
      <c r="C92" s="138"/>
      <c r="D92" s="138"/>
      <c r="E92" s="138"/>
      <c r="F92" s="138"/>
      <c r="G92" s="59"/>
      <c r="H92" s="16" t="s">
        <v>28</v>
      </c>
      <c r="I92" s="17" t="s">
        <v>29</v>
      </c>
      <c r="J92" s="18"/>
      <c r="K92" s="59"/>
      <c r="L92" s="59"/>
      <c r="M92" s="59"/>
      <c r="N92" s="59"/>
      <c r="O92" s="59"/>
      <c r="P92" s="59"/>
      <c r="Q92" s="59"/>
      <c r="R92" s="59"/>
      <c r="S92" s="59"/>
      <c r="T92" s="136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</row>
    <row r="93" ht="12.75" customHeight="1">
      <c r="A93" s="136"/>
      <c r="B93" s="21" t="s">
        <v>224</v>
      </c>
      <c r="C93" s="22">
        <v>2.0</v>
      </c>
      <c r="D93" s="19" t="s">
        <v>31</v>
      </c>
      <c r="E93" s="23">
        <v>2.0</v>
      </c>
      <c r="F93" s="34" t="s">
        <v>225</v>
      </c>
      <c r="G93" s="59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</row>
    <row r="94" ht="12.75" customHeight="1">
      <c r="A94" s="136"/>
      <c r="B94" s="21" t="s">
        <v>226</v>
      </c>
      <c r="C94" s="22">
        <v>2.0</v>
      </c>
      <c r="D94" s="19" t="s">
        <v>31</v>
      </c>
      <c r="E94" s="23">
        <v>1.0</v>
      </c>
      <c r="F94" s="34" t="s">
        <v>227</v>
      </c>
      <c r="G94" s="59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7</v>
      </c>
      <c r="M94" s="19" t="str">
        <f t="shared" ref="M94:M97" si="148">N94-O94</f>
        <v>2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3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1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0</v>
      </c>
      <c r="AB94" s="6" t="str">
        <f>IF(
  AND(
    ISNUMBER(RESULTADOS!C94),
    ISNUMBER(RESULTADOS!E94),
    ISNUMBER(C94),
    ISNUMBER(E94),
    AND(Z94=1,AA94=0,(RESULTADOS!C94-RESULTADOS!E94)=(C94-E94))
  ),
  1,
  0
)</f>
        <v>1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</row>
    <row r="95" ht="12.75" customHeight="1">
      <c r="A95" s="136"/>
      <c r="B95" s="21" t="s">
        <v>224</v>
      </c>
      <c r="C95" s="22">
        <v>2.0</v>
      </c>
      <c r="D95" s="19" t="s">
        <v>31</v>
      </c>
      <c r="E95" s="23">
        <v>0.0</v>
      </c>
      <c r="F95" s="34" t="s">
        <v>226</v>
      </c>
      <c r="G95" s="59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-2</v>
      </c>
      <c r="N95" s="19" t="str">
        <f t="shared" si="149"/>
        <v>2</v>
      </c>
      <c r="O95" s="19" t="str">
        <f t="shared" si="150"/>
        <v>4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59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</row>
    <row r="96" ht="12.75" customHeight="1">
      <c r="A96" s="136"/>
      <c r="B96" s="21" t="s">
        <v>227</v>
      </c>
      <c r="C96" s="22">
        <v>1.0</v>
      </c>
      <c r="D96" s="19" t="s">
        <v>31</v>
      </c>
      <c r="E96" s="23">
        <v>2.0</v>
      </c>
      <c r="F96" s="34" t="s">
        <v>225</v>
      </c>
      <c r="G96" s="59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7</v>
      </c>
      <c r="M96" s="19" t="str">
        <f t="shared" si="148"/>
        <v>5</v>
      </c>
      <c r="N96" s="19" t="str">
        <f t="shared" si="149"/>
        <v>7</v>
      </c>
      <c r="O96" s="19" t="str">
        <f t="shared" si="150"/>
        <v>2</v>
      </c>
      <c r="P96" s="19" t="str">
        <f t="shared" si="151"/>
        <v>2</v>
      </c>
      <c r="Q96" s="19" t="str">
        <f t="shared" si="152"/>
        <v>1</v>
      </c>
      <c r="R96" s="36" t="str">
        <f t="shared" si="153"/>
        <v>0</v>
      </c>
      <c r="S96" s="59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</row>
    <row r="97" ht="12.75" customHeight="1">
      <c r="A97" s="136"/>
      <c r="B97" s="21" t="s">
        <v>225</v>
      </c>
      <c r="C97" s="22">
        <v>1.0</v>
      </c>
      <c r="D97" s="19" t="s">
        <v>31</v>
      </c>
      <c r="E97" s="23">
        <v>0.0</v>
      </c>
      <c r="F97" s="34" t="s">
        <v>226</v>
      </c>
      <c r="G97" s="59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-5</v>
      </c>
      <c r="N97" s="38" t="str">
        <f t="shared" si="149"/>
        <v>2</v>
      </c>
      <c r="O97" s="38" t="str">
        <f t="shared" si="150"/>
        <v>7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59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</row>
    <row r="98" ht="12.75" customHeight="1">
      <c r="A98" s="136"/>
      <c r="B98" s="40" t="s">
        <v>227</v>
      </c>
      <c r="C98" s="41">
        <v>0.0</v>
      </c>
      <c r="D98" s="38" t="s">
        <v>31</v>
      </c>
      <c r="E98" s="42">
        <v>3.0</v>
      </c>
      <c r="F98" s="43" t="s">
        <v>224</v>
      </c>
      <c r="G98" s="59"/>
      <c r="H98" s="44">
        <v>46200.0</v>
      </c>
      <c r="I98" s="45">
        <v>0.75</v>
      </c>
      <c r="J98" s="27"/>
      <c r="K98" s="46"/>
      <c r="L98" s="136"/>
      <c r="M98" s="136"/>
      <c r="N98" s="136"/>
      <c r="O98" s="136"/>
      <c r="P98" s="136"/>
      <c r="Q98" s="136"/>
      <c r="R98" s="136"/>
      <c r="S98" s="59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</row>
    <row r="99" ht="12.75" customHeight="1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</row>
    <row r="100" ht="12.75" customHeight="1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</row>
    <row r="101" ht="13.5" customHeight="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</row>
    <row r="102" ht="12.75" customHeight="1">
      <c r="A102" s="136"/>
      <c r="B102" s="136"/>
      <c r="C102" s="136"/>
      <c r="D102" s="136"/>
      <c r="E102" s="136"/>
      <c r="F102" s="136"/>
      <c r="G102" s="136"/>
      <c r="H102" s="52"/>
      <c r="I102" s="52"/>
      <c r="J102" s="52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</row>
    <row r="103" ht="12.75" customHeight="1">
      <c r="A103" s="136"/>
      <c r="B103" s="136"/>
      <c r="C103" s="136"/>
      <c r="D103" s="136"/>
      <c r="E103" s="136"/>
      <c r="F103" s="136"/>
      <c r="G103" s="136"/>
      <c r="H103" s="52"/>
      <c r="I103" s="52"/>
      <c r="J103" s="52"/>
      <c r="K103" s="136"/>
      <c r="L103" s="53"/>
      <c r="M103" s="53"/>
      <c r="N103" s="53"/>
      <c r="O103" s="53"/>
      <c r="P103" s="53"/>
      <c r="Q103" s="53"/>
      <c r="R103" s="53"/>
      <c r="S103" s="136"/>
      <c r="T103" s="136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</row>
    <row r="104" ht="12.75" customHeight="1">
      <c r="A104" s="136"/>
      <c r="B104" s="136"/>
      <c r="C104" s="136"/>
      <c r="D104" s="136"/>
      <c r="E104" s="136"/>
      <c r="F104" s="136"/>
      <c r="G104" s="136"/>
      <c r="H104" s="52"/>
      <c r="I104" s="52"/>
      <c r="J104" s="52"/>
      <c r="K104" s="136"/>
      <c r="L104" s="53"/>
      <c r="M104" s="53"/>
      <c r="N104" s="53"/>
      <c r="O104" s="53"/>
      <c r="P104" s="53"/>
      <c r="Q104" s="53"/>
      <c r="R104" s="53"/>
      <c r="S104" s="136"/>
      <c r="T104" s="136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</row>
    <row r="105" ht="12.75" customHeight="1">
      <c r="A105" s="136"/>
      <c r="B105" s="136"/>
      <c r="C105" s="136"/>
      <c r="D105" s="136"/>
      <c r="E105" s="136"/>
      <c r="F105" s="136"/>
      <c r="G105" s="136"/>
      <c r="H105" s="52"/>
      <c r="I105" s="52"/>
      <c r="J105" s="52"/>
      <c r="K105" s="136"/>
      <c r="L105" s="53"/>
      <c r="M105" s="53"/>
      <c r="N105" s="53"/>
      <c r="O105" s="53"/>
      <c r="P105" s="53"/>
      <c r="Q105" s="53"/>
      <c r="R105" s="53"/>
      <c r="S105" s="136"/>
      <c r="T105" s="136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</row>
    <row r="106" ht="12.75" customHeight="1">
      <c r="A106" s="136"/>
      <c r="B106" s="136"/>
      <c r="C106" s="136"/>
      <c r="D106" s="136"/>
      <c r="E106" s="136"/>
      <c r="F106" s="136"/>
      <c r="G106" s="136"/>
      <c r="H106" s="52"/>
      <c r="I106" s="52"/>
      <c r="J106" s="52"/>
      <c r="K106" s="136"/>
      <c r="L106" s="53"/>
      <c r="M106" s="53"/>
      <c r="N106" s="53"/>
      <c r="O106" s="53"/>
      <c r="P106" s="53"/>
      <c r="Q106" s="53"/>
      <c r="R106" s="53"/>
      <c r="S106" s="136"/>
      <c r="T106" s="136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</row>
    <row r="107" ht="12.75" customHeight="1">
      <c r="A107" s="136"/>
      <c r="B107" s="136"/>
      <c r="C107" s="136"/>
      <c r="D107" s="136"/>
      <c r="E107" s="136"/>
      <c r="F107" s="136"/>
      <c r="G107" s="136"/>
      <c r="H107" s="52"/>
      <c r="I107" s="52"/>
      <c r="J107" s="52"/>
      <c r="K107" s="136"/>
      <c r="L107" s="53"/>
      <c r="M107" s="53"/>
      <c r="N107" s="53"/>
      <c r="O107" s="53"/>
      <c r="P107" s="53"/>
      <c r="Q107" s="53"/>
      <c r="R107" s="53"/>
      <c r="S107" s="136"/>
      <c r="T107" s="136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</row>
    <row r="108" ht="12.75" customHeight="1">
      <c r="A108" s="136"/>
      <c r="B108" s="136"/>
      <c r="C108" s="136"/>
      <c r="D108" s="136"/>
      <c r="E108" s="136"/>
      <c r="F108" s="136"/>
      <c r="G108" s="136"/>
      <c r="H108" s="52"/>
      <c r="I108" s="52"/>
      <c r="J108" s="52"/>
      <c r="K108" s="136"/>
      <c r="L108" s="53"/>
      <c r="M108" s="53"/>
      <c r="N108" s="53"/>
      <c r="O108" s="53"/>
      <c r="P108" s="53"/>
      <c r="Q108" s="53"/>
      <c r="R108" s="53"/>
      <c r="S108" s="136"/>
      <c r="T108" s="136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</row>
    <row r="109" ht="12.75" customHeight="1">
      <c r="A109" s="136"/>
      <c r="B109" s="136"/>
      <c r="C109" s="136"/>
      <c r="D109" s="136"/>
      <c r="E109" s="136"/>
      <c r="F109" s="136"/>
      <c r="G109" s="136"/>
      <c r="H109" s="52"/>
      <c r="I109" s="52"/>
      <c r="J109" s="52"/>
      <c r="K109" s="136"/>
      <c r="L109" s="53"/>
      <c r="M109" s="53"/>
      <c r="N109" s="53"/>
      <c r="O109" s="53"/>
      <c r="P109" s="53"/>
      <c r="Q109" s="53"/>
      <c r="R109" s="53"/>
      <c r="S109" s="136"/>
      <c r="T109" s="136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</row>
    <row r="110" ht="12.75" customHeight="1">
      <c r="A110" s="136"/>
      <c r="B110" s="136"/>
      <c r="C110" s="136"/>
      <c r="D110" s="136"/>
      <c r="E110" s="136"/>
      <c r="F110" s="136"/>
      <c r="G110" s="136"/>
      <c r="H110" s="52"/>
      <c r="I110" s="52"/>
      <c r="J110" s="52"/>
      <c r="K110" s="136"/>
      <c r="L110" s="53"/>
      <c r="M110" s="53"/>
      <c r="N110" s="53"/>
      <c r="O110" s="53"/>
      <c r="P110" s="53"/>
      <c r="Q110" s="53"/>
      <c r="R110" s="53"/>
      <c r="S110" s="136"/>
      <c r="T110" s="136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</row>
    <row r="111" ht="12.75" customHeight="1">
      <c r="A111" s="136"/>
      <c r="B111" s="136"/>
      <c r="C111" s="136"/>
      <c r="D111" s="136"/>
      <c r="E111" s="136"/>
      <c r="F111" s="136"/>
      <c r="G111" s="136"/>
      <c r="H111" s="52"/>
      <c r="I111" s="52"/>
      <c r="J111" s="52"/>
      <c r="K111" s="136"/>
      <c r="L111" s="53"/>
      <c r="M111" s="53"/>
      <c r="N111" s="53"/>
      <c r="O111" s="53"/>
      <c r="P111" s="53"/>
      <c r="Q111" s="53"/>
      <c r="R111" s="53"/>
      <c r="S111" s="136"/>
      <c r="T111" s="136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</row>
    <row r="112" ht="12.75" customHeight="1">
      <c r="A112" s="136"/>
      <c r="B112" s="136"/>
      <c r="C112" s="136"/>
      <c r="D112" s="136"/>
      <c r="E112" s="136"/>
      <c r="F112" s="136"/>
      <c r="G112" s="136"/>
      <c r="H112" s="52"/>
      <c r="I112" s="52"/>
      <c r="J112" s="52"/>
      <c r="K112" s="136"/>
      <c r="L112" s="53"/>
      <c r="M112" s="53"/>
      <c r="N112" s="53"/>
      <c r="O112" s="53"/>
      <c r="P112" s="53"/>
      <c r="Q112" s="53"/>
      <c r="R112" s="53"/>
      <c r="S112" s="136"/>
      <c r="T112" s="136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</row>
    <row r="113" ht="12.75" customHeight="1">
      <c r="A113" s="136"/>
      <c r="B113" s="136"/>
      <c r="C113" s="136"/>
      <c r="D113" s="136"/>
      <c r="E113" s="136"/>
      <c r="F113" s="136"/>
      <c r="G113" s="136"/>
      <c r="H113" s="52"/>
      <c r="I113" s="52"/>
      <c r="J113" s="52"/>
      <c r="K113" s="136"/>
      <c r="L113" s="53"/>
      <c r="M113" s="53"/>
      <c r="N113" s="53"/>
      <c r="O113" s="53"/>
      <c r="P113" s="53"/>
      <c r="Q113" s="53"/>
      <c r="R113" s="53"/>
      <c r="S113" s="136"/>
      <c r="T113" s="136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</row>
    <row r="114" ht="12.75" customHeight="1">
      <c r="A114" s="136"/>
      <c r="B114" s="136"/>
      <c r="C114" s="136"/>
      <c r="D114" s="136"/>
      <c r="E114" s="136"/>
      <c r="F114" s="136"/>
      <c r="G114" s="136"/>
      <c r="H114" s="52"/>
      <c r="I114" s="52"/>
      <c r="J114" s="52"/>
      <c r="K114" s="136"/>
      <c r="L114" s="53"/>
      <c r="M114" s="53"/>
      <c r="N114" s="53"/>
      <c r="O114" s="53"/>
      <c r="P114" s="53"/>
      <c r="Q114" s="53"/>
      <c r="R114" s="53"/>
      <c r="S114" s="136"/>
      <c r="T114" s="136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</row>
    <row r="115" ht="12.75" customHeight="1">
      <c r="A115" s="136"/>
      <c r="B115" s="136"/>
      <c r="C115" s="136"/>
      <c r="D115" s="136"/>
      <c r="E115" s="136"/>
      <c r="F115" s="136"/>
      <c r="G115" s="136"/>
      <c r="H115" s="52"/>
      <c r="I115" s="52"/>
      <c r="J115" s="52"/>
      <c r="K115" s="136"/>
      <c r="L115" s="53"/>
      <c r="M115" s="53"/>
      <c r="N115" s="53"/>
      <c r="O115" s="53"/>
      <c r="P115" s="53"/>
      <c r="Q115" s="53"/>
      <c r="R115" s="53"/>
      <c r="S115" s="136"/>
      <c r="T115" s="136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</row>
    <row r="116" ht="12.75" customHeight="1">
      <c r="A116" s="136"/>
      <c r="B116" s="136"/>
      <c r="C116" s="136"/>
      <c r="D116" s="136"/>
      <c r="E116" s="136"/>
      <c r="F116" s="136"/>
      <c r="G116" s="136"/>
      <c r="H116" s="52"/>
      <c r="I116" s="52"/>
      <c r="J116" s="52"/>
      <c r="K116" s="136"/>
      <c r="L116" s="53"/>
      <c r="M116" s="53"/>
      <c r="N116" s="53"/>
      <c r="O116" s="53"/>
      <c r="P116" s="53"/>
      <c r="Q116" s="53"/>
      <c r="R116" s="53"/>
      <c r="S116" s="136"/>
      <c r="T116" s="136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</row>
    <row r="117" ht="12.75" customHeight="1">
      <c r="A117" s="136"/>
      <c r="B117" s="136"/>
      <c r="C117" s="136"/>
      <c r="D117" s="136"/>
      <c r="E117" s="136"/>
      <c r="F117" s="136"/>
      <c r="G117" s="136"/>
      <c r="H117" s="52"/>
      <c r="I117" s="52"/>
      <c r="J117" s="52"/>
      <c r="K117" s="136"/>
      <c r="L117" s="53"/>
      <c r="M117" s="53"/>
      <c r="N117" s="53"/>
      <c r="O117" s="53"/>
      <c r="P117" s="53"/>
      <c r="Q117" s="53"/>
      <c r="R117" s="53"/>
      <c r="S117" s="136"/>
      <c r="T117" s="136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</row>
    <row r="118" ht="12.75" customHeight="1">
      <c r="A118" s="136"/>
      <c r="B118" s="136"/>
      <c r="C118" s="136"/>
      <c r="D118" s="136"/>
      <c r="E118" s="136"/>
      <c r="F118" s="136"/>
      <c r="G118" s="136"/>
      <c r="H118" s="52"/>
      <c r="I118" s="52"/>
      <c r="J118" s="52"/>
      <c r="K118" s="136"/>
      <c r="L118" s="53"/>
      <c r="M118" s="53"/>
      <c r="N118" s="53"/>
      <c r="O118" s="53"/>
      <c r="P118" s="53"/>
      <c r="Q118" s="53"/>
      <c r="R118" s="53"/>
      <c r="S118" s="136"/>
      <c r="T118" s="136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</row>
    <row r="119" ht="12.75" customHeight="1">
      <c r="A119" s="136"/>
      <c r="B119" s="136"/>
      <c r="C119" s="136"/>
      <c r="D119" s="136"/>
      <c r="E119" s="136"/>
      <c r="F119" s="136"/>
      <c r="G119" s="136"/>
      <c r="H119" s="52"/>
      <c r="I119" s="52"/>
      <c r="J119" s="52"/>
      <c r="K119" s="136"/>
      <c r="L119" s="53"/>
      <c r="M119" s="53"/>
      <c r="N119" s="53"/>
      <c r="O119" s="53"/>
      <c r="P119" s="53"/>
      <c r="Q119" s="53"/>
      <c r="R119" s="53"/>
      <c r="S119" s="136"/>
      <c r="T119" s="136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</row>
    <row r="120" ht="12.75" customHeight="1">
      <c r="A120" s="136"/>
      <c r="B120" s="136"/>
      <c r="C120" s="136"/>
      <c r="D120" s="136"/>
      <c r="E120" s="136"/>
      <c r="F120" s="136"/>
      <c r="G120" s="136"/>
      <c r="H120" s="52"/>
      <c r="I120" s="52"/>
      <c r="J120" s="52"/>
      <c r="K120" s="136"/>
      <c r="L120" s="53"/>
      <c r="M120" s="53"/>
      <c r="N120" s="53"/>
      <c r="O120" s="53"/>
      <c r="P120" s="53"/>
      <c r="Q120" s="53"/>
      <c r="R120" s="53"/>
      <c r="S120" s="136"/>
      <c r="T120" s="136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</row>
    <row r="121" ht="12.75" customHeight="1">
      <c r="A121" s="136"/>
      <c r="B121" s="136"/>
      <c r="C121" s="136"/>
      <c r="D121" s="136"/>
      <c r="E121" s="136"/>
      <c r="F121" s="136"/>
      <c r="G121" s="136"/>
      <c r="H121" s="52"/>
      <c r="I121" s="52"/>
      <c r="J121" s="52"/>
      <c r="K121" s="136"/>
      <c r="L121" s="53"/>
      <c r="M121" s="53"/>
      <c r="N121" s="53"/>
      <c r="O121" s="53"/>
      <c r="P121" s="53"/>
      <c r="Q121" s="53"/>
      <c r="R121" s="53"/>
      <c r="S121" s="136"/>
      <c r="T121" s="136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</row>
    <row r="122" ht="12.75" customHeight="1">
      <c r="A122" s="136"/>
      <c r="B122" s="136"/>
      <c r="C122" s="136"/>
      <c r="D122" s="136"/>
      <c r="E122" s="136"/>
      <c r="F122" s="136"/>
      <c r="G122" s="136"/>
      <c r="H122" s="52"/>
      <c r="I122" s="52"/>
      <c r="J122" s="52"/>
      <c r="K122" s="136"/>
      <c r="L122" s="53"/>
      <c r="M122" s="53"/>
      <c r="N122" s="53"/>
      <c r="O122" s="53"/>
      <c r="P122" s="53"/>
      <c r="Q122" s="53"/>
      <c r="R122" s="53"/>
      <c r="S122" s="136"/>
      <c r="T122" s="136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</row>
    <row r="123" ht="12.75" customHeight="1">
      <c r="A123" s="136"/>
      <c r="B123" s="136"/>
      <c r="C123" s="136"/>
      <c r="D123" s="136"/>
      <c r="E123" s="136"/>
      <c r="F123" s="136"/>
      <c r="G123" s="136"/>
      <c r="H123" s="52"/>
      <c r="I123" s="52"/>
      <c r="J123" s="52"/>
      <c r="K123" s="136"/>
      <c r="L123" s="53"/>
      <c r="M123" s="53"/>
      <c r="N123" s="53"/>
      <c r="O123" s="53"/>
      <c r="P123" s="53"/>
      <c r="Q123" s="53"/>
      <c r="R123" s="53"/>
      <c r="S123" s="136"/>
      <c r="T123" s="136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</row>
    <row r="124" ht="12.75" customHeight="1">
      <c r="A124" s="136"/>
      <c r="B124" s="136"/>
      <c r="C124" s="136"/>
      <c r="D124" s="136"/>
      <c r="E124" s="136"/>
      <c r="F124" s="136"/>
      <c r="G124" s="136"/>
      <c r="H124" s="52"/>
      <c r="I124" s="52"/>
      <c r="J124" s="52"/>
      <c r="K124" s="136"/>
      <c r="L124" s="53"/>
      <c r="M124" s="53"/>
      <c r="N124" s="53"/>
      <c r="O124" s="53"/>
      <c r="P124" s="53"/>
      <c r="Q124" s="53"/>
      <c r="R124" s="53"/>
      <c r="S124" s="136"/>
      <c r="T124" s="136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</row>
    <row r="125" ht="12.75" customHeight="1">
      <c r="A125" s="136"/>
      <c r="B125" s="136"/>
      <c r="C125" s="136"/>
      <c r="D125" s="136"/>
      <c r="E125" s="136"/>
      <c r="F125" s="136"/>
      <c r="G125" s="136"/>
      <c r="H125" s="52"/>
      <c r="I125" s="52"/>
      <c r="J125" s="52"/>
      <c r="K125" s="136"/>
      <c r="L125" s="53"/>
      <c r="M125" s="53"/>
      <c r="N125" s="53"/>
      <c r="O125" s="53"/>
      <c r="P125" s="53"/>
      <c r="Q125" s="53"/>
      <c r="R125" s="53"/>
      <c r="S125" s="136"/>
      <c r="T125" s="136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</row>
    <row r="126" ht="12.75" customHeight="1">
      <c r="A126" s="136"/>
      <c r="B126" s="136"/>
      <c r="C126" s="136"/>
      <c r="D126" s="136"/>
      <c r="E126" s="136"/>
      <c r="F126" s="136"/>
      <c r="G126" s="136"/>
      <c r="H126" s="52"/>
      <c r="I126" s="52"/>
      <c r="J126" s="52"/>
      <c r="K126" s="136"/>
      <c r="L126" s="53"/>
      <c r="M126" s="53"/>
      <c r="N126" s="53"/>
      <c r="O126" s="53"/>
      <c r="P126" s="53"/>
      <c r="Q126" s="53"/>
      <c r="R126" s="53"/>
      <c r="S126" s="136"/>
      <c r="T126" s="136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</row>
    <row r="127" ht="12.75" customHeight="1">
      <c r="A127" s="136"/>
      <c r="B127" s="136"/>
      <c r="C127" s="136"/>
      <c r="D127" s="136"/>
      <c r="E127" s="136"/>
      <c r="F127" s="136"/>
      <c r="G127" s="136"/>
      <c r="H127" s="52"/>
      <c r="I127" s="52"/>
      <c r="J127" s="52"/>
      <c r="K127" s="136"/>
      <c r="L127" s="53"/>
      <c r="M127" s="53"/>
      <c r="N127" s="53"/>
      <c r="O127" s="53"/>
      <c r="P127" s="53"/>
      <c r="Q127" s="53"/>
      <c r="R127" s="53"/>
      <c r="S127" s="136"/>
      <c r="T127" s="136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</row>
    <row r="128" ht="12.75" customHeight="1">
      <c r="A128" s="136"/>
      <c r="B128" s="136"/>
      <c r="C128" s="136"/>
      <c r="D128" s="136"/>
      <c r="E128" s="136"/>
      <c r="F128" s="136"/>
      <c r="G128" s="136"/>
      <c r="H128" s="52"/>
      <c r="I128" s="52"/>
      <c r="J128" s="52"/>
      <c r="K128" s="136"/>
      <c r="L128" s="53"/>
      <c r="M128" s="53"/>
      <c r="N128" s="53"/>
      <c r="O128" s="53"/>
      <c r="P128" s="53"/>
      <c r="Q128" s="53"/>
      <c r="R128" s="53"/>
      <c r="S128" s="136"/>
      <c r="T128" s="136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</row>
    <row r="129" ht="12.75" customHeight="1">
      <c r="A129" s="136"/>
      <c r="B129" s="136"/>
      <c r="C129" s="136"/>
      <c r="D129" s="136"/>
      <c r="E129" s="136"/>
      <c r="F129" s="136"/>
      <c r="G129" s="136"/>
      <c r="H129" s="52"/>
      <c r="I129" s="52"/>
      <c r="J129" s="52"/>
      <c r="K129" s="136"/>
      <c r="L129" s="53"/>
      <c r="M129" s="53"/>
      <c r="N129" s="53"/>
      <c r="O129" s="53"/>
      <c r="P129" s="53"/>
      <c r="Q129" s="53"/>
      <c r="R129" s="53"/>
      <c r="S129" s="136"/>
      <c r="T129" s="136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</row>
    <row r="130" ht="12.75" customHeight="1">
      <c r="A130" s="136"/>
      <c r="B130" s="136"/>
      <c r="C130" s="136"/>
      <c r="D130" s="136"/>
      <c r="E130" s="136"/>
      <c r="F130" s="136"/>
      <c r="G130" s="136"/>
      <c r="H130" s="52"/>
      <c r="I130" s="52"/>
      <c r="J130" s="52"/>
      <c r="K130" s="136"/>
      <c r="L130" s="53"/>
      <c r="M130" s="53"/>
      <c r="N130" s="53"/>
      <c r="O130" s="53"/>
      <c r="P130" s="53"/>
      <c r="Q130" s="53"/>
      <c r="R130" s="53"/>
      <c r="S130" s="136"/>
      <c r="T130" s="136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</row>
    <row r="131" ht="12.75" customHeight="1">
      <c r="A131" s="136"/>
      <c r="B131" s="136"/>
      <c r="C131" s="136"/>
      <c r="D131" s="136"/>
      <c r="E131" s="136"/>
      <c r="F131" s="136"/>
      <c r="G131" s="136"/>
      <c r="H131" s="52"/>
      <c r="I131" s="52"/>
      <c r="J131" s="52"/>
      <c r="K131" s="136"/>
      <c r="L131" s="53"/>
      <c r="M131" s="53"/>
      <c r="N131" s="53"/>
      <c r="O131" s="53"/>
      <c r="P131" s="53"/>
      <c r="Q131" s="53"/>
      <c r="R131" s="53"/>
      <c r="S131" s="136"/>
      <c r="T131" s="136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</row>
    <row r="132" ht="12.75" customHeight="1">
      <c r="A132" s="136"/>
      <c r="B132" s="136"/>
      <c r="C132" s="136"/>
      <c r="D132" s="136"/>
      <c r="E132" s="136"/>
      <c r="F132" s="136"/>
      <c r="G132" s="136"/>
      <c r="H132" s="52"/>
      <c r="I132" s="52"/>
      <c r="J132" s="52"/>
      <c r="K132" s="136"/>
      <c r="L132" s="53"/>
      <c r="M132" s="53"/>
      <c r="N132" s="53"/>
      <c r="O132" s="53"/>
      <c r="P132" s="53"/>
      <c r="Q132" s="53"/>
      <c r="R132" s="53"/>
      <c r="S132" s="136"/>
      <c r="T132" s="136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</row>
    <row r="133" ht="12.75" customHeight="1">
      <c r="A133" s="136"/>
      <c r="B133" s="136"/>
      <c r="C133" s="136"/>
      <c r="D133" s="136"/>
      <c r="E133" s="136"/>
      <c r="F133" s="136"/>
      <c r="G133" s="136"/>
      <c r="H133" s="52"/>
      <c r="I133" s="52"/>
      <c r="J133" s="52"/>
      <c r="K133" s="136"/>
      <c r="L133" s="53"/>
      <c r="M133" s="53"/>
      <c r="N133" s="53"/>
      <c r="O133" s="53"/>
      <c r="P133" s="53"/>
      <c r="Q133" s="53"/>
      <c r="R133" s="53"/>
      <c r="S133" s="136"/>
      <c r="T133" s="136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</row>
    <row r="134" ht="12.75" customHeight="1">
      <c r="A134" s="136"/>
      <c r="B134" s="136"/>
      <c r="C134" s="136"/>
      <c r="D134" s="136"/>
      <c r="E134" s="136"/>
      <c r="F134" s="136"/>
      <c r="G134" s="136"/>
      <c r="H134" s="52"/>
      <c r="I134" s="52"/>
      <c r="J134" s="52"/>
      <c r="K134" s="136"/>
      <c r="L134" s="53"/>
      <c r="M134" s="53"/>
      <c r="N134" s="53"/>
      <c r="O134" s="53"/>
      <c r="P134" s="53"/>
      <c r="Q134" s="53"/>
      <c r="R134" s="53"/>
      <c r="S134" s="136"/>
      <c r="T134" s="136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</row>
    <row r="135" ht="12.75" customHeight="1">
      <c r="A135" s="136"/>
      <c r="B135" s="136"/>
      <c r="C135" s="136"/>
      <c r="D135" s="136"/>
      <c r="E135" s="136"/>
      <c r="F135" s="136"/>
      <c r="G135" s="136"/>
      <c r="H135" s="52"/>
      <c r="I135" s="52"/>
      <c r="J135" s="52"/>
      <c r="K135" s="136"/>
      <c r="L135" s="53"/>
      <c r="M135" s="53"/>
      <c r="N135" s="53"/>
      <c r="O135" s="53"/>
      <c r="P135" s="53"/>
      <c r="Q135" s="53"/>
      <c r="R135" s="53"/>
      <c r="S135" s="136"/>
      <c r="T135" s="136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</row>
    <row r="136" ht="12.75" customHeight="1">
      <c r="A136" s="136"/>
      <c r="B136" s="136"/>
      <c r="C136" s="136"/>
      <c r="D136" s="136"/>
      <c r="E136" s="136"/>
      <c r="F136" s="136"/>
      <c r="G136" s="136"/>
      <c r="H136" s="52"/>
      <c r="I136" s="52"/>
      <c r="J136" s="52"/>
      <c r="K136" s="136"/>
      <c r="L136" s="53"/>
      <c r="M136" s="53"/>
      <c r="N136" s="53"/>
      <c r="O136" s="53"/>
      <c r="P136" s="53"/>
      <c r="Q136" s="53"/>
      <c r="R136" s="53"/>
      <c r="S136" s="136"/>
      <c r="T136" s="136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</row>
    <row r="137" ht="12.75" customHeight="1">
      <c r="A137" s="136"/>
      <c r="B137" s="136"/>
      <c r="C137" s="136"/>
      <c r="D137" s="136"/>
      <c r="E137" s="136"/>
      <c r="F137" s="136"/>
      <c r="G137" s="136"/>
      <c r="H137" s="52"/>
      <c r="I137" s="52"/>
      <c r="J137" s="52"/>
      <c r="K137" s="136"/>
      <c r="L137" s="53"/>
      <c r="M137" s="53"/>
      <c r="N137" s="53"/>
      <c r="O137" s="53"/>
      <c r="P137" s="53"/>
      <c r="Q137" s="53"/>
      <c r="R137" s="53"/>
      <c r="S137" s="136"/>
      <c r="T137" s="136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</row>
    <row r="138" ht="12.75" customHeight="1">
      <c r="A138" s="136"/>
      <c r="B138" s="136"/>
      <c r="C138" s="136"/>
      <c r="D138" s="136"/>
      <c r="E138" s="136"/>
      <c r="F138" s="136"/>
      <c r="G138" s="136"/>
      <c r="H138" s="52"/>
      <c r="I138" s="52"/>
      <c r="J138" s="52"/>
      <c r="K138" s="136"/>
      <c r="L138" s="53"/>
      <c r="M138" s="53"/>
      <c r="N138" s="53"/>
      <c r="O138" s="53"/>
      <c r="P138" s="53"/>
      <c r="Q138" s="53"/>
      <c r="R138" s="53"/>
      <c r="S138" s="136"/>
      <c r="T138" s="136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</row>
    <row r="139" ht="12.75" customHeight="1">
      <c r="A139" s="136"/>
      <c r="B139" s="136"/>
      <c r="C139" s="136"/>
      <c r="D139" s="136"/>
      <c r="E139" s="136"/>
      <c r="F139" s="136"/>
      <c r="G139" s="136"/>
      <c r="H139" s="52"/>
      <c r="I139" s="52"/>
      <c r="J139" s="52"/>
      <c r="K139" s="136"/>
      <c r="L139" s="53"/>
      <c r="M139" s="53"/>
      <c r="N139" s="53"/>
      <c r="O139" s="53"/>
      <c r="P139" s="53"/>
      <c r="Q139" s="53"/>
      <c r="R139" s="53"/>
      <c r="S139" s="136"/>
      <c r="T139" s="136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</row>
    <row r="140" ht="12.75" customHeight="1">
      <c r="A140" s="136"/>
      <c r="B140" s="136"/>
      <c r="C140" s="136"/>
      <c r="D140" s="136"/>
      <c r="E140" s="136"/>
      <c r="F140" s="136"/>
      <c r="G140" s="136"/>
      <c r="H140" s="52"/>
      <c r="I140" s="52"/>
      <c r="J140" s="52"/>
      <c r="K140" s="136"/>
      <c r="L140" s="53"/>
      <c r="M140" s="53"/>
      <c r="N140" s="53"/>
      <c r="O140" s="53"/>
      <c r="P140" s="53"/>
      <c r="Q140" s="53"/>
      <c r="R140" s="53"/>
      <c r="S140" s="136"/>
      <c r="T140" s="136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</row>
    <row r="141" ht="12.75" customHeight="1">
      <c r="A141" s="136"/>
      <c r="B141" s="136"/>
      <c r="C141" s="136"/>
      <c r="D141" s="136"/>
      <c r="E141" s="136"/>
      <c r="F141" s="136"/>
      <c r="G141" s="136"/>
      <c r="H141" s="52"/>
      <c r="I141" s="52"/>
      <c r="J141" s="52"/>
      <c r="K141" s="136"/>
      <c r="L141" s="53"/>
      <c r="M141" s="53"/>
      <c r="N141" s="53"/>
      <c r="O141" s="53"/>
      <c r="P141" s="53"/>
      <c r="Q141" s="53"/>
      <c r="R141" s="53"/>
      <c r="S141" s="136"/>
      <c r="T141" s="136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</row>
    <row r="142" ht="12.75" customHeight="1">
      <c r="A142" s="136"/>
      <c r="B142" s="136"/>
      <c r="C142" s="136"/>
      <c r="D142" s="136"/>
      <c r="E142" s="136"/>
      <c r="F142" s="136"/>
      <c r="G142" s="136"/>
      <c r="H142" s="52"/>
      <c r="I142" s="52"/>
      <c r="J142" s="52"/>
      <c r="K142" s="136"/>
      <c r="L142" s="53"/>
      <c r="M142" s="53"/>
      <c r="N142" s="53"/>
      <c r="O142" s="53"/>
      <c r="P142" s="53"/>
      <c r="Q142" s="53"/>
      <c r="R142" s="53"/>
      <c r="S142" s="136"/>
      <c r="T142" s="136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</row>
    <row r="143" ht="12.75" customHeight="1">
      <c r="A143" s="136"/>
      <c r="B143" s="136"/>
      <c r="C143" s="136"/>
      <c r="D143" s="136"/>
      <c r="E143" s="136"/>
      <c r="F143" s="136"/>
      <c r="G143" s="136"/>
      <c r="H143" s="52"/>
      <c r="I143" s="52"/>
      <c r="J143" s="52"/>
      <c r="K143" s="136"/>
      <c r="L143" s="53"/>
      <c r="M143" s="53"/>
      <c r="N143" s="53"/>
      <c r="O143" s="53"/>
      <c r="P143" s="53"/>
      <c r="Q143" s="53"/>
      <c r="R143" s="53"/>
      <c r="S143" s="136"/>
      <c r="T143" s="136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</row>
    <row r="144" ht="12.75" customHeight="1">
      <c r="A144" s="136"/>
      <c r="B144" s="136"/>
      <c r="C144" s="136"/>
      <c r="D144" s="136"/>
      <c r="E144" s="136"/>
      <c r="F144" s="136"/>
      <c r="G144" s="136"/>
      <c r="H144" s="52"/>
      <c r="I144" s="52"/>
      <c r="J144" s="52"/>
      <c r="K144" s="136"/>
      <c r="L144" s="53"/>
      <c r="M144" s="53"/>
      <c r="N144" s="53"/>
      <c r="O144" s="53"/>
      <c r="P144" s="53"/>
      <c r="Q144" s="53"/>
      <c r="R144" s="53"/>
      <c r="S144" s="136"/>
      <c r="T144" s="136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</row>
    <row r="145" ht="12.75" customHeight="1">
      <c r="A145" s="136"/>
      <c r="B145" s="136"/>
      <c r="C145" s="136"/>
      <c r="D145" s="136"/>
      <c r="E145" s="136"/>
      <c r="F145" s="136"/>
      <c r="G145" s="136"/>
      <c r="H145" s="52"/>
      <c r="I145" s="52"/>
      <c r="J145" s="52"/>
      <c r="K145" s="136"/>
      <c r="L145" s="53"/>
      <c r="M145" s="53"/>
      <c r="N145" s="53"/>
      <c r="O145" s="53"/>
      <c r="P145" s="53"/>
      <c r="Q145" s="53"/>
      <c r="R145" s="53"/>
      <c r="S145" s="136"/>
      <c r="T145" s="136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</row>
    <row r="146" ht="12.75" customHeight="1">
      <c r="A146" s="136"/>
      <c r="B146" s="136"/>
      <c r="C146" s="136"/>
      <c r="D146" s="136"/>
      <c r="E146" s="136"/>
      <c r="F146" s="136"/>
      <c r="G146" s="136"/>
      <c r="H146" s="52"/>
      <c r="I146" s="52"/>
      <c r="J146" s="52"/>
      <c r="K146" s="136"/>
      <c r="L146" s="53"/>
      <c r="M146" s="53"/>
      <c r="N146" s="53"/>
      <c r="O146" s="53"/>
      <c r="P146" s="53"/>
      <c r="Q146" s="53"/>
      <c r="R146" s="53"/>
      <c r="S146" s="136"/>
      <c r="T146" s="136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</row>
    <row r="147" ht="12.75" customHeight="1">
      <c r="A147" s="136"/>
      <c r="B147" s="136"/>
      <c r="C147" s="136"/>
      <c r="D147" s="136"/>
      <c r="E147" s="136"/>
      <c r="F147" s="136"/>
      <c r="G147" s="136"/>
      <c r="H147" s="52"/>
      <c r="I147" s="52"/>
      <c r="J147" s="52"/>
      <c r="K147" s="136"/>
      <c r="L147" s="53"/>
      <c r="M147" s="53"/>
      <c r="N147" s="53"/>
      <c r="O147" s="53"/>
      <c r="P147" s="53"/>
      <c r="Q147" s="53"/>
      <c r="R147" s="53"/>
      <c r="S147" s="136"/>
      <c r="T147" s="136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</row>
    <row r="148" ht="12.75" customHeight="1">
      <c r="A148" s="136"/>
      <c r="B148" s="136"/>
      <c r="C148" s="136"/>
      <c r="D148" s="136"/>
      <c r="E148" s="136"/>
      <c r="F148" s="136"/>
      <c r="G148" s="136"/>
      <c r="H148" s="52"/>
      <c r="I148" s="52"/>
      <c r="J148" s="52"/>
      <c r="K148" s="136"/>
      <c r="L148" s="53"/>
      <c r="M148" s="53"/>
      <c r="N148" s="53"/>
      <c r="O148" s="53"/>
      <c r="P148" s="53"/>
      <c r="Q148" s="53"/>
      <c r="R148" s="53"/>
      <c r="S148" s="136"/>
      <c r="T148" s="136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</row>
    <row r="149" ht="12.75" customHeight="1">
      <c r="A149" s="136"/>
      <c r="B149" s="136"/>
      <c r="C149" s="136"/>
      <c r="D149" s="136"/>
      <c r="E149" s="136"/>
      <c r="F149" s="136"/>
      <c r="G149" s="136"/>
      <c r="H149" s="52"/>
      <c r="I149" s="52"/>
      <c r="J149" s="52"/>
      <c r="K149" s="136"/>
      <c r="L149" s="53"/>
      <c r="M149" s="53"/>
      <c r="N149" s="53"/>
      <c r="O149" s="53"/>
      <c r="P149" s="53"/>
      <c r="Q149" s="53"/>
      <c r="R149" s="53"/>
      <c r="S149" s="136"/>
      <c r="T149" s="136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</row>
    <row r="150" ht="12.75" customHeight="1">
      <c r="A150" s="136"/>
      <c r="B150" s="136"/>
      <c r="C150" s="136"/>
      <c r="D150" s="136"/>
      <c r="E150" s="136"/>
      <c r="F150" s="136"/>
      <c r="G150" s="136"/>
      <c r="H150" s="52"/>
      <c r="I150" s="52"/>
      <c r="J150" s="52"/>
      <c r="K150" s="136"/>
      <c r="L150" s="53"/>
      <c r="M150" s="53"/>
      <c r="N150" s="53"/>
      <c r="O150" s="53"/>
      <c r="P150" s="53"/>
      <c r="Q150" s="53"/>
      <c r="R150" s="53"/>
      <c r="S150" s="136"/>
      <c r="T150" s="136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</row>
    <row r="151" ht="12.75" customHeight="1">
      <c r="A151" s="136"/>
      <c r="B151" s="136"/>
      <c r="C151" s="136"/>
      <c r="D151" s="136"/>
      <c r="E151" s="136"/>
      <c r="F151" s="136"/>
      <c r="G151" s="136"/>
      <c r="H151" s="52"/>
      <c r="I151" s="52"/>
      <c r="J151" s="52"/>
      <c r="K151" s="136"/>
      <c r="L151" s="53"/>
      <c r="M151" s="53"/>
      <c r="N151" s="53"/>
      <c r="O151" s="53"/>
      <c r="P151" s="53"/>
      <c r="Q151" s="53"/>
      <c r="R151" s="53"/>
      <c r="S151" s="136"/>
      <c r="T151" s="136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</row>
    <row r="152" ht="12.75" customHeight="1">
      <c r="A152" s="136"/>
      <c r="B152" s="136"/>
      <c r="C152" s="136"/>
      <c r="D152" s="136"/>
      <c r="E152" s="136"/>
      <c r="F152" s="136"/>
      <c r="G152" s="136"/>
      <c r="H152" s="52"/>
      <c r="I152" s="52"/>
      <c r="J152" s="52"/>
      <c r="K152" s="136"/>
      <c r="L152" s="53"/>
      <c r="M152" s="53"/>
      <c r="N152" s="53"/>
      <c r="O152" s="53"/>
      <c r="P152" s="53"/>
      <c r="Q152" s="53"/>
      <c r="R152" s="53"/>
      <c r="S152" s="136"/>
      <c r="T152" s="136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</row>
    <row r="153" ht="12.75" customHeight="1">
      <c r="A153" s="136"/>
      <c r="B153" s="136"/>
      <c r="C153" s="136"/>
      <c r="D153" s="136"/>
      <c r="E153" s="136"/>
      <c r="F153" s="136"/>
      <c r="G153" s="136"/>
      <c r="H153" s="52"/>
      <c r="I153" s="52"/>
      <c r="J153" s="52"/>
      <c r="K153" s="136"/>
      <c r="L153" s="53"/>
      <c r="M153" s="53"/>
      <c r="N153" s="53"/>
      <c r="O153" s="53"/>
      <c r="P153" s="53"/>
      <c r="Q153" s="53"/>
      <c r="R153" s="53"/>
      <c r="S153" s="136"/>
      <c r="T153" s="136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</row>
    <row r="154" ht="12.75" customHeight="1">
      <c r="A154" s="136"/>
      <c r="B154" s="136"/>
      <c r="C154" s="136"/>
      <c r="D154" s="136"/>
      <c r="E154" s="136"/>
      <c r="F154" s="136"/>
      <c r="G154" s="136"/>
      <c r="H154" s="52"/>
      <c r="I154" s="52"/>
      <c r="J154" s="52"/>
      <c r="K154" s="136"/>
      <c r="L154" s="53"/>
      <c r="M154" s="53"/>
      <c r="N154" s="53"/>
      <c r="O154" s="53"/>
      <c r="P154" s="53"/>
      <c r="Q154" s="53"/>
      <c r="R154" s="53"/>
      <c r="S154" s="136"/>
      <c r="T154" s="136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</row>
    <row r="155" ht="12.75" customHeight="1">
      <c r="A155" s="136"/>
      <c r="B155" s="136"/>
      <c r="C155" s="136"/>
      <c r="D155" s="136"/>
      <c r="E155" s="136"/>
      <c r="F155" s="136"/>
      <c r="G155" s="136"/>
      <c r="H155" s="52"/>
      <c r="I155" s="52"/>
      <c r="J155" s="52"/>
      <c r="K155" s="136"/>
      <c r="L155" s="53"/>
      <c r="M155" s="53"/>
      <c r="N155" s="53"/>
      <c r="O155" s="53"/>
      <c r="P155" s="53"/>
      <c r="Q155" s="53"/>
      <c r="R155" s="53"/>
      <c r="S155" s="136"/>
      <c r="T155" s="136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</row>
    <row r="156" ht="12.75" customHeight="1">
      <c r="A156" s="136"/>
      <c r="B156" s="136"/>
      <c r="C156" s="136"/>
      <c r="D156" s="136"/>
      <c r="E156" s="136"/>
      <c r="F156" s="136"/>
      <c r="G156" s="136"/>
      <c r="H156" s="52"/>
      <c r="I156" s="52"/>
      <c r="J156" s="52"/>
      <c r="K156" s="136"/>
      <c r="L156" s="53"/>
      <c r="M156" s="53"/>
      <c r="N156" s="53"/>
      <c r="O156" s="53"/>
      <c r="P156" s="53"/>
      <c r="Q156" s="53"/>
      <c r="R156" s="53"/>
      <c r="S156" s="136"/>
      <c r="T156" s="136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</row>
    <row r="157" ht="12.75" customHeight="1">
      <c r="A157" s="136"/>
      <c r="B157" s="136"/>
      <c r="C157" s="136"/>
      <c r="D157" s="136"/>
      <c r="E157" s="136"/>
      <c r="F157" s="136"/>
      <c r="G157" s="136"/>
      <c r="H157" s="52"/>
      <c r="I157" s="52"/>
      <c r="J157" s="52"/>
      <c r="K157" s="136"/>
      <c r="L157" s="53"/>
      <c r="M157" s="53"/>
      <c r="N157" s="53"/>
      <c r="O157" s="53"/>
      <c r="P157" s="53"/>
      <c r="Q157" s="53"/>
      <c r="R157" s="53"/>
      <c r="S157" s="136"/>
      <c r="T157" s="136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</row>
    <row r="158" ht="12.75" customHeight="1">
      <c r="A158" s="136"/>
      <c r="B158" s="136"/>
      <c r="C158" s="136"/>
      <c r="D158" s="136"/>
      <c r="E158" s="136"/>
      <c r="F158" s="136"/>
      <c r="G158" s="136"/>
      <c r="H158" s="52"/>
      <c r="I158" s="52"/>
      <c r="J158" s="52"/>
      <c r="K158" s="136"/>
      <c r="L158" s="53"/>
      <c r="M158" s="53"/>
      <c r="N158" s="53"/>
      <c r="O158" s="53"/>
      <c r="P158" s="53"/>
      <c r="Q158" s="53"/>
      <c r="R158" s="53"/>
      <c r="S158" s="136"/>
      <c r="T158" s="136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</row>
    <row r="159" ht="12.75" customHeight="1">
      <c r="A159" s="136"/>
      <c r="B159" s="136"/>
      <c r="C159" s="136"/>
      <c r="D159" s="136"/>
      <c r="E159" s="136"/>
      <c r="F159" s="136"/>
      <c r="G159" s="136"/>
      <c r="H159" s="52"/>
      <c r="I159" s="52"/>
      <c r="J159" s="52"/>
      <c r="K159" s="136"/>
      <c r="L159" s="53"/>
      <c r="M159" s="53"/>
      <c r="N159" s="53"/>
      <c r="O159" s="53"/>
      <c r="P159" s="53"/>
      <c r="Q159" s="53"/>
      <c r="R159" s="53"/>
      <c r="S159" s="136"/>
      <c r="T159" s="136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</row>
    <row r="160" ht="12.75" customHeight="1">
      <c r="A160" s="136"/>
      <c r="B160" s="136"/>
      <c r="C160" s="136"/>
      <c r="D160" s="136"/>
      <c r="E160" s="136"/>
      <c r="F160" s="136"/>
      <c r="G160" s="136"/>
      <c r="H160" s="52"/>
      <c r="I160" s="52"/>
      <c r="J160" s="52"/>
      <c r="K160" s="136"/>
      <c r="L160" s="53"/>
      <c r="M160" s="53"/>
      <c r="N160" s="53"/>
      <c r="O160" s="53"/>
      <c r="P160" s="53"/>
      <c r="Q160" s="53"/>
      <c r="R160" s="53"/>
      <c r="S160" s="136"/>
      <c r="T160" s="136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</row>
    <row r="161" ht="12.75" customHeight="1">
      <c r="A161" s="136"/>
      <c r="B161" s="136"/>
      <c r="C161" s="136"/>
      <c r="D161" s="136"/>
      <c r="E161" s="136"/>
      <c r="F161" s="136"/>
      <c r="G161" s="136"/>
      <c r="H161" s="52"/>
      <c r="I161" s="52"/>
      <c r="J161" s="52"/>
      <c r="K161" s="136"/>
      <c r="L161" s="53"/>
      <c r="M161" s="53"/>
      <c r="N161" s="53"/>
      <c r="O161" s="53"/>
      <c r="P161" s="53"/>
      <c r="Q161" s="53"/>
      <c r="R161" s="53"/>
      <c r="S161" s="136"/>
      <c r="T161" s="136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</row>
    <row r="162" ht="12.75" customHeight="1">
      <c r="A162" s="136"/>
      <c r="B162" s="136"/>
      <c r="C162" s="136"/>
      <c r="D162" s="136"/>
      <c r="E162" s="136"/>
      <c r="F162" s="136"/>
      <c r="G162" s="136"/>
      <c r="H162" s="52"/>
      <c r="I162" s="52"/>
      <c r="J162" s="52"/>
      <c r="K162" s="136"/>
      <c r="L162" s="53"/>
      <c r="M162" s="53"/>
      <c r="N162" s="53"/>
      <c r="O162" s="53"/>
      <c r="P162" s="53"/>
      <c r="Q162" s="53"/>
      <c r="R162" s="53"/>
      <c r="S162" s="136"/>
      <c r="T162" s="136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</row>
    <row r="163" ht="12.75" customHeight="1">
      <c r="A163" s="136"/>
      <c r="B163" s="136"/>
      <c r="C163" s="136"/>
      <c r="D163" s="136"/>
      <c r="E163" s="136"/>
      <c r="F163" s="136"/>
      <c r="G163" s="136"/>
      <c r="H163" s="52"/>
      <c r="I163" s="52"/>
      <c r="J163" s="52"/>
      <c r="K163" s="136"/>
      <c r="L163" s="53"/>
      <c r="M163" s="53"/>
      <c r="N163" s="53"/>
      <c r="O163" s="53"/>
      <c r="P163" s="53"/>
      <c r="Q163" s="53"/>
      <c r="R163" s="53"/>
      <c r="S163" s="136"/>
      <c r="T163" s="136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</row>
    <row r="164" ht="12.75" customHeight="1">
      <c r="A164" s="136"/>
      <c r="B164" s="136"/>
      <c r="C164" s="136"/>
      <c r="D164" s="136"/>
      <c r="E164" s="136"/>
      <c r="F164" s="136"/>
      <c r="G164" s="136"/>
      <c r="H164" s="52"/>
      <c r="I164" s="52"/>
      <c r="J164" s="52"/>
      <c r="K164" s="136"/>
      <c r="L164" s="53"/>
      <c r="M164" s="53"/>
      <c r="N164" s="53"/>
      <c r="O164" s="53"/>
      <c r="P164" s="53"/>
      <c r="Q164" s="53"/>
      <c r="R164" s="53"/>
      <c r="S164" s="136"/>
      <c r="T164" s="136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</row>
    <row r="165" ht="12.75" customHeight="1">
      <c r="A165" s="136"/>
      <c r="B165" s="136"/>
      <c r="C165" s="136"/>
      <c r="D165" s="136"/>
      <c r="E165" s="136"/>
      <c r="F165" s="136"/>
      <c r="G165" s="136"/>
      <c r="H165" s="52"/>
      <c r="I165" s="52"/>
      <c r="J165" s="52"/>
      <c r="K165" s="136"/>
      <c r="L165" s="53"/>
      <c r="M165" s="53"/>
      <c r="N165" s="53"/>
      <c r="O165" s="53"/>
      <c r="P165" s="53"/>
      <c r="Q165" s="53"/>
      <c r="R165" s="53"/>
      <c r="S165" s="136"/>
      <c r="T165" s="136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</row>
    <row r="166" ht="12.75" customHeight="1">
      <c r="A166" s="136"/>
      <c r="B166" s="136"/>
      <c r="C166" s="136"/>
      <c r="D166" s="136"/>
      <c r="E166" s="136"/>
      <c r="F166" s="136"/>
      <c r="G166" s="136"/>
      <c r="H166" s="52"/>
      <c r="I166" s="52"/>
      <c r="J166" s="52"/>
      <c r="K166" s="136"/>
      <c r="L166" s="53"/>
      <c r="M166" s="53"/>
      <c r="N166" s="53"/>
      <c r="O166" s="53"/>
      <c r="P166" s="53"/>
      <c r="Q166" s="53"/>
      <c r="R166" s="53"/>
      <c r="S166" s="136"/>
      <c r="T166" s="136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</row>
    <row r="167" ht="12.75" customHeight="1">
      <c r="A167" s="136"/>
      <c r="B167" s="136"/>
      <c r="C167" s="136"/>
      <c r="D167" s="136"/>
      <c r="E167" s="136"/>
      <c r="F167" s="136"/>
      <c r="G167" s="136"/>
      <c r="H167" s="52"/>
      <c r="I167" s="52"/>
      <c r="J167" s="52"/>
      <c r="K167" s="136"/>
      <c r="L167" s="53"/>
      <c r="M167" s="53"/>
      <c r="N167" s="53"/>
      <c r="O167" s="53"/>
      <c r="P167" s="53"/>
      <c r="Q167" s="53"/>
      <c r="R167" s="53"/>
      <c r="S167" s="136"/>
      <c r="T167" s="136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</row>
    <row r="168" ht="12.75" customHeight="1">
      <c r="A168" s="136"/>
      <c r="B168" s="136"/>
      <c r="C168" s="136"/>
      <c r="D168" s="136"/>
      <c r="E168" s="136"/>
      <c r="F168" s="136"/>
      <c r="G168" s="136"/>
      <c r="H168" s="52"/>
      <c r="I168" s="52"/>
      <c r="J168" s="52"/>
      <c r="K168" s="136"/>
      <c r="L168" s="53"/>
      <c r="M168" s="53"/>
      <c r="N168" s="53"/>
      <c r="O168" s="53"/>
      <c r="P168" s="53"/>
      <c r="Q168" s="53"/>
      <c r="R168" s="53"/>
      <c r="S168" s="136"/>
      <c r="T168" s="136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</row>
    <row r="169" ht="12.75" customHeight="1">
      <c r="A169" s="136"/>
      <c r="B169" s="136"/>
      <c r="C169" s="136"/>
      <c r="D169" s="136"/>
      <c r="E169" s="136"/>
      <c r="F169" s="136"/>
      <c r="G169" s="136"/>
      <c r="H169" s="52"/>
      <c r="I169" s="52"/>
      <c r="J169" s="52"/>
      <c r="K169" s="136"/>
      <c r="L169" s="53"/>
      <c r="M169" s="53"/>
      <c r="N169" s="53"/>
      <c r="O169" s="53"/>
      <c r="P169" s="53"/>
      <c r="Q169" s="53"/>
      <c r="R169" s="53"/>
      <c r="S169" s="136"/>
      <c r="T169" s="136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</row>
    <row r="170" ht="12.75" customHeight="1">
      <c r="A170" s="136"/>
      <c r="B170" s="136"/>
      <c r="C170" s="136"/>
      <c r="D170" s="136"/>
      <c r="E170" s="136"/>
      <c r="F170" s="136"/>
      <c r="G170" s="136"/>
      <c r="H170" s="52"/>
      <c r="I170" s="52"/>
      <c r="J170" s="52"/>
      <c r="K170" s="136"/>
      <c r="L170" s="53"/>
      <c r="M170" s="53"/>
      <c r="N170" s="53"/>
      <c r="O170" s="53"/>
      <c r="P170" s="53"/>
      <c r="Q170" s="53"/>
      <c r="R170" s="53"/>
      <c r="S170" s="136"/>
      <c r="T170" s="136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</row>
    <row r="171" ht="12.75" customHeight="1">
      <c r="A171" s="136"/>
      <c r="B171" s="136"/>
      <c r="C171" s="136"/>
      <c r="D171" s="136"/>
      <c r="E171" s="136"/>
      <c r="F171" s="136"/>
      <c r="G171" s="136"/>
      <c r="H171" s="52"/>
      <c r="I171" s="52"/>
      <c r="J171" s="52"/>
      <c r="K171" s="136"/>
      <c r="L171" s="53"/>
      <c r="M171" s="53"/>
      <c r="N171" s="53"/>
      <c r="O171" s="53"/>
      <c r="P171" s="53"/>
      <c r="Q171" s="53"/>
      <c r="R171" s="53"/>
      <c r="S171" s="136"/>
      <c r="T171" s="136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</row>
    <row r="172" ht="12.75" customHeight="1">
      <c r="A172" s="136"/>
      <c r="B172" s="136"/>
      <c r="C172" s="136"/>
      <c r="D172" s="136"/>
      <c r="E172" s="136"/>
      <c r="F172" s="136"/>
      <c r="G172" s="136"/>
      <c r="H172" s="52"/>
      <c r="I172" s="52"/>
      <c r="J172" s="52"/>
      <c r="K172" s="136"/>
      <c r="L172" s="53"/>
      <c r="M172" s="53"/>
      <c r="N172" s="53"/>
      <c r="O172" s="53"/>
      <c r="P172" s="53"/>
      <c r="Q172" s="53"/>
      <c r="R172" s="53"/>
      <c r="S172" s="136"/>
      <c r="T172" s="136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</row>
    <row r="173" ht="12.75" customHeight="1">
      <c r="A173" s="136"/>
      <c r="B173" s="136"/>
      <c r="C173" s="136"/>
      <c r="D173" s="136"/>
      <c r="E173" s="136"/>
      <c r="F173" s="136"/>
      <c r="G173" s="136"/>
      <c r="H173" s="52"/>
      <c r="I173" s="52"/>
      <c r="J173" s="52"/>
      <c r="K173" s="136"/>
      <c r="L173" s="53"/>
      <c r="M173" s="53"/>
      <c r="N173" s="53"/>
      <c r="O173" s="53"/>
      <c r="P173" s="53"/>
      <c r="Q173" s="53"/>
      <c r="R173" s="53"/>
      <c r="S173" s="136"/>
      <c r="T173" s="136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</row>
    <row r="174" ht="12.75" customHeight="1">
      <c r="A174" s="136"/>
      <c r="B174" s="136"/>
      <c r="C174" s="136"/>
      <c r="D174" s="136"/>
      <c r="E174" s="136"/>
      <c r="F174" s="136"/>
      <c r="G174" s="136"/>
      <c r="H174" s="52"/>
      <c r="I174" s="52"/>
      <c r="J174" s="52"/>
      <c r="K174" s="136"/>
      <c r="L174" s="53"/>
      <c r="M174" s="53"/>
      <c r="N174" s="53"/>
      <c r="O174" s="53"/>
      <c r="P174" s="53"/>
      <c r="Q174" s="53"/>
      <c r="R174" s="53"/>
      <c r="S174" s="136"/>
      <c r="T174" s="136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</row>
    <row r="175" ht="12.75" customHeight="1">
      <c r="A175" s="136"/>
      <c r="B175" s="136"/>
      <c r="C175" s="136"/>
      <c r="D175" s="136"/>
      <c r="E175" s="136"/>
      <c r="F175" s="136"/>
      <c r="G175" s="136"/>
      <c r="H175" s="52"/>
      <c r="I175" s="52"/>
      <c r="J175" s="52"/>
      <c r="K175" s="136"/>
      <c r="L175" s="53"/>
      <c r="M175" s="53"/>
      <c r="N175" s="53"/>
      <c r="O175" s="53"/>
      <c r="P175" s="53"/>
      <c r="Q175" s="53"/>
      <c r="R175" s="53"/>
      <c r="S175" s="136"/>
      <c r="T175" s="136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</row>
    <row r="176" ht="12.75" customHeight="1">
      <c r="A176" s="136"/>
      <c r="B176" s="136"/>
      <c r="C176" s="136"/>
      <c r="D176" s="136"/>
      <c r="E176" s="136"/>
      <c r="F176" s="136"/>
      <c r="G176" s="136"/>
      <c r="H176" s="52"/>
      <c r="I176" s="52"/>
      <c r="J176" s="52"/>
      <c r="K176" s="136"/>
      <c r="L176" s="53"/>
      <c r="M176" s="53"/>
      <c r="N176" s="53"/>
      <c r="O176" s="53"/>
      <c r="P176" s="53"/>
      <c r="Q176" s="53"/>
      <c r="R176" s="53"/>
      <c r="S176" s="136"/>
      <c r="T176" s="136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</row>
    <row r="177" ht="12.75" customHeight="1">
      <c r="A177" s="136"/>
      <c r="B177" s="136"/>
      <c r="C177" s="136"/>
      <c r="D177" s="136"/>
      <c r="E177" s="136"/>
      <c r="F177" s="136"/>
      <c r="G177" s="136"/>
      <c r="H177" s="52"/>
      <c r="I177" s="52"/>
      <c r="J177" s="52"/>
      <c r="K177" s="136"/>
      <c r="L177" s="53"/>
      <c r="M177" s="53"/>
      <c r="N177" s="53"/>
      <c r="O177" s="53"/>
      <c r="P177" s="53"/>
      <c r="Q177" s="53"/>
      <c r="R177" s="53"/>
      <c r="S177" s="136"/>
      <c r="T177" s="136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</row>
    <row r="178" ht="12.75" customHeight="1">
      <c r="A178" s="136"/>
      <c r="B178" s="136"/>
      <c r="C178" s="136"/>
      <c r="D178" s="136"/>
      <c r="E178" s="136"/>
      <c r="F178" s="136"/>
      <c r="G178" s="136"/>
      <c r="H178" s="52"/>
      <c r="I178" s="52"/>
      <c r="J178" s="52"/>
      <c r="K178" s="136"/>
      <c r="L178" s="53"/>
      <c r="M178" s="53"/>
      <c r="N178" s="53"/>
      <c r="O178" s="53"/>
      <c r="P178" s="53"/>
      <c r="Q178" s="53"/>
      <c r="R178" s="53"/>
      <c r="S178" s="136"/>
      <c r="T178" s="136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</row>
    <row r="179" ht="12.75" customHeight="1">
      <c r="A179" s="136"/>
      <c r="B179" s="136"/>
      <c r="C179" s="136"/>
      <c r="D179" s="136"/>
      <c r="E179" s="136"/>
      <c r="F179" s="136"/>
      <c r="G179" s="136"/>
      <c r="H179" s="52"/>
      <c r="I179" s="52"/>
      <c r="J179" s="52"/>
      <c r="K179" s="136"/>
      <c r="L179" s="53"/>
      <c r="M179" s="53"/>
      <c r="N179" s="53"/>
      <c r="O179" s="53"/>
      <c r="P179" s="53"/>
      <c r="Q179" s="53"/>
      <c r="R179" s="53"/>
      <c r="S179" s="136"/>
      <c r="T179" s="136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</row>
    <row r="180" ht="12.75" customHeight="1">
      <c r="A180" s="136"/>
      <c r="B180" s="136"/>
      <c r="C180" s="136"/>
      <c r="D180" s="136"/>
      <c r="E180" s="136"/>
      <c r="F180" s="136"/>
      <c r="G180" s="136"/>
      <c r="H180" s="52"/>
      <c r="I180" s="52"/>
      <c r="J180" s="52"/>
      <c r="K180" s="136"/>
      <c r="L180" s="53"/>
      <c r="M180" s="53"/>
      <c r="N180" s="53"/>
      <c r="O180" s="53"/>
      <c r="P180" s="53"/>
      <c r="Q180" s="53"/>
      <c r="R180" s="53"/>
      <c r="S180" s="136"/>
      <c r="T180" s="136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</row>
    <row r="181" ht="12.75" customHeight="1">
      <c r="A181" s="136"/>
      <c r="B181" s="136"/>
      <c r="C181" s="136"/>
      <c r="D181" s="136"/>
      <c r="E181" s="136"/>
      <c r="F181" s="136"/>
      <c r="G181" s="136"/>
      <c r="H181" s="52"/>
      <c r="I181" s="52"/>
      <c r="J181" s="52"/>
      <c r="K181" s="136"/>
      <c r="L181" s="53"/>
      <c r="M181" s="53"/>
      <c r="N181" s="53"/>
      <c r="O181" s="53"/>
      <c r="P181" s="53"/>
      <c r="Q181" s="53"/>
      <c r="R181" s="53"/>
      <c r="S181" s="136"/>
      <c r="T181" s="136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</row>
    <row r="182" ht="12.75" customHeight="1">
      <c r="A182" s="136"/>
      <c r="B182" s="136"/>
      <c r="C182" s="136"/>
      <c r="D182" s="136"/>
      <c r="E182" s="136"/>
      <c r="F182" s="136"/>
      <c r="G182" s="136"/>
      <c r="H182" s="52"/>
      <c r="I182" s="52"/>
      <c r="J182" s="52"/>
      <c r="K182" s="136"/>
      <c r="L182" s="53"/>
      <c r="M182" s="53"/>
      <c r="N182" s="53"/>
      <c r="O182" s="53"/>
      <c r="P182" s="53"/>
      <c r="Q182" s="53"/>
      <c r="R182" s="53"/>
      <c r="S182" s="136"/>
      <c r="T182" s="136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</row>
    <row r="183" ht="12.75" customHeight="1">
      <c r="A183" s="136"/>
      <c r="B183" s="136"/>
      <c r="C183" s="136"/>
      <c r="D183" s="136"/>
      <c r="E183" s="136"/>
      <c r="F183" s="136"/>
      <c r="G183" s="136"/>
      <c r="H183" s="52"/>
      <c r="I183" s="52"/>
      <c r="J183" s="52"/>
      <c r="K183" s="136"/>
      <c r="L183" s="53"/>
      <c r="M183" s="53"/>
      <c r="N183" s="53"/>
      <c r="O183" s="53"/>
      <c r="P183" s="53"/>
      <c r="Q183" s="53"/>
      <c r="R183" s="53"/>
      <c r="S183" s="136"/>
      <c r="T183" s="136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</row>
    <row r="184" ht="12.75" customHeight="1">
      <c r="A184" s="136"/>
      <c r="B184" s="136"/>
      <c r="C184" s="136"/>
      <c r="D184" s="136"/>
      <c r="E184" s="136"/>
      <c r="F184" s="136"/>
      <c r="G184" s="136"/>
      <c r="H184" s="52"/>
      <c r="I184" s="52"/>
      <c r="J184" s="52"/>
      <c r="K184" s="136"/>
      <c r="L184" s="53"/>
      <c r="M184" s="53"/>
      <c r="N184" s="53"/>
      <c r="O184" s="53"/>
      <c r="P184" s="53"/>
      <c r="Q184" s="53"/>
      <c r="R184" s="53"/>
      <c r="S184" s="136"/>
      <c r="T184" s="136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</row>
    <row r="185" ht="12.75" customHeight="1">
      <c r="A185" s="136"/>
      <c r="B185" s="136"/>
      <c r="C185" s="136"/>
      <c r="D185" s="136"/>
      <c r="E185" s="136"/>
      <c r="F185" s="136"/>
      <c r="G185" s="136"/>
      <c r="H185" s="52"/>
      <c r="I185" s="52"/>
      <c r="J185" s="52"/>
      <c r="K185" s="136"/>
      <c r="L185" s="53"/>
      <c r="M185" s="53"/>
      <c r="N185" s="53"/>
      <c r="O185" s="53"/>
      <c r="P185" s="53"/>
      <c r="Q185" s="53"/>
      <c r="R185" s="53"/>
      <c r="S185" s="136"/>
      <c r="T185" s="136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</row>
    <row r="186" ht="12.75" customHeight="1">
      <c r="A186" s="136"/>
      <c r="B186" s="136"/>
      <c r="C186" s="136"/>
      <c r="D186" s="136"/>
      <c r="E186" s="136"/>
      <c r="F186" s="136"/>
      <c r="G186" s="136"/>
      <c r="H186" s="52"/>
      <c r="I186" s="52"/>
      <c r="J186" s="52"/>
      <c r="K186" s="136"/>
      <c r="L186" s="53"/>
      <c r="M186" s="53"/>
      <c r="N186" s="53"/>
      <c r="O186" s="53"/>
      <c r="P186" s="53"/>
      <c r="Q186" s="53"/>
      <c r="R186" s="53"/>
      <c r="S186" s="136"/>
      <c r="T186" s="136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</row>
    <row r="187" ht="12.75" customHeight="1">
      <c r="A187" s="136"/>
      <c r="B187" s="136"/>
      <c r="C187" s="136"/>
      <c r="D187" s="136"/>
      <c r="E187" s="136"/>
      <c r="F187" s="136"/>
      <c r="G187" s="136"/>
      <c r="H187" s="52"/>
      <c r="I187" s="52"/>
      <c r="J187" s="52"/>
      <c r="K187" s="136"/>
      <c r="L187" s="53"/>
      <c r="M187" s="53"/>
      <c r="N187" s="53"/>
      <c r="O187" s="53"/>
      <c r="P187" s="53"/>
      <c r="Q187" s="53"/>
      <c r="R187" s="53"/>
      <c r="S187" s="136"/>
      <c r="T187" s="136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</row>
    <row r="188" ht="12.75" customHeight="1">
      <c r="A188" s="136"/>
      <c r="B188" s="136"/>
      <c r="C188" s="136"/>
      <c r="D188" s="136"/>
      <c r="E188" s="136"/>
      <c r="F188" s="136"/>
      <c r="G188" s="136"/>
      <c r="H188" s="52"/>
      <c r="I188" s="52"/>
      <c r="J188" s="52"/>
      <c r="K188" s="136"/>
      <c r="L188" s="53"/>
      <c r="M188" s="53"/>
      <c r="N188" s="53"/>
      <c r="O188" s="53"/>
      <c r="P188" s="53"/>
      <c r="Q188" s="53"/>
      <c r="R188" s="53"/>
      <c r="S188" s="136"/>
      <c r="T188" s="136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</row>
    <row r="189" ht="12.75" customHeight="1">
      <c r="A189" s="136"/>
      <c r="B189" s="136"/>
      <c r="C189" s="136"/>
      <c r="D189" s="136"/>
      <c r="E189" s="136"/>
      <c r="F189" s="136"/>
      <c r="G189" s="136"/>
      <c r="H189" s="52"/>
      <c r="I189" s="52"/>
      <c r="J189" s="52"/>
      <c r="K189" s="136"/>
      <c r="L189" s="53"/>
      <c r="M189" s="53"/>
      <c r="N189" s="53"/>
      <c r="O189" s="53"/>
      <c r="P189" s="53"/>
      <c r="Q189" s="53"/>
      <c r="R189" s="53"/>
      <c r="S189" s="136"/>
      <c r="T189" s="136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</row>
    <row r="190" ht="12.75" customHeight="1">
      <c r="A190" s="136"/>
      <c r="B190" s="136"/>
      <c r="C190" s="136"/>
      <c r="D190" s="136"/>
      <c r="E190" s="136"/>
      <c r="F190" s="136"/>
      <c r="G190" s="136"/>
      <c r="H190" s="52"/>
      <c r="I190" s="52"/>
      <c r="J190" s="52"/>
      <c r="K190" s="136"/>
      <c r="L190" s="53"/>
      <c r="M190" s="53"/>
      <c r="N190" s="53"/>
      <c r="O190" s="53"/>
      <c r="P190" s="53"/>
      <c r="Q190" s="53"/>
      <c r="R190" s="53"/>
      <c r="S190" s="136"/>
      <c r="T190" s="136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</row>
    <row r="191" ht="12.75" customHeight="1">
      <c r="A191" s="136"/>
      <c r="B191" s="136"/>
      <c r="C191" s="136"/>
      <c r="D191" s="136"/>
      <c r="E191" s="136"/>
      <c r="F191" s="136"/>
      <c r="G191" s="136"/>
      <c r="H191" s="52"/>
      <c r="I191" s="52"/>
      <c r="J191" s="52"/>
      <c r="K191" s="136"/>
      <c r="L191" s="53"/>
      <c r="M191" s="53"/>
      <c r="N191" s="53"/>
      <c r="O191" s="53"/>
      <c r="P191" s="53"/>
      <c r="Q191" s="53"/>
      <c r="R191" s="53"/>
      <c r="S191" s="136"/>
      <c r="T191" s="136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</row>
    <row r="192" ht="12.75" customHeight="1">
      <c r="A192" s="136"/>
      <c r="B192" s="136"/>
      <c r="C192" s="136"/>
      <c r="D192" s="136"/>
      <c r="E192" s="136"/>
      <c r="F192" s="136"/>
      <c r="G192" s="136"/>
      <c r="H192" s="52"/>
      <c r="I192" s="52"/>
      <c r="J192" s="52"/>
      <c r="K192" s="136"/>
      <c r="L192" s="53"/>
      <c r="M192" s="53"/>
      <c r="N192" s="53"/>
      <c r="O192" s="53"/>
      <c r="P192" s="53"/>
      <c r="Q192" s="53"/>
      <c r="R192" s="53"/>
      <c r="S192" s="136"/>
      <c r="T192" s="136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</row>
    <row r="193" ht="12.75" customHeight="1">
      <c r="A193" s="136"/>
      <c r="B193" s="136"/>
      <c r="C193" s="136"/>
      <c r="D193" s="136"/>
      <c r="E193" s="136"/>
      <c r="F193" s="136"/>
      <c r="G193" s="136"/>
      <c r="H193" s="52"/>
      <c r="I193" s="52"/>
      <c r="J193" s="52"/>
      <c r="K193" s="136"/>
      <c r="L193" s="53"/>
      <c r="M193" s="53"/>
      <c r="N193" s="53"/>
      <c r="O193" s="53"/>
      <c r="P193" s="53"/>
      <c r="Q193" s="53"/>
      <c r="R193" s="53"/>
      <c r="S193" s="136"/>
      <c r="T193" s="136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</row>
    <row r="194" ht="12.75" customHeight="1">
      <c r="A194" s="136"/>
      <c r="B194" s="136"/>
      <c r="C194" s="136"/>
      <c r="D194" s="136"/>
      <c r="E194" s="136"/>
      <c r="F194" s="136"/>
      <c r="G194" s="136"/>
      <c r="H194" s="52"/>
      <c r="I194" s="52"/>
      <c r="J194" s="52"/>
      <c r="K194" s="136"/>
      <c r="L194" s="53"/>
      <c r="M194" s="53"/>
      <c r="N194" s="53"/>
      <c r="O194" s="53"/>
      <c r="P194" s="53"/>
      <c r="Q194" s="53"/>
      <c r="R194" s="53"/>
      <c r="S194" s="136"/>
      <c r="T194" s="136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</row>
    <row r="195" ht="12.75" customHeight="1">
      <c r="A195" s="136"/>
      <c r="B195" s="136"/>
      <c r="C195" s="136"/>
      <c r="D195" s="136"/>
      <c r="E195" s="136"/>
      <c r="F195" s="136"/>
      <c r="G195" s="136"/>
      <c r="H195" s="52"/>
      <c r="I195" s="52"/>
      <c r="J195" s="52"/>
      <c r="K195" s="136"/>
      <c r="L195" s="53"/>
      <c r="M195" s="53"/>
      <c r="N195" s="53"/>
      <c r="O195" s="53"/>
      <c r="P195" s="53"/>
      <c r="Q195" s="53"/>
      <c r="R195" s="53"/>
      <c r="S195" s="136"/>
      <c r="T195" s="136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</row>
    <row r="196" ht="12.75" customHeight="1">
      <c r="A196" s="136"/>
      <c r="B196" s="136"/>
      <c r="C196" s="136"/>
      <c r="D196" s="136"/>
      <c r="E196" s="136"/>
      <c r="F196" s="136"/>
      <c r="G196" s="136"/>
      <c r="H196" s="52"/>
      <c r="I196" s="52"/>
      <c r="J196" s="52"/>
      <c r="K196" s="136"/>
      <c r="L196" s="53"/>
      <c r="M196" s="53"/>
      <c r="N196" s="53"/>
      <c r="O196" s="53"/>
      <c r="P196" s="53"/>
      <c r="Q196" s="53"/>
      <c r="R196" s="53"/>
      <c r="S196" s="136"/>
      <c r="T196" s="136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</row>
    <row r="197" ht="12.75" customHeight="1">
      <c r="A197" s="136"/>
      <c r="B197" s="136"/>
      <c r="C197" s="136"/>
      <c r="D197" s="136"/>
      <c r="E197" s="136"/>
      <c r="F197" s="136"/>
      <c r="G197" s="136"/>
      <c r="H197" s="52"/>
      <c r="I197" s="52"/>
      <c r="J197" s="52"/>
      <c r="K197" s="136"/>
      <c r="L197" s="53"/>
      <c r="M197" s="53"/>
      <c r="N197" s="53"/>
      <c r="O197" s="53"/>
      <c r="P197" s="53"/>
      <c r="Q197" s="53"/>
      <c r="R197" s="53"/>
      <c r="S197" s="136"/>
      <c r="T197" s="136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</row>
    <row r="198" ht="12.75" customHeight="1">
      <c r="A198" s="136"/>
      <c r="B198" s="136"/>
      <c r="C198" s="136"/>
      <c r="D198" s="136"/>
      <c r="E198" s="136"/>
      <c r="F198" s="136"/>
      <c r="G198" s="136"/>
      <c r="H198" s="52"/>
      <c r="I198" s="52"/>
      <c r="J198" s="52"/>
      <c r="K198" s="136"/>
      <c r="L198" s="53"/>
      <c r="M198" s="53"/>
      <c r="N198" s="53"/>
      <c r="O198" s="53"/>
      <c r="P198" s="53"/>
      <c r="Q198" s="53"/>
      <c r="R198" s="53"/>
      <c r="S198" s="136"/>
      <c r="T198" s="136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</row>
    <row r="199" ht="12.75" customHeight="1">
      <c r="A199" s="136"/>
      <c r="B199" s="136"/>
      <c r="C199" s="136"/>
      <c r="D199" s="136"/>
      <c r="E199" s="136"/>
      <c r="F199" s="136"/>
      <c r="G199" s="136"/>
      <c r="H199" s="52"/>
      <c r="I199" s="52"/>
      <c r="J199" s="52"/>
      <c r="K199" s="136"/>
      <c r="L199" s="53"/>
      <c r="M199" s="53"/>
      <c r="N199" s="53"/>
      <c r="O199" s="53"/>
      <c r="P199" s="53"/>
      <c r="Q199" s="53"/>
      <c r="R199" s="53"/>
      <c r="S199" s="136"/>
      <c r="T199" s="136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</row>
    <row r="200" ht="12.75" customHeight="1">
      <c r="A200" s="136"/>
      <c r="B200" s="136"/>
      <c r="C200" s="136"/>
      <c r="D200" s="136"/>
      <c r="E200" s="136"/>
      <c r="F200" s="136"/>
      <c r="G200" s="136"/>
      <c r="H200" s="52"/>
      <c r="I200" s="52"/>
      <c r="J200" s="52"/>
      <c r="K200" s="136"/>
      <c r="L200" s="53"/>
      <c r="M200" s="53"/>
      <c r="N200" s="53"/>
      <c r="O200" s="53"/>
      <c r="P200" s="53"/>
      <c r="Q200" s="53"/>
      <c r="R200" s="53"/>
      <c r="S200" s="136"/>
      <c r="T200" s="136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</row>
    <row r="201" ht="12.75" customHeight="1">
      <c r="A201" s="136"/>
      <c r="B201" s="136"/>
      <c r="C201" s="136"/>
      <c r="D201" s="136"/>
      <c r="E201" s="136"/>
      <c r="F201" s="136"/>
      <c r="G201" s="136"/>
      <c r="H201" s="52"/>
      <c r="I201" s="52"/>
      <c r="J201" s="52"/>
      <c r="K201" s="136"/>
      <c r="L201" s="53"/>
      <c r="M201" s="53"/>
      <c r="N201" s="53"/>
      <c r="O201" s="53"/>
      <c r="P201" s="53"/>
      <c r="Q201" s="53"/>
      <c r="R201" s="53"/>
      <c r="S201" s="136"/>
      <c r="T201" s="136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</row>
    <row r="202" ht="12.75" customHeight="1">
      <c r="A202" s="136"/>
      <c r="B202" s="136"/>
      <c r="C202" s="136"/>
      <c r="D202" s="136"/>
      <c r="E202" s="136"/>
      <c r="F202" s="136"/>
      <c r="G202" s="136"/>
      <c r="H202" s="52"/>
      <c r="I202" s="52"/>
      <c r="J202" s="52"/>
      <c r="K202" s="136"/>
      <c r="L202" s="53"/>
      <c r="M202" s="53"/>
      <c r="N202" s="53"/>
      <c r="O202" s="53"/>
      <c r="P202" s="53"/>
      <c r="Q202" s="53"/>
      <c r="R202" s="53"/>
      <c r="S202" s="136"/>
      <c r="T202" s="136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</row>
    <row r="203" ht="12.75" customHeight="1">
      <c r="A203" s="136"/>
      <c r="B203" s="136"/>
      <c r="C203" s="136"/>
      <c r="D203" s="136"/>
      <c r="E203" s="136"/>
      <c r="F203" s="136"/>
      <c r="G203" s="136"/>
      <c r="H203" s="52"/>
      <c r="I203" s="52"/>
      <c r="J203" s="52"/>
      <c r="K203" s="136"/>
      <c r="L203" s="53"/>
      <c r="M203" s="53"/>
      <c r="N203" s="53"/>
      <c r="O203" s="53"/>
      <c r="P203" s="53"/>
      <c r="Q203" s="53"/>
      <c r="R203" s="53"/>
      <c r="S203" s="136"/>
      <c r="T203" s="136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</row>
    <row r="204" ht="12.75" customHeight="1">
      <c r="A204" s="136"/>
      <c r="B204" s="136"/>
      <c r="C204" s="136"/>
      <c r="D204" s="136"/>
      <c r="E204" s="136"/>
      <c r="F204" s="136"/>
      <c r="G204" s="136"/>
      <c r="H204" s="52"/>
      <c r="I204" s="52"/>
      <c r="J204" s="52"/>
      <c r="K204" s="136"/>
      <c r="L204" s="53"/>
      <c r="M204" s="53"/>
      <c r="N204" s="53"/>
      <c r="O204" s="53"/>
      <c r="P204" s="53"/>
      <c r="Q204" s="53"/>
      <c r="R204" s="53"/>
      <c r="S204" s="136"/>
      <c r="T204" s="136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</row>
    <row r="205" ht="12.75" customHeight="1">
      <c r="A205" s="136"/>
      <c r="B205" s="136"/>
      <c r="C205" s="136"/>
      <c r="D205" s="136"/>
      <c r="E205" s="136"/>
      <c r="F205" s="136"/>
      <c r="G205" s="136"/>
      <c r="H205" s="52"/>
      <c r="I205" s="52"/>
      <c r="J205" s="52"/>
      <c r="K205" s="136"/>
      <c r="L205" s="53"/>
      <c r="M205" s="53"/>
      <c r="N205" s="53"/>
      <c r="O205" s="53"/>
      <c r="P205" s="53"/>
      <c r="Q205" s="53"/>
      <c r="R205" s="53"/>
      <c r="S205" s="136"/>
      <c r="T205" s="136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</row>
    <row r="206" ht="12.75" customHeight="1">
      <c r="A206" s="136"/>
      <c r="B206" s="136"/>
      <c r="C206" s="136"/>
      <c r="D206" s="136"/>
      <c r="E206" s="136"/>
      <c r="F206" s="136"/>
      <c r="G206" s="136"/>
      <c r="H206" s="52"/>
      <c r="I206" s="52"/>
      <c r="J206" s="52"/>
      <c r="K206" s="136"/>
      <c r="L206" s="53"/>
      <c r="M206" s="53"/>
      <c r="N206" s="53"/>
      <c r="O206" s="53"/>
      <c r="P206" s="53"/>
      <c r="Q206" s="53"/>
      <c r="R206" s="53"/>
      <c r="S206" s="136"/>
      <c r="T206" s="136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</row>
    <row r="207" ht="12.75" customHeight="1">
      <c r="A207" s="136"/>
      <c r="B207" s="136"/>
      <c r="C207" s="136"/>
      <c r="D207" s="136"/>
      <c r="E207" s="136"/>
      <c r="F207" s="136"/>
      <c r="G207" s="136"/>
      <c r="H207" s="52"/>
      <c r="I207" s="52"/>
      <c r="J207" s="52"/>
      <c r="K207" s="136"/>
      <c r="L207" s="53"/>
      <c r="M207" s="53"/>
      <c r="N207" s="53"/>
      <c r="O207" s="53"/>
      <c r="P207" s="53"/>
      <c r="Q207" s="53"/>
      <c r="R207" s="53"/>
      <c r="S207" s="136"/>
      <c r="T207" s="136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</row>
    <row r="208" ht="12.75" customHeight="1">
      <c r="A208" s="136"/>
      <c r="B208" s="136"/>
      <c r="C208" s="136"/>
      <c r="D208" s="136"/>
      <c r="E208" s="136"/>
      <c r="F208" s="136"/>
      <c r="G208" s="136"/>
      <c r="H208" s="52"/>
      <c r="I208" s="52"/>
      <c r="J208" s="52"/>
      <c r="K208" s="136"/>
      <c r="L208" s="53"/>
      <c r="M208" s="53"/>
      <c r="N208" s="53"/>
      <c r="O208" s="53"/>
      <c r="P208" s="53"/>
      <c r="Q208" s="53"/>
      <c r="R208" s="53"/>
      <c r="S208" s="136"/>
      <c r="T208" s="136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</row>
    <row r="209" ht="12.75" customHeight="1">
      <c r="A209" s="136"/>
      <c r="B209" s="136"/>
      <c r="C209" s="136"/>
      <c r="D209" s="136"/>
      <c r="E209" s="136"/>
      <c r="F209" s="136"/>
      <c r="G209" s="136"/>
      <c r="H209" s="52"/>
      <c r="I209" s="52"/>
      <c r="J209" s="52"/>
      <c r="K209" s="136"/>
      <c r="L209" s="53"/>
      <c r="M209" s="53"/>
      <c r="N209" s="53"/>
      <c r="O209" s="53"/>
      <c r="P209" s="53"/>
      <c r="Q209" s="53"/>
      <c r="R209" s="53"/>
      <c r="S209" s="136"/>
      <c r="T209" s="136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</row>
    <row r="210" ht="12.75" customHeight="1">
      <c r="A210" s="136"/>
      <c r="B210" s="136"/>
      <c r="C210" s="136"/>
      <c r="D210" s="136"/>
      <c r="E210" s="136"/>
      <c r="F210" s="136"/>
      <c r="G210" s="136"/>
      <c r="H210" s="52"/>
      <c r="I210" s="52"/>
      <c r="J210" s="52"/>
      <c r="K210" s="136"/>
      <c r="L210" s="53"/>
      <c r="M210" s="53"/>
      <c r="N210" s="53"/>
      <c r="O210" s="53"/>
      <c r="P210" s="53"/>
      <c r="Q210" s="53"/>
      <c r="R210" s="53"/>
      <c r="S210" s="136"/>
      <c r="T210" s="136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</row>
    <row r="211" ht="12.75" customHeight="1">
      <c r="A211" s="136"/>
      <c r="B211" s="136"/>
      <c r="C211" s="136"/>
      <c r="D211" s="136"/>
      <c r="E211" s="136"/>
      <c r="F211" s="136"/>
      <c r="G211" s="136"/>
      <c r="H211" s="52"/>
      <c r="I211" s="52"/>
      <c r="J211" s="52"/>
      <c r="K211" s="136"/>
      <c r="L211" s="53"/>
      <c r="M211" s="53"/>
      <c r="N211" s="53"/>
      <c r="O211" s="53"/>
      <c r="P211" s="53"/>
      <c r="Q211" s="53"/>
      <c r="R211" s="53"/>
      <c r="S211" s="136"/>
      <c r="T211" s="136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</row>
    <row r="212" ht="12.75" customHeight="1">
      <c r="A212" s="136"/>
      <c r="B212" s="136"/>
      <c r="C212" s="136"/>
      <c r="D212" s="136"/>
      <c r="E212" s="136"/>
      <c r="F212" s="136"/>
      <c r="G212" s="136"/>
      <c r="H212" s="52"/>
      <c r="I212" s="52"/>
      <c r="J212" s="52"/>
      <c r="K212" s="136"/>
      <c r="L212" s="53"/>
      <c r="M212" s="53"/>
      <c r="N212" s="53"/>
      <c r="O212" s="53"/>
      <c r="P212" s="53"/>
      <c r="Q212" s="53"/>
      <c r="R212" s="53"/>
      <c r="S212" s="136"/>
      <c r="T212" s="136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</row>
    <row r="213" ht="12.75" customHeight="1">
      <c r="A213" s="136"/>
      <c r="B213" s="136"/>
      <c r="C213" s="136"/>
      <c r="D213" s="136"/>
      <c r="E213" s="136"/>
      <c r="F213" s="136"/>
      <c r="G213" s="136"/>
      <c r="H213" s="52"/>
      <c r="I213" s="52"/>
      <c r="J213" s="52"/>
      <c r="K213" s="136"/>
      <c r="L213" s="53"/>
      <c r="M213" s="53"/>
      <c r="N213" s="53"/>
      <c r="O213" s="53"/>
      <c r="P213" s="53"/>
      <c r="Q213" s="53"/>
      <c r="R213" s="53"/>
      <c r="S213" s="136"/>
      <c r="T213" s="136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</row>
    <row r="214" ht="12.75" customHeight="1">
      <c r="A214" s="136"/>
      <c r="B214" s="136"/>
      <c r="C214" s="136"/>
      <c r="D214" s="136"/>
      <c r="E214" s="136"/>
      <c r="F214" s="136"/>
      <c r="G214" s="136"/>
      <c r="H214" s="52"/>
      <c r="I214" s="52"/>
      <c r="J214" s="52"/>
      <c r="K214" s="136"/>
      <c r="L214" s="53"/>
      <c r="M214" s="53"/>
      <c r="N214" s="53"/>
      <c r="O214" s="53"/>
      <c r="P214" s="53"/>
      <c r="Q214" s="53"/>
      <c r="R214" s="53"/>
      <c r="S214" s="136"/>
      <c r="T214" s="136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</row>
    <row r="215" ht="12.75" customHeight="1">
      <c r="A215" s="136"/>
      <c r="B215" s="136"/>
      <c r="C215" s="136"/>
      <c r="D215" s="136"/>
      <c r="E215" s="136"/>
      <c r="F215" s="136"/>
      <c r="G215" s="136"/>
      <c r="H215" s="52"/>
      <c r="I215" s="52"/>
      <c r="J215" s="52"/>
      <c r="K215" s="136"/>
      <c r="L215" s="53"/>
      <c r="M215" s="53"/>
      <c r="N215" s="53"/>
      <c r="O215" s="53"/>
      <c r="P215" s="53"/>
      <c r="Q215" s="53"/>
      <c r="R215" s="53"/>
      <c r="S215" s="136"/>
      <c r="T215" s="136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</row>
    <row r="216" ht="12.75" customHeight="1">
      <c r="A216" s="136"/>
      <c r="B216" s="136"/>
      <c r="C216" s="136"/>
      <c r="D216" s="136"/>
      <c r="E216" s="136"/>
      <c r="F216" s="136"/>
      <c r="G216" s="136"/>
      <c r="H216" s="52"/>
      <c r="I216" s="52"/>
      <c r="J216" s="52"/>
      <c r="K216" s="136"/>
      <c r="L216" s="53"/>
      <c r="M216" s="53"/>
      <c r="N216" s="53"/>
      <c r="O216" s="53"/>
      <c r="P216" s="53"/>
      <c r="Q216" s="53"/>
      <c r="R216" s="53"/>
      <c r="S216" s="136"/>
      <c r="T216" s="136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</row>
    <row r="217" ht="12.75" customHeight="1">
      <c r="A217" s="136"/>
      <c r="B217" s="136"/>
      <c r="C217" s="136"/>
      <c r="D217" s="136"/>
      <c r="E217" s="136"/>
      <c r="F217" s="136"/>
      <c r="G217" s="136"/>
      <c r="H217" s="52"/>
      <c r="I217" s="52"/>
      <c r="J217" s="52"/>
      <c r="K217" s="136"/>
      <c r="L217" s="53"/>
      <c r="M217" s="53"/>
      <c r="N217" s="53"/>
      <c r="O217" s="53"/>
      <c r="P217" s="53"/>
      <c r="Q217" s="53"/>
      <c r="R217" s="53"/>
      <c r="S217" s="136"/>
      <c r="T217" s="136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</row>
    <row r="218" ht="12.75" customHeight="1">
      <c r="A218" s="136"/>
      <c r="B218" s="136"/>
      <c r="C218" s="136"/>
      <c r="D218" s="136"/>
      <c r="E218" s="136"/>
      <c r="F218" s="136"/>
      <c r="G218" s="136"/>
      <c r="H218" s="52"/>
      <c r="I218" s="52"/>
      <c r="J218" s="52"/>
      <c r="K218" s="136"/>
      <c r="L218" s="53"/>
      <c r="M218" s="53"/>
      <c r="N218" s="53"/>
      <c r="O218" s="53"/>
      <c r="P218" s="53"/>
      <c r="Q218" s="53"/>
      <c r="R218" s="53"/>
      <c r="S218" s="136"/>
      <c r="T218" s="136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</row>
    <row r="219" ht="12.75" customHeight="1">
      <c r="A219" s="136"/>
      <c r="B219" s="136"/>
      <c r="C219" s="136"/>
      <c r="D219" s="136"/>
      <c r="E219" s="136"/>
      <c r="F219" s="136"/>
      <c r="G219" s="136"/>
      <c r="H219" s="52"/>
      <c r="I219" s="52"/>
      <c r="J219" s="52"/>
      <c r="K219" s="136"/>
      <c r="L219" s="53"/>
      <c r="M219" s="53"/>
      <c r="N219" s="53"/>
      <c r="O219" s="53"/>
      <c r="P219" s="53"/>
      <c r="Q219" s="53"/>
      <c r="R219" s="53"/>
      <c r="S219" s="136"/>
      <c r="T219" s="136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</row>
    <row r="220" ht="12.75" customHeight="1">
      <c r="A220" s="136"/>
      <c r="B220" s="136"/>
      <c r="C220" s="136"/>
      <c r="D220" s="136"/>
      <c r="E220" s="136"/>
      <c r="F220" s="136"/>
      <c r="G220" s="136"/>
      <c r="H220" s="52"/>
      <c r="I220" s="52"/>
      <c r="J220" s="52"/>
      <c r="K220" s="136"/>
      <c r="L220" s="53"/>
      <c r="M220" s="53"/>
      <c r="N220" s="53"/>
      <c r="O220" s="53"/>
      <c r="P220" s="53"/>
      <c r="Q220" s="53"/>
      <c r="R220" s="53"/>
      <c r="S220" s="136"/>
      <c r="T220" s="136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</row>
    <row r="221" ht="12.75" customHeight="1">
      <c r="A221" s="136"/>
      <c r="B221" s="136"/>
      <c r="C221" s="136"/>
      <c r="D221" s="136"/>
      <c r="E221" s="136"/>
      <c r="F221" s="136"/>
      <c r="G221" s="136"/>
      <c r="H221" s="52"/>
      <c r="I221" s="52"/>
      <c r="J221" s="52"/>
      <c r="K221" s="136"/>
      <c r="L221" s="53"/>
      <c r="M221" s="53"/>
      <c r="N221" s="53"/>
      <c r="O221" s="53"/>
      <c r="P221" s="53"/>
      <c r="Q221" s="53"/>
      <c r="R221" s="53"/>
      <c r="S221" s="136"/>
      <c r="T221" s="136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</row>
    <row r="222" ht="12.75" customHeight="1">
      <c r="A222" s="136"/>
      <c r="B222" s="136"/>
      <c r="C222" s="136"/>
      <c r="D222" s="136"/>
      <c r="E222" s="136"/>
      <c r="F222" s="136"/>
      <c r="G222" s="136"/>
      <c r="H222" s="52"/>
      <c r="I222" s="52"/>
      <c r="J222" s="52"/>
      <c r="K222" s="136"/>
      <c r="L222" s="53"/>
      <c r="M222" s="53"/>
      <c r="N222" s="53"/>
      <c r="O222" s="53"/>
      <c r="P222" s="53"/>
      <c r="Q222" s="53"/>
      <c r="R222" s="53"/>
      <c r="S222" s="136"/>
      <c r="T222" s="136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</row>
    <row r="223" ht="12.75" customHeight="1">
      <c r="A223" s="136"/>
      <c r="B223" s="136"/>
      <c r="C223" s="136"/>
      <c r="D223" s="136"/>
      <c r="E223" s="136"/>
      <c r="F223" s="136"/>
      <c r="G223" s="136"/>
      <c r="H223" s="52"/>
      <c r="I223" s="52"/>
      <c r="J223" s="52"/>
      <c r="K223" s="136"/>
      <c r="L223" s="53"/>
      <c r="M223" s="53"/>
      <c r="N223" s="53"/>
      <c r="O223" s="53"/>
      <c r="P223" s="53"/>
      <c r="Q223" s="53"/>
      <c r="R223" s="53"/>
      <c r="S223" s="136"/>
      <c r="T223" s="136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</row>
    <row r="224" ht="12.75" customHeight="1">
      <c r="A224" s="136"/>
      <c r="B224" s="136"/>
      <c r="C224" s="136"/>
      <c r="D224" s="136"/>
      <c r="E224" s="136"/>
      <c r="F224" s="136"/>
      <c r="G224" s="136"/>
      <c r="H224" s="52"/>
      <c r="I224" s="52"/>
      <c r="J224" s="52"/>
      <c r="K224" s="136"/>
      <c r="L224" s="53"/>
      <c r="M224" s="53"/>
      <c r="N224" s="53"/>
      <c r="O224" s="53"/>
      <c r="P224" s="53"/>
      <c r="Q224" s="53"/>
      <c r="R224" s="53"/>
      <c r="S224" s="136"/>
      <c r="T224" s="136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</row>
    <row r="225" ht="12.75" customHeight="1">
      <c r="A225" s="136"/>
      <c r="B225" s="136"/>
      <c r="C225" s="136"/>
      <c r="D225" s="136"/>
      <c r="E225" s="136"/>
      <c r="F225" s="136"/>
      <c r="G225" s="136"/>
      <c r="H225" s="52"/>
      <c r="I225" s="52"/>
      <c r="J225" s="52"/>
      <c r="K225" s="136"/>
      <c r="L225" s="53"/>
      <c r="M225" s="53"/>
      <c r="N225" s="53"/>
      <c r="O225" s="53"/>
      <c r="P225" s="53"/>
      <c r="Q225" s="53"/>
      <c r="R225" s="53"/>
      <c r="S225" s="136"/>
      <c r="T225" s="136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</row>
    <row r="226" ht="12.75" customHeight="1">
      <c r="A226" s="136"/>
      <c r="B226" s="136"/>
      <c r="C226" s="136"/>
      <c r="D226" s="136"/>
      <c r="E226" s="136"/>
      <c r="F226" s="136"/>
      <c r="G226" s="136"/>
      <c r="H226" s="52"/>
      <c r="I226" s="52"/>
      <c r="J226" s="52"/>
      <c r="K226" s="136"/>
      <c r="L226" s="53"/>
      <c r="M226" s="53"/>
      <c r="N226" s="53"/>
      <c r="O226" s="53"/>
      <c r="P226" s="53"/>
      <c r="Q226" s="53"/>
      <c r="R226" s="53"/>
      <c r="S226" s="136"/>
      <c r="T226" s="136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</row>
    <row r="227" ht="12.75" customHeight="1">
      <c r="A227" s="136"/>
      <c r="B227" s="136"/>
      <c r="C227" s="136"/>
      <c r="D227" s="136"/>
      <c r="E227" s="136"/>
      <c r="F227" s="136"/>
      <c r="G227" s="136"/>
      <c r="H227" s="52"/>
      <c r="I227" s="52"/>
      <c r="J227" s="52"/>
      <c r="K227" s="136"/>
      <c r="L227" s="53"/>
      <c r="M227" s="53"/>
      <c r="N227" s="53"/>
      <c r="O227" s="53"/>
      <c r="P227" s="53"/>
      <c r="Q227" s="53"/>
      <c r="R227" s="53"/>
      <c r="S227" s="136"/>
      <c r="T227" s="136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</row>
    <row r="228" ht="12.75" customHeight="1">
      <c r="A228" s="136"/>
      <c r="B228" s="136"/>
      <c r="C228" s="136"/>
      <c r="D228" s="136"/>
      <c r="E228" s="136"/>
      <c r="F228" s="136"/>
      <c r="G228" s="136"/>
      <c r="H228" s="52"/>
      <c r="I228" s="52"/>
      <c r="J228" s="52"/>
      <c r="K228" s="136"/>
      <c r="L228" s="53"/>
      <c r="M228" s="53"/>
      <c r="N228" s="53"/>
      <c r="O228" s="53"/>
      <c r="P228" s="53"/>
      <c r="Q228" s="53"/>
      <c r="R228" s="53"/>
      <c r="S228" s="136"/>
      <c r="T228" s="136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</row>
    <row r="229" ht="12.75" customHeight="1">
      <c r="A229" s="136"/>
      <c r="B229" s="136"/>
      <c r="C229" s="136"/>
      <c r="D229" s="136"/>
      <c r="E229" s="136"/>
      <c r="F229" s="136"/>
      <c r="G229" s="136"/>
      <c r="H229" s="52"/>
      <c r="I229" s="52"/>
      <c r="J229" s="52"/>
      <c r="K229" s="136"/>
      <c r="L229" s="53"/>
      <c r="M229" s="53"/>
      <c r="N229" s="53"/>
      <c r="O229" s="53"/>
      <c r="P229" s="53"/>
      <c r="Q229" s="53"/>
      <c r="R229" s="53"/>
      <c r="S229" s="136"/>
      <c r="T229" s="136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</row>
    <row r="230" ht="12.75" customHeight="1">
      <c r="A230" s="136"/>
      <c r="B230" s="136"/>
      <c r="C230" s="136"/>
      <c r="D230" s="136"/>
      <c r="E230" s="136"/>
      <c r="F230" s="136"/>
      <c r="G230" s="136"/>
      <c r="H230" s="52"/>
      <c r="I230" s="52"/>
      <c r="J230" s="52"/>
      <c r="K230" s="136"/>
      <c r="L230" s="53"/>
      <c r="M230" s="53"/>
      <c r="N230" s="53"/>
      <c r="O230" s="53"/>
      <c r="P230" s="53"/>
      <c r="Q230" s="53"/>
      <c r="R230" s="53"/>
      <c r="S230" s="136"/>
      <c r="T230" s="136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</row>
    <row r="231" ht="12.75" customHeight="1">
      <c r="A231" s="136"/>
      <c r="B231" s="136"/>
      <c r="C231" s="136"/>
      <c r="D231" s="136"/>
      <c r="E231" s="136"/>
      <c r="F231" s="136"/>
      <c r="G231" s="136"/>
      <c r="H231" s="52"/>
      <c r="I231" s="52"/>
      <c r="J231" s="52"/>
      <c r="K231" s="136"/>
      <c r="L231" s="53"/>
      <c r="M231" s="53"/>
      <c r="N231" s="53"/>
      <c r="O231" s="53"/>
      <c r="P231" s="53"/>
      <c r="Q231" s="53"/>
      <c r="R231" s="53"/>
      <c r="S231" s="136"/>
      <c r="T231" s="136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</row>
    <row r="232" ht="12.75" customHeight="1">
      <c r="A232" s="136"/>
      <c r="B232" s="136"/>
      <c r="C232" s="136"/>
      <c r="D232" s="136"/>
      <c r="E232" s="136"/>
      <c r="F232" s="136"/>
      <c r="G232" s="136"/>
      <c r="H232" s="52"/>
      <c r="I232" s="52"/>
      <c r="J232" s="52"/>
      <c r="K232" s="136"/>
      <c r="L232" s="53"/>
      <c r="M232" s="53"/>
      <c r="N232" s="53"/>
      <c r="O232" s="53"/>
      <c r="P232" s="53"/>
      <c r="Q232" s="53"/>
      <c r="R232" s="53"/>
      <c r="S232" s="136"/>
      <c r="T232" s="136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</row>
    <row r="233" ht="12.75" customHeight="1">
      <c r="A233" s="136"/>
      <c r="B233" s="136"/>
      <c r="C233" s="136"/>
      <c r="D233" s="136"/>
      <c r="E233" s="136"/>
      <c r="F233" s="136"/>
      <c r="G233" s="136"/>
      <c r="H233" s="52"/>
      <c r="I233" s="52"/>
      <c r="J233" s="52"/>
      <c r="K233" s="136"/>
      <c r="L233" s="53"/>
      <c r="M233" s="53"/>
      <c r="N233" s="53"/>
      <c r="O233" s="53"/>
      <c r="P233" s="53"/>
      <c r="Q233" s="53"/>
      <c r="R233" s="53"/>
      <c r="S233" s="136"/>
      <c r="T233" s="136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</row>
    <row r="234" ht="12.75" customHeight="1">
      <c r="A234" s="136"/>
      <c r="B234" s="136"/>
      <c r="C234" s="136"/>
      <c r="D234" s="136"/>
      <c r="E234" s="136"/>
      <c r="F234" s="136"/>
      <c r="G234" s="136"/>
      <c r="H234" s="52"/>
      <c r="I234" s="52"/>
      <c r="J234" s="52"/>
      <c r="K234" s="136"/>
      <c r="L234" s="53"/>
      <c r="M234" s="53"/>
      <c r="N234" s="53"/>
      <c r="O234" s="53"/>
      <c r="P234" s="53"/>
      <c r="Q234" s="53"/>
      <c r="R234" s="53"/>
      <c r="S234" s="136"/>
      <c r="T234" s="136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</row>
    <row r="235" ht="12.75" customHeight="1">
      <c r="A235" s="136"/>
      <c r="B235" s="136"/>
      <c r="C235" s="136"/>
      <c r="D235" s="136"/>
      <c r="E235" s="136"/>
      <c r="F235" s="136"/>
      <c r="G235" s="136"/>
      <c r="H235" s="52"/>
      <c r="I235" s="52"/>
      <c r="J235" s="52"/>
      <c r="K235" s="136"/>
      <c r="L235" s="53"/>
      <c r="M235" s="53"/>
      <c r="N235" s="53"/>
      <c r="O235" s="53"/>
      <c r="P235" s="53"/>
      <c r="Q235" s="53"/>
      <c r="R235" s="53"/>
      <c r="S235" s="136"/>
      <c r="T235" s="136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</row>
    <row r="236" ht="12.75" customHeight="1">
      <c r="A236" s="136"/>
      <c r="B236" s="136"/>
      <c r="C236" s="136"/>
      <c r="D236" s="136"/>
      <c r="E236" s="136"/>
      <c r="F236" s="136"/>
      <c r="G236" s="136"/>
      <c r="H236" s="52"/>
      <c r="I236" s="52"/>
      <c r="J236" s="52"/>
      <c r="K236" s="136"/>
      <c r="L236" s="53"/>
      <c r="M236" s="53"/>
      <c r="N236" s="53"/>
      <c r="O236" s="53"/>
      <c r="P236" s="53"/>
      <c r="Q236" s="53"/>
      <c r="R236" s="53"/>
      <c r="S236" s="136"/>
      <c r="T236" s="136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</row>
    <row r="237" ht="12.75" customHeight="1">
      <c r="A237" s="136"/>
      <c r="B237" s="136"/>
      <c r="C237" s="136"/>
      <c r="D237" s="136"/>
      <c r="E237" s="136"/>
      <c r="F237" s="136"/>
      <c r="G237" s="136"/>
      <c r="H237" s="52"/>
      <c r="I237" s="52"/>
      <c r="J237" s="52"/>
      <c r="K237" s="136"/>
      <c r="L237" s="53"/>
      <c r="M237" s="53"/>
      <c r="N237" s="53"/>
      <c r="O237" s="53"/>
      <c r="P237" s="53"/>
      <c r="Q237" s="53"/>
      <c r="R237" s="53"/>
      <c r="S237" s="136"/>
      <c r="T237" s="136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</row>
    <row r="238" ht="12.75" customHeight="1">
      <c r="A238" s="136"/>
      <c r="B238" s="136"/>
      <c r="C238" s="136"/>
      <c r="D238" s="136"/>
      <c r="E238" s="136"/>
      <c r="F238" s="136"/>
      <c r="G238" s="136"/>
      <c r="H238" s="52"/>
      <c r="I238" s="52"/>
      <c r="J238" s="52"/>
      <c r="K238" s="136"/>
      <c r="L238" s="53"/>
      <c r="M238" s="53"/>
      <c r="N238" s="53"/>
      <c r="O238" s="53"/>
      <c r="P238" s="53"/>
      <c r="Q238" s="53"/>
      <c r="R238" s="53"/>
      <c r="S238" s="136"/>
      <c r="T238" s="136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</row>
    <row r="239" ht="12.75" customHeight="1">
      <c r="A239" s="136"/>
      <c r="B239" s="136"/>
      <c r="C239" s="136"/>
      <c r="D239" s="136"/>
      <c r="E239" s="136"/>
      <c r="F239" s="136"/>
      <c r="G239" s="136"/>
      <c r="H239" s="52"/>
      <c r="I239" s="52"/>
      <c r="J239" s="52"/>
      <c r="K239" s="136"/>
      <c r="L239" s="53"/>
      <c r="M239" s="53"/>
      <c r="N239" s="53"/>
      <c r="O239" s="53"/>
      <c r="P239" s="53"/>
      <c r="Q239" s="53"/>
      <c r="R239" s="53"/>
      <c r="S239" s="136"/>
      <c r="T239" s="136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</row>
    <row r="240" ht="12.75" customHeight="1">
      <c r="A240" s="136"/>
      <c r="B240" s="136"/>
      <c r="C240" s="136"/>
      <c r="D240" s="136"/>
      <c r="E240" s="136"/>
      <c r="F240" s="136"/>
      <c r="G240" s="136"/>
      <c r="H240" s="52"/>
      <c r="I240" s="52"/>
      <c r="J240" s="52"/>
      <c r="K240" s="136"/>
      <c r="L240" s="53"/>
      <c r="M240" s="53"/>
      <c r="N240" s="53"/>
      <c r="O240" s="53"/>
      <c r="P240" s="53"/>
      <c r="Q240" s="53"/>
      <c r="R240" s="53"/>
      <c r="S240" s="136"/>
      <c r="T240" s="136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</row>
    <row r="241" ht="12.75" customHeight="1">
      <c r="A241" s="136"/>
      <c r="B241" s="136"/>
      <c r="C241" s="136"/>
      <c r="D241" s="136"/>
      <c r="E241" s="136"/>
      <c r="F241" s="136"/>
      <c r="G241" s="136"/>
      <c r="H241" s="52"/>
      <c r="I241" s="52"/>
      <c r="J241" s="52"/>
      <c r="K241" s="136"/>
      <c r="L241" s="53"/>
      <c r="M241" s="53"/>
      <c r="N241" s="53"/>
      <c r="O241" s="53"/>
      <c r="P241" s="53"/>
      <c r="Q241" s="53"/>
      <c r="R241" s="53"/>
      <c r="S241" s="136"/>
      <c r="T241" s="136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</row>
    <row r="242" ht="12.75" customHeight="1">
      <c r="A242" s="136"/>
      <c r="B242" s="136"/>
      <c r="C242" s="136"/>
      <c r="D242" s="136"/>
      <c r="E242" s="136"/>
      <c r="F242" s="136"/>
      <c r="G242" s="136"/>
      <c r="H242" s="52"/>
      <c r="I242" s="52"/>
      <c r="J242" s="52"/>
      <c r="K242" s="136"/>
      <c r="L242" s="53"/>
      <c r="M242" s="53"/>
      <c r="N242" s="53"/>
      <c r="O242" s="53"/>
      <c r="P242" s="53"/>
      <c r="Q242" s="53"/>
      <c r="R242" s="53"/>
      <c r="S242" s="136"/>
      <c r="T242" s="136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</row>
    <row r="243" ht="12.75" customHeight="1">
      <c r="A243" s="136"/>
      <c r="B243" s="136"/>
      <c r="C243" s="136"/>
      <c r="D243" s="136"/>
      <c r="E243" s="136"/>
      <c r="F243" s="136"/>
      <c r="G243" s="136"/>
      <c r="H243" s="52"/>
      <c r="I243" s="52"/>
      <c r="J243" s="52"/>
      <c r="K243" s="136"/>
      <c r="L243" s="53"/>
      <c r="M243" s="53"/>
      <c r="N243" s="53"/>
      <c r="O243" s="53"/>
      <c r="P243" s="53"/>
      <c r="Q243" s="53"/>
      <c r="R243" s="53"/>
      <c r="S243" s="136"/>
      <c r="T243" s="136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</row>
    <row r="244" ht="12.75" customHeight="1">
      <c r="A244" s="136"/>
      <c r="B244" s="136"/>
      <c r="C244" s="136"/>
      <c r="D244" s="136"/>
      <c r="E244" s="136"/>
      <c r="F244" s="136"/>
      <c r="G244" s="136"/>
      <c r="H244" s="52"/>
      <c r="I244" s="52"/>
      <c r="J244" s="52"/>
      <c r="K244" s="136"/>
      <c r="L244" s="53"/>
      <c r="M244" s="53"/>
      <c r="N244" s="53"/>
      <c r="O244" s="53"/>
      <c r="P244" s="53"/>
      <c r="Q244" s="53"/>
      <c r="R244" s="53"/>
      <c r="S244" s="136"/>
      <c r="T244" s="136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</row>
    <row r="245" ht="12.75" customHeight="1">
      <c r="A245" s="136"/>
      <c r="B245" s="136"/>
      <c r="C245" s="136"/>
      <c r="D245" s="136"/>
      <c r="E245" s="136"/>
      <c r="F245" s="136"/>
      <c r="G245" s="136"/>
      <c r="H245" s="52"/>
      <c r="I245" s="52"/>
      <c r="J245" s="52"/>
      <c r="K245" s="136"/>
      <c r="L245" s="53"/>
      <c r="M245" s="53"/>
      <c r="N245" s="53"/>
      <c r="O245" s="53"/>
      <c r="P245" s="53"/>
      <c r="Q245" s="53"/>
      <c r="R245" s="53"/>
      <c r="S245" s="136"/>
      <c r="T245" s="136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</row>
    <row r="246" ht="12.75" customHeight="1">
      <c r="A246" s="136"/>
      <c r="B246" s="136"/>
      <c r="C246" s="136"/>
      <c r="D246" s="136"/>
      <c r="E246" s="136"/>
      <c r="F246" s="136"/>
      <c r="G246" s="136"/>
      <c r="H246" s="52"/>
      <c r="I246" s="52"/>
      <c r="J246" s="52"/>
      <c r="K246" s="136"/>
      <c r="L246" s="53"/>
      <c r="M246" s="53"/>
      <c r="N246" s="53"/>
      <c r="O246" s="53"/>
      <c r="P246" s="53"/>
      <c r="Q246" s="53"/>
      <c r="R246" s="53"/>
      <c r="S246" s="136"/>
      <c r="T246" s="136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</row>
    <row r="247" ht="12.75" customHeight="1">
      <c r="A247" s="136"/>
      <c r="B247" s="136"/>
      <c r="C247" s="136"/>
      <c r="D247" s="136"/>
      <c r="E247" s="136"/>
      <c r="F247" s="136"/>
      <c r="G247" s="136"/>
      <c r="H247" s="52"/>
      <c r="I247" s="52"/>
      <c r="J247" s="52"/>
      <c r="K247" s="136"/>
      <c r="L247" s="53"/>
      <c r="M247" s="53"/>
      <c r="N247" s="53"/>
      <c r="O247" s="53"/>
      <c r="P247" s="53"/>
      <c r="Q247" s="53"/>
      <c r="R247" s="53"/>
      <c r="S247" s="136"/>
      <c r="T247" s="136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</row>
    <row r="248" ht="12.75" customHeight="1">
      <c r="A248" s="136"/>
      <c r="B248" s="136"/>
      <c r="C248" s="136"/>
      <c r="D248" s="136"/>
      <c r="E248" s="136"/>
      <c r="F248" s="136"/>
      <c r="G248" s="136"/>
      <c r="H248" s="52"/>
      <c r="I248" s="52"/>
      <c r="J248" s="52"/>
      <c r="K248" s="136"/>
      <c r="L248" s="53"/>
      <c r="M248" s="53"/>
      <c r="N248" s="53"/>
      <c r="O248" s="53"/>
      <c r="P248" s="53"/>
      <c r="Q248" s="53"/>
      <c r="R248" s="53"/>
      <c r="S248" s="136"/>
      <c r="T248" s="136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</row>
    <row r="249" ht="12.75" customHeight="1">
      <c r="A249" s="136"/>
      <c r="B249" s="136"/>
      <c r="C249" s="136"/>
      <c r="D249" s="136"/>
      <c r="E249" s="136"/>
      <c r="F249" s="136"/>
      <c r="G249" s="136"/>
      <c r="H249" s="52"/>
      <c r="I249" s="52"/>
      <c r="J249" s="52"/>
      <c r="K249" s="136"/>
      <c r="L249" s="53"/>
      <c r="M249" s="53"/>
      <c r="N249" s="53"/>
      <c r="O249" s="53"/>
      <c r="P249" s="53"/>
      <c r="Q249" s="53"/>
      <c r="R249" s="53"/>
      <c r="S249" s="136"/>
      <c r="T249" s="136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</row>
    <row r="250" ht="12.75" customHeight="1">
      <c r="A250" s="136"/>
      <c r="B250" s="136"/>
      <c r="C250" s="136"/>
      <c r="D250" s="136"/>
      <c r="E250" s="136"/>
      <c r="F250" s="136"/>
      <c r="G250" s="136"/>
      <c r="H250" s="52"/>
      <c r="I250" s="52"/>
      <c r="J250" s="52"/>
      <c r="K250" s="136"/>
      <c r="L250" s="53"/>
      <c r="M250" s="53"/>
      <c r="N250" s="53"/>
      <c r="O250" s="53"/>
      <c r="P250" s="53"/>
      <c r="Q250" s="53"/>
      <c r="R250" s="53"/>
      <c r="S250" s="136"/>
      <c r="T250" s="136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</row>
    <row r="251" ht="12.75" customHeight="1">
      <c r="A251" s="136"/>
      <c r="B251" s="136"/>
      <c r="C251" s="136"/>
      <c r="D251" s="136"/>
      <c r="E251" s="136"/>
      <c r="F251" s="136"/>
      <c r="G251" s="136"/>
      <c r="H251" s="52"/>
      <c r="I251" s="52"/>
      <c r="J251" s="52"/>
      <c r="K251" s="136"/>
      <c r="L251" s="53"/>
      <c r="M251" s="53"/>
      <c r="N251" s="53"/>
      <c r="O251" s="53"/>
      <c r="P251" s="53"/>
      <c r="Q251" s="53"/>
      <c r="R251" s="53"/>
      <c r="S251" s="136"/>
      <c r="T251" s="136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</row>
    <row r="252" ht="12.75" customHeight="1">
      <c r="A252" s="136"/>
      <c r="B252" s="136"/>
      <c r="C252" s="136"/>
      <c r="D252" s="136"/>
      <c r="E252" s="136"/>
      <c r="F252" s="136"/>
      <c r="G252" s="136"/>
      <c r="H252" s="52"/>
      <c r="I252" s="52"/>
      <c r="J252" s="52"/>
      <c r="K252" s="136"/>
      <c r="L252" s="53"/>
      <c r="M252" s="53"/>
      <c r="N252" s="53"/>
      <c r="O252" s="53"/>
      <c r="P252" s="53"/>
      <c r="Q252" s="53"/>
      <c r="R252" s="53"/>
      <c r="S252" s="136"/>
      <c r="T252" s="136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</row>
    <row r="253" ht="12.75" customHeight="1">
      <c r="A253" s="136"/>
      <c r="B253" s="136"/>
      <c r="C253" s="136"/>
      <c r="D253" s="136"/>
      <c r="E253" s="136"/>
      <c r="F253" s="136"/>
      <c r="G253" s="136"/>
      <c r="H253" s="52"/>
      <c r="I253" s="52"/>
      <c r="J253" s="52"/>
      <c r="K253" s="136"/>
      <c r="L253" s="53"/>
      <c r="M253" s="53"/>
      <c r="N253" s="53"/>
      <c r="O253" s="53"/>
      <c r="P253" s="53"/>
      <c r="Q253" s="53"/>
      <c r="R253" s="53"/>
      <c r="S253" s="136"/>
      <c r="T253" s="136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</row>
    <row r="254" ht="12.75" customHeight="1">
      <c r="A254" s="136"/>
      <c r="B254" s="136"/>
      <c r="C254" s="136"/>
      <c r="D254" s="136"/>
      <c r="E254" s="136"/>
      <c r="F254" s="136"/>
      <c r="G254" s="136"/>
      <c r="H254" s="52"/>
      <c r="I254" s="52"/>
      <c r="J254" s="52"/>
      <c r="K254" s="136"/>
      <c r="L254" s="53"/>
      <c r="M254" s="53"/>
      <c r="N254" s="53"/>
      <c r="O254" s="53"/>
      <c r="P254" s="53"/>
      <c r="Q254" s="53"/>
      <c r="R254" s="53"/>
      <c r="S254" s="136"/>
      <c r="T254" s="136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</row>
    <row r="255" ht="12.75" customHeight="1">
      <c r="A255" s="136"/>
      <c r="B255" s="136"/>
      <c r="C255" s="136"/>
      <c r="D255" s="136"/>
      <c r="E255" s="136"/>
      <c r="F255" s="136"/>
      <c r="G255" s="136"/>
      <c r="H255" s="52"/>
      <c r="I255" s="52"/>
      <c r="J255" s="52"/>
      <c r="K255" s="136"/>
      <c r="L255" s="53"/>
      <c r="M255" s="53"/>
      <c r="N255" s="53"/>
      <c r="O255" s="53"/>
      <c r="P255" s="53"/>
      <c r="Q255" s="53"/>
      <c r="R255" s="53"/>
      <c r="S255" s="136"/>
      <c r="T255" s="136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</row>
    <row r="256" ht="12.75" customHeight="1">
      <c r="A256" s="136"/>
      <c r="B256" s="136"/>
      <c r="C256" s="136"/>
      <c r="D256" s="136"/>
      <c r="E256" s="136"/>
      <c r="F256" s="136"/>
      <c r="G256" s="136"/>
      <c r="H256" s="52"/>
      <c r="I256" s="52"/>
      <c r="J256" s="52"/>
      <c r="K256" s="136"/>
      <c r="L256" s="53"/>
      <c r="M256" s="53"/>
      <c r="N256" s="53"/>
      <c r="O256" s="53"/>
      <c r="P256" s="53"/>
      <c r="Q256" s="53"/>
      <c r="R256" s="53"/>
      <c r="S256" s="136"/>
      <c r="T256" s="136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</row>
    <row r="257" ht="12.75" customHeight="1">
      <c r="A257" s="136"/>
      <c r="B257" s="136"/>
      <c r="C257" s="136"/>
      <c r="D257" s="136"/>
      <c r="E257" s="136"/>
      <c r="F257" s="136"/>
      <c r="G257" s="136"/>
      <c r="H257" s="52"/>
      <c r="I257" s="52"/>
      <c r="J257" s="52"/>
      <c r="K257" s="136"/>
      <c r="L257" s="53"/>
      <c r="M257" s="53"/>
      <c r="N257" s="53"/>
      <c r="O257" s="53"/>
      <c r="P257" s="53"/>
      <c r="Q257" s="53"/>
      <c r="R257" s="53"/>
      <c r="S257" s="136"/>
      <c r="T257" s="136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</row>
    <row r="258" ht="12.75" customHeight="1">
      <c r="A258" s="136"/>
      <c r="B258" s="136"/>
      <c r="C258" s="136"/>
      <c r="D258" s="136"/>
      <c r="E258" s="136"/>
      <c r="F258" s="136"/>
      <c r="G258" s="136"/>
      <c r="H258" s="52"/>
      <c r="I258" s="52"/>
      <c r="J258" s="52"/>
      <c r="K258" s="136"/>
      <c r="L258" s="53"/>
      <c r="M258" s="53"/>
      <c r="N258" s="53"/>
      <c r="O258" s="53"/>
      <c r="P258" s="53"/>
      <c r="Q258" s="53"/>
      <c r="R258" s="53"/>
      <c r="S258" s="136"/>
      <c r="T258" s="136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</row>
    <row r="259" ht="12.75" customHeight="1">
      <c r="A259" s="136"/>
      <c r="B259" s="136"/>
      <c r="C259" s="136"/>
      <c r="D259" s="136"/>
      <c r="E259" s="136"/>
      <c r="F259" s="136"/>
      <c r="G259" s="136"/>
      <c r="H259" s="52"/>
      <c r="I259" s="52"/>
      <c r="J259" s="52"/>
      <c r="K259" s="136"/>
      <c r="L259" s="53"/>
      <c r="M259" s="53"/>
      <c r="N259" s="53"/>
      <c r="O259" s="53"/>
      <c r="P259" s="53"/>
      <c r="Q259" s="53"/>
      <c r="R259" s="53"/>
      <c r="S259" s="136"/>
      <c r="T259" s="136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</row>
    <row r="260" ht="12.75" customHeight="1">
      <c r="A260" s="136"/>
      <c r="B260" s="136"/>
      <c r="C260" s="136"/>
      <c r="D260" s="136"/>
      <c r="E260" s="136"/>
      <c r="F260" s="136"/>
      <c r="G260" s="136"/>
      <c r="H260" s="52"/>
      <c r="I260" s="52"/>
      <c r="J260" s="52"/>
      <c r="K260" s="136"/>
      <c r="L260" s="53"/>
      <c r="M260" s="53"/>
      <c r="N260" s="53"/>
      <c r="O260" s="53"/>
      <c r="P260" s="53"/>
      <c r="Q260" s="53"/>
      <c r="R260" s="53"/>
      <c r="S260" s="136"/>
      <c r="T260" s="136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</row>
    <row r="261" ht="12.75" customHeight="1">
      <c r="A261" s="136"/>
      <c r="B261" s="136"/>
      <c r="C261" s="136"/>
      <c r="D261" s="136"/>
      <c r="E261" s="136"/>
      <c r="F261" s="136"/>
      <c r="G261" s="136"/>
      <c r="H261" s="52"/>
      <c r="I261" s="52"/>
      <c r="J261" s="52"/>
      <c r="K261" s="136"/>
      <c r="L261" s="53"/>
      <c r="M261" s="53"/>
      <c r="N261" s="53"/>
      <c r="O261" s="53"/>
      <c r="P261" s="53"/>
      <c r="Q261" s="53"/>
      <c r="R261" s="53"/>
      <c r="S261" s="136"/>
      <c r="T261" s="136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</row>
    <row r="262" ht="12.75" customHeight="1">
      <c r="A262" s="136"/>
      <c r="B262" s="136"/>
      <c r="C262" s="136"/>
      <c r="D262" s="136"/>
      <c r="E262" s="136"/>
      <c r="F262" s="136"/>
      <c r="G262" s="136"/>
      <c r="H262" s="52"/>
      <c r="I262" s="52"/>
      <c r="J262" s="52"/>
      <c r="K262" s="136"/>
      <c r="L262" s="53"/>
      <c r="M262" s="53"/>
      <c r="N262" s="53"/>
      <c r="O262" s="53"/>
      <c r="P262" s="53"/>
      <c r="Q262" s="53"/>
      <c r="R262" s="53"/>
      <c r="S262" s="136"/>
      <c r="T262" s="136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</row>
    <row r="263" ht="12.75" customHeight="1">
      <c r="A263" s="136"/>
      <c r="B263" s="136"/>
      <c r="C263" s="136"/>
      <c r="D263" s="136"/>
      <c r="E263" s="136"/>
      <c r="F263" s="136"/>
      <c r="G263" s="136"/>
      <c r="H263" s="52"/>
      <c r="I263" s="52"/>
      <c r="J263" s="52"/>
      <c r="K263" s="136"/>
      <c r="L263" s="53"/>
      <c r="M263" s="53"/>
      <c r="N263" s="53"/>
      <c r="O263" s="53"/>
      <c r="P263" s="53"/>
      <c r="Q263" s="53"/>
      <c r="R263" s="53"/>
      <c r="S263" s="136"/>
      <c r="T263" s="136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</row>
    <row r="264" ht="12.75" customHeight="1">
      <c r="A264" s="136"/>
      <c r="B264" s="136"/>
      <c r="C264" s="136"/>
      <c r="D264" s="136"/>
      <c r="E264" s="136"/>
      <c r="F264" s="136"/>
      <c r="G264" s="136"/>
      <c r="H264" s="52"/>
      <c r="I264" s="52"/>
      <c r="J264" s="52"/>
      <c r="K264" s="136"/>
      <c r="L264" s="53"/>
      <c r="M264" s="53"/>
      <c r="N264" s="53"/>
      <c r="O264" s="53"/>
      <c r="P264" s="53"/>
      <c r="Q264" s="53"/>
      <c r="R264" s="53"/>
      <c r="S264" s="136"/>
      <c r="T264" s="136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</row>
    <row r="265" ht="12.75" customHeight="1">
      <c r="A265" s="136"/>
      <c r="B265" s="136"/>
      <c r="C265" s="136"/>
      <c r="D265" s="136"/>
      <c r="E265" s="136"/>
      <c r="F265" s="136"/>
      <c r="G265" s="136"/>
      <c r="H265" s="52"/>
      <c r="I265" s="52"/>
      <c r="J265" s="52"/>
      <c r="K265" s="136"/>
      <c r="L265" s="53"/>
      <c r="M265" s="53"/>
      <c r="N265" s="53"/>
      <c r="O265" s="53"/>
      <c r="P265" s="53"/>
      <c r="Q265" s="53"/>
      <c r="R265" s="53"/>
      <c r="S265" s="136"/>
      <c r="T265" s="136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</row>
    <row r="266" ht="12.75" customHeight="1">
      <c r="A266" s="136"/>
      <c r="B266" s="136"/>
      <c r="C266" s="136"/>
      <c r="D266" s="136"/>
      <c r="E266" s="136"/>
      <c r="F266" s="136"/>
      <c r="G266" s="136"/>
      <c r="H266" s="52"/>
      <c r="I266" s="52"/>
      <c r="J266" s="52"/>
      <c r="K266" s="136"/>
      <c r="L266" s="53"/>
      <c r="M266" s="53"/>
      <c r="N266" s="53"/>
      <c r="O266" s="53"/>
      <c r="P266" s="53"/>
      <c r="Q266" s="53"/>
      <c r="R266" s="53"/>
      <c r="S266" s="136"/>
      <c r="T266" s="136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</row>
    <row r="267" ht="12.75" customHeight="1">
      <c r="A267" s="136"/>
      <c r="B267" s="136"/>
      <c r="C267" s="136"/>
      <c r="D267" s="136"/>
      <c r="E267" s="136"/>
      <c r="F267" s="136"/>
      <c r="G267" s="136"/>
      <c r="H267" s="52"/>
      <c r="I267" s="52"/>
      <c r="J267" s="52"/>
      <c r="K267" s="136"/>
      <c r="L267" s="53"/>
      <c r="M267" s="53"/>
      <c r="N267" s="53"/>
      <c r="O267" s="53"/>
      <c r="P267" s="53"/>
      <c r="Q267" s="53"/>
      <c r="R267" s="53"/>
      <c r="S267" s="136"/>
      <c r="T267" s="136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</row>
    <row r="268" ht="12.75" customHeight="1">
      <c r="A268" s="136"/>
      <c r="B268" s="136"/>
      <c r="C268" s="136"/>
      <c r="D268" s="136"/>
      <c r="E268" s="136"/>
      <c r="F268" s="136"/>
      <c r="G268" s="136"/>
      <c r="H268" s="52"/>
      <c r="I268" s="52"/>
      <c r="J268" s="52"/>
      <c r="K268" s="136"/>
      <c r="L268" s="53"/>
      <c r="M268" s="53"/>
      <c r="N268" s="53"/>
      <c r="O268" s="53"/>
      <c r="P268" s="53"/>
      <c r="Q268" s="53"/>
      <c r="R268" s="53"/>
      <c r="S268" s="136"/>
      <c r="T268" s="136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</row>
    <row r="269" ht="12.75" customHeight="1">
      <c r="A269" s="136"/>
      <c r="B269" s="136"/>
      <c r="C269" s="136"/>
      <c r="D269" s="136"/>
      <c r="E269" s="136"/>
      <c r="F269" s="136"/>
      <c r="G269" s="136"/>
      <c r="H269" s="52"/>
      <c r="I269" s="52"/>
      <c r="J269" s="52"/>
      <c r="K269" s="136"/>
      <c r="L269" s="53"/>
      <c r="M269" s="53"/>
      <c r="N269" s="53"/>
      <c r="O269" s="53"/>
      <c r="P269" s="53"/>
      <c r="Q269" s="53"/>
      <c r="R269" s="53"/>
      <c r="S269" s="136"/>
      <c r="T269" s="136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</row>
    <row r="270" ht="12.75" customHeight="1">
      <c r="A270" s="136"/>
      <c r="B270" s="136"/>
      <c r="C270" s="136"/>
      <c r="D270" s="136"/>
      <c r="E270" s="136"/>
      <c r="F270" s="136"/>
      <c r="G270" s="136"/>
      <c r="H270" s="52"/>
      <c r="I270" s="52"/>
      <c r="J270" s="52"/>
      <c r="K270" s="136"/>
      <c r="L270" s="53"/>
      <c r="M270" s="53"/>
      <c r="N270" s="53"/>
      <c r="O270" s="53"/>
      <c r="P270" s="53"/>
      <c r="Q270" s="53"/>
      <c r="R270" s="53"/>
      <c r="S270" s="136"/>
      <c r="T270" s="136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</row>
    <row r="271" ht="12.75" customHeight="1">
      <c r="A271" s="136"/>
      <c r="B271" s="136"/>
      <c r="C271" s="136"/>
      <c r="D271" s="136"/>
      <c r="E271" s="136"/>
      <c r="F271" s="136"/>
      <c r="G271" s="136"/>
      <c r="H271" s="52"/>
      <c r="I271" s="52"/>
      <c r="J271" s="52"/>
      <c r="K271" s="136"/>
      <c r="L271" s="53"/>
      <c r="M271" s="53"/>
      <c r="N271" s="53"/>
      <c r="O271" s="53"/>
      <c r="P271" s="53"/>
      <c r="Q271" s="53"/>
      <c r="R271" s="53"/>
      <c r="S271" s="136"/>
      <c r="T271" s="136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</row>
    <row r="272" ht="12.75" customHeight="1">
      <c r="A272" s="136"/>
      <c r="B272" s="136"/>
      <c r="C272" s="136"/>
      <c r="D272" s="136"/>
      <c r="E272" s="136"/>
      <c r="F272" s="136"/>
      <c r="G272" s="136"/>
      <c r="H272" s="52"/>
      <c r="I272" s="52"/>
      <c r="J272" s="52"/>
      <c r="K272" s="136"/>
      <c r="L272" s="53"/>
      <c r="M272" s="53"/>
      <c r="N272" s="53"/>
      <c r="O272" s="53"/>
      <c r="P272" s="53"/>
      <c r="Q272" s="53"/>
      <c r="R272" s="53"/>
      <c r="S272" s="136"/>
      <c r="T272" s="136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</row>
    <row r="273" ht="12.75" customHeight="1">
      <c r="A273" s="136"/>
      <c r="B273" s="136"/>
      <c r="C273" s="136"/>
      <c r="D273" s="136"/>
      <c r="E273" s="136"/>
      <c r="F273" s="136"/>
      <c r="G273" s="136"/>
      <c r="H273" s="52"/>
      <c r="I273" s="52"/>
      <c r="J273" s="52"/>
      <c r="K273" s="136"/>
      <c r="L273" s="53"/>
      <c r="M273" s="53"/>
      <c r="N273" s="53"/>
      <c r="O273" s="53"/>
      <c r="P273" s="53"/>
      <c r="Q273" s="53"/>
      <c r="R273" s="53"/>
      <c r="S273" s="136"/>
      <c r="T273" s="136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</row>
    <row r="274" ht="12.75" customHeight="1">
      <c r="A274" s="136"/>
      <c r="B274" s="136"/>
      <c r="C274" s="136"/>
      <c r="D274" s="136"/>
      <c r="E274" s="136"/>
      <c r="F274" s="136"/>
      <c r="G274" s="136"/>
      <c r="H274" s="52"/>
      <c r="I274" s="52"/>
      <c r="J274" s="52"/>
      <c r="K274" s="136"/>
      <c r="L274" s="53"/>
      <c r="M274" s="53"/>
      <c r="N274" s="53"/>
      <c r="O274" s="53"/>
      <c r="P274" s="53"/>
      <c r="Q274" s="53"/>
      <c r="R274" s="53"/>
      <c r="S274" s="136"/>
      <c r="T274" s="136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</row>
    <row r="275" ht="12.75" customHeight="1">
      <c r="A275" s="136"/>
      <c r="B275" s="136"/>
      <c r="C275" s="136"/>
      <c r="D275" s="136"/>
      <c r="E275" s="136"/>
      <c r="F275" s="136"/>
      <c r="G275" s="136"/>
      <c r="H275" s="52"/>
      <c r="I275" s="52"/>
      <c r="J275" s="52"/>
      <c r="K275" s="136"/>
      <c r="L275" s="53"/>
      <c r="M275" s="53"/>
      <c r="N275" s="53"/>
      <c r="O275" s="53"/>
      <c r="P275" s="53"/>
      <c r="Q275" s="53"/>
      <c r="R275" s="53"/>
      <c r="S275" s="136"/>
      <c r="T275" s="136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</row>
    <row r="276" ht="12.75" customHeight="1">
      <c r="A276" s="136"/>
      <c r="B276" s="136"/>
      <c r="C276" s="136"/>
      <c r="D276" s="136"/>
      <c r="E276" s="136"/>
      <c r="F276" s="136"/>
      <c r="G276" s="136"/>
      <c r="H276" s="52"/>
      <c r="I276" s="52"/>
      <c r="J276" s="52"/>
      <c r="K276" s="136"/>
      <c r="L276" s="53"/>
      <c r="M276" s="53"/>
      <c r="N276" s="53"/>
      <c r="O276" s="53"/>
      <c r="P276" s="53"/>
      <c r="Q276" s="53"/>
      <c r="R276" s="53"/>
      <c r="S276" s="136"/>
      <c r="T276" s="136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</row>
    <row r="277" ht="12.75" customHeight="1">
      <c r="A277" s="136"/>
      <c r="B277" s="136"/>
      <c r="C277" s="136"/>
      <c r="D277" s="136"/>
      <c r="E277" s="136"/>
      <c r="F277" s="136"/>
      <c r="G277" s="136"/>
      <c r="H277" s="52"/>
      <c r="I277" s="52"/>
      <c r="J277" s="52"/>
      <c r="K277" s="136"/>
      <c r="L277" s="53"/>
      <c r="M277" s="53"/>
      <c r="N277" s="53"/>
      <c r="O277" s="53"/>
      <c r="P277" s="53"/>
      <c r="Q277" s="53"/>
      <c r="R277" s="53"/>
      <c r="S277" s="136"/>
      <c r="T277" s="136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</row>
    <row r="278" ht="12.75" customHeight="1">
      <c r="A278" s="136"/>
      <c r="B278" s="136"/>
      <c r="C278" s="136"/>
      <c r="D278" s="136"/>
      <c r="E278" s="136"/>
      <c r="F278" s="136"/>
      <c r="G278" s="136"/>
      <c r="H278" s="52"/>
      <c r="I278" s="52"/>
      <c r="J278" s="52"/>
      <c r="K278" s="136"/>
      <c r="L278" s="53"/>
      <c r="M278" s="53"/>
      <c r="N278" s="53"/>
      <c r="O278" s="53"/>
      <c r="P278" s="53"/>
      <c r="Q278" s="53"/>
      <c r="R278" s="53"/>
      <c r="S278" s="136"/>
      <c r="T278" s="136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</row>
    <row r="279" ht="12.75" customHeight="1">
      <c r="A279" s="136"/>
      <c r="B279" s="136"/>
      <c r="C279" s="136"/>
      <c r="D279" s="136"/>
      <c r="E279" s="136"/>
      <c r="F279" s="136"/>
      <c r="G279" s="136"/>
      <c r="H279" s="52"/>
      <c r="I279" s="52"/>
      <c r="J279" s="52"/>
      <c r="K279" s="136"/>
      <c r="L279" s="53"/>
      <c r="M279" s="53"/>
      <c r="N279" s="53"/>
      <c r="O279" s="53"/>
      <c r="P279" s="53"/>
      <c r="Q279" s="53"/>
      <c r="R279" s="53"/>
      <c r="S279" s="136"/>
      <c r="T279" s="136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</row>
    <row r="280" ht="12.75" customHeight="1">
      <c r="A280" s="136"/>
      <c r="B280" s="136"/>
      <c r="C280" s="136"/>
      <c r="D280" s="136"/>
      <c r="E280" s="136"/>
      <c r="F280" s="136"/>
      <c r="G280" s="136"/>
      <c r="H280" s="52"/>
      <c r="I280" s="52"/>
      <c r="J280" s="52"/>
      <c r="K280" s="136"/>
      <c r="L280" s="53"/>
      <c r="M280" s="53"/>
      <c r="N280" s="53"/>
      <c r="O280" s="53"/>
      <c r="P280" s="53"/>
      <c r="Q280" s="53"/>
      <c r="R280" s="53"/>
      <c r="S280" s="136"/>
      <c r="T280" s="136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</row>
    <row r="281" ht="12.75" customHeight="1">
      <c r="A281" s="136"/>
      <c r="B281" s="136"/>
      <c r="C281" s="136"/>
      <c r="D281" s="136"/>
      <c r="E281" s="136"/>
      <c r="F281" s="136"/>
      <c r="G281" s="136"/>
      <c r="H281" s="52"/>
      <c r="I281" s="52"/>
      <c r="J281" s="52"/>
      <c r="K281" s="136"/>
      <c r="L281" s="53"/>
      <c r="M281" s="53"/>
      <c r="N281" s="53"/>
      <c r="O281" s="53"/>
      <c r="P281" s="53"/>
      <c r="Q281" s="53"/>
      <c r="R281" s="53"/>
      <c r="S281" s="136"/>
      <c r="T281" s="136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</row>
    <row r="282" ht="12.75" customHeight="1">
      <c r="A282" s="136"/>
      <c r="B282" s="136"/>
      <c r="C282" s="136"/>
      <c r="D282" s="136"/>
      <c r="E282" s="136"/>
      <c r="F282" s="136"/>
      <c r="G282" s="136"/>
      <c r="H282" s="52"/>
      <c r="I282" s="52"/>
      <c r="J282" s="52"/>
      <c r="K282" s="136"/>
      <c r="L282" s="53"/>
      <c r="M282" s="53"/>
      <c r="N282" s="53"/>
      <c r="O282" s="53"/>
      <c r="P282" s="53"/>
      <c r="Q282" s="53"/>
      <c r="R282" s="53"/>
      <c r="S282" s="136"/>
      <c r="T282" s="136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</row>
    <row r="283" ht="12.75" customHeight="1">
      <c r="A283" s="136"/>
      <c r="B283" s="136"/>
      <c r="C283" s="136"/>
      <c r="D283" s="136"/>
      <c r="E283" s="136"/>
      <c r="F283" s="136"/>
      <c r="G283" s="136"/>
      <c r="H283" s="52"/>
      <c r="I283" s="52"/>
      <c r="J283" s="52"/>
      <c r="K283" s="136"/>
      <c r="L283" s="53"/>
      <c r="M283" s="53"/>
      <c r="N283" s="53"/>
      <c r="O283" s="53"/>
      <c r="P283" s="53"/>
      <c r="Q283" s="53"/>
      <c r="R283" s="53"/>
      <c r="S283" s="136"/>
      <c r="T283" s="136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</row>
    <row r="284" ht="12.75" customHeight="1">
      <c r="A284" s="136"/>
      <c r="B284" s="136"/>
      <c r="C284" s="136"/>
      <c r="D284" s="136"/>
      <c r="E284" s="136"/>
      <c r="F284" s="136"/>
      <c r="G284" s="136"/>
      <c r="H284" s="52"/>
      <c r="I284" s="52"/>
      <c r="J284" s="52"/>
      <c r="K284" s="136"/>
      <c r="L284" s="53"/>
      <c r="M284" s="53"/>
      <c r="N284" s="53"/>
      <c r="O284" s="53"/>
      <c r="P284" s="53"/>
      <c r="Q284" s="53"/>
      <c r="R284" s="53"/>
      <c r="S284" s="136"/>
      <c r="T284" s="136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</row>
    <row r="285" ht="12.75" customHeight="1">
      <c r="A285" s="136"/>
      <c r="B285" s="136"/>
      <c r="C285" s="136"/>
      <c r="D285" s="136"/>
      <c r="E285" s="136"/>
      <c r="F285" s="136"/>
      <c r="G285" s="136"/>
      <c r="H285" s="52"/>
      <c r="I285" s="52"/>
      <c r="J285" s="52"/>
      <c r="K285" s="136"/>
      <c r="L285" s="53"/>
      <c r="M285" s="53"/>
      <c r="N285" s="53"/>
      <c r="O285" s="53"/>
      <c r="P285" s="53"/>
      <c r="Q285" s="53"/>
      <c r="R285" s="53"/>
      <c r="S285" s="136"/>
      <c r="T285" s="136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</row>
    <row r="286" ht="12.75" customHeight="1">
      <c r="A286" s="136"/>
      <c r="B286" s="136"/>
      <c r="C286" s="136"/>
      <c r="D286" s="136"/>
      <c r="E286" s="136"/>
      <c r="F286" s="136"/>
      <c r="G286" s="136"/>
      <c r="H286" s="52"/>
      <c r="I286" s="52"/>
      <c r="J286" s="52"/>
      <c r="K286" s="136"/>
      <c r="L286" s="53"/>
      <c r="M286" s="53"/>
      <c r="N286" s="53"/>
      <c r="O286" s="53"/>
      <c r="P286" s="53"/>
      <c r="Q286" s="53"/>
      <c r="R286" s="53"/>
      <c r="S286" s="136"/>
      <c r="T286" s="136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</row>
    <row r="287" ht="12.75" customHeight="1">
      <c r="A287" s="136"/>
      <c r="B287" s="136"/>
      <c r="C287" s="136"/>
      <c r="D287" s="136"/>
      <c r="E287" s="136"/>
      <c r="F287" s="136"/>
      <c r="G287" s="136"/>
      <c r="H287" s="52"/>
      <c r="I287" s="52"/>
      <c r="J287" s="52"/>
      <c r="K287" s="136"/>
      <c r="L287" s="53"/>
      <c r="M287" s="53"/>
      <c r="N287" s="53"/>
      <c r="O287" s="53"/>
      <c r="P287" s="53"/>
      <c r="Q287" s="53"/>
      <c r="R287" s="53"/>
      <c r="S287" s="136"/>
      <c r="T287" s="136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</row>
    <row r="288" ht="12.75" customHeight="1">
      <c r="A288" s="136"/>
      <c r="B288" s="136"/>
      <c r="C288" s="136"/>
      <c r="D288" s="136"/>
      <c r="E288" s="136"/>
      <c r="F288" s="136"/>
      <c r="G288" s="136"/>
      <c r="H288" s="52"/>
      <c r="I288" s="52"/>
      <c r="J288" s="52"/>
      <c r="K288" s="136"/>
      <c r="L288" s="53"/>
      <c r="M288" s="53"/>
      <c r="N288" s="53"/>
      <c r="O288" s="53"/>
      <c r="P288" s="53"/>
      <c r="Q288" s="53"/>
      <c r="R288" s="53"/>
      <c r="S288" s="136"/>
      <c r="T288" s="136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</row>
    <row r="289" ht="12.75" customHeight="1">
      <c r="A289" s="136"/>
      <c r="B289" s="136"/>
      <c r="C289" s="136"/>
      <c r="D289" s="136"/>
      <c r="E289" s="136"/>
      <c r="F289" s="136"/>
      <c r="G289" s="136"/>
      <c r="H289" s="52"/>
      <c r="I289" s="52"/>
      <c r="J289" s="52"/>
      <c r="K289" s="136"/>
      <c r="L289" s="53"/>
      <c r="M289" s="53"/>
      <c r="N289" s="53"/>
      <c r="O289" s="53"/>
      <c r="P289" s="53"/>
      <c r="Q289" s="53"/>
      <c r="R289" s="53"/>
      <c r="S289" s="136"/>
      <c r="T289" s="136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</row>
    <row r="290" ht="12.75" customHeight="1">
      <c r="A290" s="136"/>
      <c r="B290" s="136"/>
      <c r="C290" s="136"/>
      <c r="D290" s="136"/>
      <c r="E290" s="136"/>
      <c r="F290" s="136"/>
      <c r="G290" s="136"/>
      <c r="H290" s="52"/>
      <c r="I290" s="52"/>
      <c r="J290" s="52"/>
      <c r="K290" s="136"/>
      <c r="L290" s="53"/>
      <c r="M290" s="53"/>
      <c r="N290" s="53"/>
      <c r="O290" s="53"/>
      <c r="P290" s="53"/>
      <c r="Q290" s="53"/>
      <c r="R290" s="53"/>
      <c r="S290" s="136"/>
      <c r="T290" s="136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</row>
    <row r="291" ht="12.75" customHeight="1">
      <c r="A291" s="136"/>
      <c r="B291" s="136"/>
      <c r="C291" s="136"/>
      <c r="D291" s="136"/>
      <c r="E291" s="136"/>
      <c r="F291" s="136"/>
      <c r="G291" s="136"/>
      <c r="H291" s="52"/>
      <c r="I291" s="52"/>
      <c r="J291" s="52"/>
      <c r="K291" s="136"/>
      <c r="L291" s="53"/>
      <c r="M291" s="53"/>
      <c r="N291" s="53"/>
      <c r="O291" s="53"/>
      <c r="P291" s="53"/>
      <c r="Q291" s="53"/>
      <c r="R291" s="53"/>
      <c r="S291" s="136"/>
      <c r="T291" s="136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</row>
    <row r="292" ht="12.75" customHeight="1">
      <c r="A292" s="136"/>
      <c r="B292" s="136"/>
      <c r="C292" s="136"/>
      <c r="D292" s="136"/>
      <c r="E292" s="136"/>
      <c r="F292" s="136"/>
      <c r="G292" s="136"/>
      <c r="H292" s="52"/>
      <c r="I292" s="52"/>
      <c r="J292" s="52"/>
      <c r="K292" s="136"/>
      <c r="L292" s="53"/>
      <c r="M292" s="53"/>
      <c r="N292" s="53"/>
      <c r="O292" s="53"/>
      <c r="P292" s="53"/>
      <c r="Q292" s="53"/>
      <c r="R292" s="53"/>
      <c r="S292" s="136"/>
      <c r="T292" s="136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</row>
    <row r="293" ht="12.75" customHeight="1">
      <c r="A293" s="136"/>
      <c r="B293" s="136"/>
      <c r="C293" s="136"/>
      <c r="D293" s="136"/>
      <c r="E293" s="136"/>
      <c r="F293" s="136"/>
      <c r="G293" s="136"/>
      <c r="H293" s="52"/>
      <c r="I293" s="52"/>
      <c r="J293" s="52"/>
      <c r="K293" s="136"/>
      <c r="L293" s="53"/>
      <c r="M293" s="53"/>
      <c r="N293" s="53"/>
      <c r="O293" s="53"/>
      <c r="P293" s="53"/>
      <c r="Q293" s="53"/>
      <c r="R293" s="53"/>
      <c r="S293" s="136"/>
      <c r="T293" s="136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</row>
    <row r="294" ht="12.75" customHeight="1">
      <c r="A294" s="136"/>
      <c r="B294" s="136"/>
      <c r="C294" s="136"/>
      <c r="D294" s="136"/>
      <c r="E294" s="136"/>
      <c r="F294" s="136"/>
      <c r="G294" s="136"/>
      <c r="H294" s="52"/>
      <c r="I294" s="52"/>
      <c r="J294" s="52"/>
      <c r="K294" s="136"/>
      <c r="L294" s="53"/>
      <c r="M294" s="53"/>
      <c r="N294" s="53"/>
      <c r="O294" s="53"/>
      <c r="P294" s="53"/>
      <c r="Q294" s="53"/>
      <c r="R294" s="53"/>
      <c r="S294" s="136"/>
      <c r="T294" s="136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</row>
    <row r="295" ht="12.75" customHeight="1">
      <c r="A295" s="136"/>
      <c r="B295" s="136"/>
      <c r="C295" s="136"/>
      <c r="D295" s="136"/>
      <c r="E295" s="136"/>
      <c r="F295" s="136"/>
      <c r="G295" s="136"/>
      <c r="H295" s="52"/>
      <c r="I295" s="52"/>
      <c r="J295" s="52"/>
      <c r="K295" s="136"/>
      <c r="L295" s="53"/>
      <c r="M295" s="53"/>
      <c r="N295" s="53"/>
      <c r="O295" s="53"/>
      <c r="P295" s="53"/>
      <c r="Q295" s="53"/>
      <c r="R295" s="53"/>
      <c r="S295" s="136"/>
      <c r="T295" s="136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</row>
    <row r="296" ht="12.75" customHeight="1">
      <c r="A296" s="136"/>
      <c r="B296" s="136"/>
      <c r="C296" s="136"/>
      <c r="D296" s="136"/>
      <c r="E296" s="136"/>
      <c r="F296" s="136"/>
      <c r="G296" s="136"/>
      <c r="H296" s="52"/>
      <c r="I296" s="52"/>
      <c r="J296" s="52"/>
      <c r="K296" s="136"/>
      <c r="L296" s="53"/>
      <c r="M296" s="53"/>
      <c r="N296" s="53"/>
      <c r="O296" s="53"/>
      <c r="P296" s="53"/>
      <c r="Q296" s="53"/>
      <c r="R296" s="53"/>
      <c r="S296" s="136"/>
      <c r="T296" s="136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</row>
    <row r="297" ht="12.75" customHeight="1">
      <c r="A297" s="136"/>
      <c r="B297" s="136"/>
      <c r="C297" s="136"/>
      <c r="D297" s="136"/>
      <c r="E297" s="136"/>
      <c r="F297" s="136"/>
      <c r="G297" s="136"/>
      <c r="H297" s="52"/>
      <c r="I297" s="52"/>
      <c r="J297" s="52"/>
      <c r="K297" s="136"/>
      <c r="L297" s="53"/>
      <c r="M297" s="53"/>
      <c r="N297" s="53"/>
      <c r="O297" s="53"/>
      <c r="P297" s="53"/>
      <c r="Q297" s="53"/>
      <c r="R297" s="53"/>
      <c r="S297" s="136"/>
      <c r="T297" s="136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</row>
    <row r="298" ht="12.75" customHeight="1">
      <c r="A298" s="136"/>
      <c r="B298" s="136"/>
      <c r="C298" s="136"/>
      <c r="D298" s="136"/>
      <c r="E298" s="136"/>
      <c r="F298" s="136"/>
      <c r="G298" s="136"/>
      <c r="H298" s="52"/>
      <c r="I298" s="52"/>
      <c r="J298" s="52"/>
      <c r="K298" s="136"/>
      <c r="L298" s="53"/>
      <c r="M298" s="53"/>
      <c r="N298" s="53"/>
      <c r="O298" s="53"/>
      <c r="P298" s="53"/>
      <c r="Q298" s="53"/>
      <c r="R298" s="53"/>
      <c r="S298" s="136"/>
      <c r="T298" s="136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</row>
  </sheetData>
  <mergeCells count="78">
    <mergeCell ref="U79:X79"/>
    <mergeCell ref="U80:X80"/>
    <mergeCell ref="U89:X89"/>
    <mergeCell ref="U81:X81"/>
    <mergeCell ref="U82:X82"/>
    <mergeCell ref="U85:X85"/>
    <mergeCell ref="U86:X86"/>
    <mergeCell ref="U87:X87"/>
    <mergeCell ref="U88:X88"/>
    <mergeCell ref="U56:X56"/>
    <mergeCell ref="U57:X57"/>
    <mergeCell ref="U48:X48"/>
    <mergeCell ref="U50:X50"/>
    <mergeCell ref="U49:X49"/>
    <mergeCell ref="U55:X55"/>
    <mergeCell ref="U54:X54"/>
    <mergeCell ref="U90:X90"/>
    <mergeCell ref="U95:X95"/>
    <mergeCell ref="U93:X93"/>
    <mergeCell ref="U94:X94"/>
    <mergeCell ref="U96:X96"/>
    <mergeCell ref="U97:X97"/>
    <mergeCell ref="U98:X98"/>
    <mergeCell ref="U23:X23"/>
    <mergeCell ref="U25:X25"/>
    <mergeCell ref="U32:X32"/>
    <mergeCell ref="U30:X30"/>
    <mergeCell ref="U31:X31"/>
    <mergeCell ref="U70:X70"/>
    <mergeCell ref="U69:X69"/>
    <mergeCell ref="U78:X78"/>
    <mergeCell ref="U71:X71"/>
    <mergeCell ref="U77:X77"/>
    <mergeCell ref="U72:X72"/>
    <mergeCell ref="U74:X74"/>
    <mergeCell ref="U73:X73"/>
    <mergeCell ref="U65:X65"/>
    <mergeCell ref="U62:X62"/>
    <mergeCell ref="U64:X64"/>
    <mergeCell ref="U63:X63"/>
    <mergeCell ref="U61:X61"/>
    <mergeCell ref="U58:X58"/>
    <mergeCell ref="U53:X53"/>
    <mergeCell ref="U66:X66"/>
    <mergeCell ref="U5:X5"/>
    <mergeCell ref="U7:X7"/>
    <mergeCell ref="U6:X6"/>
    <mergeCell ref="U3:X3"/>
    <mergeCell ref="T2:X2"/>
    <mergeCell ref="U14:X14"/>
    <mergeCell ref="U13:X13"/>
    <mergeCell ref="U16:X16"/>
    <mergeCell ref="U15:X15"/>
    <mergeCell ref="B2:F2"/>
    <mergeCell ref="H2:I2"/>
    <mergeCell ref="B4:F4"/>
    <mergeCell ref="K2:R2"/>
    <mergeCell ref="U10:X10"/>
    <mergeCell ref="U45:X45"/>
    <mergeCell ref="U41:X41"/>
    <mergeCell ref="U42:X42"/>
    <mergeCell ref="U37:X37"/>
    <mergeCell ref="U38:X38"/>
    <mergeCell ref="U39:X39"/>
    <mergeCell ref="U40:X40"/>
    <mergeCell ref="U34:X34"/>
    <mergeCell ref="U33:X33"/>
    <mergeCell ref="U26:X26"/>
    <mergeCell ref="U24:X24"/>
    <mergeCell ref="U47:X47"/>
    <mergeCell ref="U46:X46"/>
    <mergeCell ref="U17:X17"/>
    <mergeCell ref="U18:X18"/>
    <mergeCell ref="U22:X22"/>
    <mergeCell ref="U21:X21"/>
    <mergeCell ref="U29:X29"/>
    <mergeCell ref="U8:X8"/>
    <mergeCell ref="U9:X9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6.71"/>
    <col customWidth="1" min="3" max="3" width="3.0"/>
    <col customWidth="1" min="4" max="4" width="2.71"/>
    <col customWidth="1" min="5" max="5" width="3.0"/>
    <col customWidth="1" min="6" max="6" width="16.86"/>
    <col customWidth="1" min="7" max="7" width="2.86"/>
    <col customWidth="1" min="8" max="8" width="6.29"/>
    <col customWidth="1" min="9" max="9" width="6.0"/>
    <col customWidth="1" min="10" max="10" width="4.14"/>
    <col customWidth="1" min="11" max="11" width="16.14"/>
    <col customWidth="1" min="12" max="18" width="3.57"/>
    <col customWidth="1" min="19" max="19" width="2.86"/>
    <col customWidth="1" min="20" max="20" width="10.14"/>
    <col customWidth="1" min="21" max="21" width="2.43"/>
    <col customWidth="1" min="22" max="22" width="2.29"/>
    <col customWidth="1" min="23" max="24" width="2.0"/>
    <col customWidth="1" min="25" max="27" width="3.43"/>
    <col customWidth="1" min="28" max="44" width="8.86"/>
  </cols>
  <sheetData>
    <row r="1" ht="12.75" customHeight="1">
      <c r="A1" s="136"/>
      <c r="B1" s="1"/>
      <c r="C1" s="59"/>
      <c r="D1" s="59"/>
      <c r="E1" s="59"/>
      <c r="F1" s="59"/>
      <c r="G1" s="59"/>
      <c r="H1" s="3"/>
      <c r="I1" s="59"/>
      <c r="J1" s="59"/>
      <c r="K1" s="3"/>
      <c r="L1" s="59"/>
      <c r="M1" s="59"/>
      <c r="N1" s="59"/>
      <c r="O1" s="59"/>
      <c r="P1" s="59"/>
      <c r="Q1" s="59"/>
      <c r="R1" s="59"/>
      <c r="S1" s="59"/>
      <c r="T1" s="3"/>
      <c r="U1" s="4"/>
      <c r="V1" s="59"/>
      <c r="W1" s="59"/>
      <c r="X1" s="59"/>
      <c r="Y1" s="6"/>
      <c r="Z1" s="7"/>
      <c r="AA1" s="7"/>
      <c r="AB1" s="7"/>
      <c r="AC1" s="7"/>
      <c r="AD1" s="7"/>
      <c r="AE1" s="7"/>
      <c r="AF1" s="7"/>
      <c r="AG1" s="7"/>
      <c r="AH1" s="7"/>
      <c r="AI1" s="59"/>
      <c r="AJ1" s="59"/>
      <c r="AK1" s="59"/>
      <c r="AL1" s="59"/>
      <c r="AM1" s="59"/>
      <c r="AN1" s="59"/>
      <c r="AO1" s="59"/>
      <c r="AP1" s="59"/>
      <c r="AQ1" s="59"/>
      <c r="AR1" s="59"/>
    </row>
    <row r="2" ht="18.75" customHeight="1">
      <c r="A2" s="136"/>
      <c r="B2" s="8" t="s">
        <v>257</v>
      </c>
      <c r="C2" s="9"/>
      <c r="D2" s="9"/>
      <c r="E2" s="9"/>
      <c r="F2" s="10"/>
      <c r="G2" s="59"/>
      <c r="H2" s="11" t="s">
        <v>23</v>
      </c>
      <c r="I2" s="10"/>
      <c r="J2" s="59"/>
      <c r="K2" s="11" t="s">
        <v>24</v>
      </c>
      <c r="L2" s="9"/>
      <c r="M2" s="9"/>
      <c r="N2" s="9"/>
      <c r="O2" s="9"/>
      <c r="P2" s="9"/>
      <c r="Q2" s="9"/>
      <c r="R2" s="10"/>
      <c r="S2" s="59"/>
      <c r="T2" s="12" t="s">
        <v>25</v>
      </c>
      <c r="U2" s="9"/>
      <c r="V2" s="9"/>
      <c r="W2" s="9"/>
      <c r="X2" s="10"/>
      <c r="Y2" s="6"/>
      <c r="Z2" s="7"/>
      <c r="AA2" s="7"/>
      <c r="AB2" s="7"/>
      <c r="AC2" s="7"/>
      <c r="AD2" s="7"/>
      <c r="AE2" s="7"/>
      <c r="AF2" s="7"/>
      <c r="AG2" s="7"/>
      <c r="AH2" s="7"/>
      <c r="AI2" s="59"/>
      <c r="AJ2" s="59"/>
      <c r="AK2" s="59"/>
      <c r="AL2" s="59"/>
      <c r="AM2" s="59"/>
      <c r="AN2" s="59"/>
      <c r="AO2" s="59"/>
      <c r="AP2" s="59"/>
      <c r="AQ2" s="59"/>
      <c r="AR2" s="59"/>
    </row>
    <row r="3" ht="15.0" customHeight="1">
      <c r="A3" s="136"/>
      <c r="B3" s="136"/>
      <c r="C3" s="59"/>
      <c r="D3" s="59"/>
      <c r="E3" s="59"/>
      <c r="F3" s="59"/>
      <c r="G3" s="59"/>
      <c r="H3" s="59"/>
      <c r="I3" s="59"/>
      <c r="J3" s="59"/>
      <c r="K3" s="3"/>
      <c r="L3" s="59"/>
      <c r="M3" s="59"/>
      <c r="N3" s="59"/>
      <c r="O3" s="59"/>
      <c r="P3" s="59"/>
      <c r="Q3" s="59"/>
      <c r="R3" s="59"/>
      <c r="S3" s="59"/>
      <c r="T3" s="13" t="s">
        <v>26</v>
      </c>
      <c r="U3" s="14" t="str">
        <f>SUM(U5:U10,U13:U18,U21:U26,U29:U34,U37:U42,U45:U50,U53:U58,U61:U66)</f>
        <v>8</v>
      </c>
      <c r="V3" s="9"/>
      <c r="W3" s="9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  <c r="AI3" s="136"/>
      <c r="AJ3" s="136"/>
      <c r="AK3" s="136"/>
      <c r="AL3" s="136"/>
      <c r="AM3" s="136"/>
      <c r="AN3" s="136"/>
      <c r="AO3" s="136"/>
      <c r="AP3" s="136"/>
      <c r="AQ3" s="136"/>
      <c r="AR3" s="136"/>
    </row>
    <row r="4" ht="13.5" customHeight="1">
      <c r="A4" s="136"/>
      <c r="B4" s="15" t="s">
        <v>27</v>
      </c>
      <c r="C4" s="9"/>
      <c r="D4" s="9"/>
      <c r="E4" s="9"/>
      <c r="F4" s="10"/>
      <c r="G4" s="59"/>
      <c r="H4" s="16" t="s">
        <v>28</v>
      </c>
      <c r="I4" s="17" t="s">
        <v>29</v>
      </c>
      <c r="J4" s="18"/>
      <c r="K4" s="59"/>
      <c r="L4" s="59"/>
      <c r="M4" s="59"/>
      <c r="N4" s="59"/>
      <c r="O4" s="59"/>
      <c r="P4" s="59"/>
      <c r="Q4" s="59"/>
      <c r="R4" s="59"/>
      <c r="S4" s="59"/>
      <c r="T4" s="136"/>
      <c r="U4" s="19"/>
      <c r="V4" s="19"/>
      <c r="W4" s="19"/>
      <c r="X4" s="19"/>
      <c r="Y4" s="6"/>
      <c r="Z4" s="6"/>
      <c r="AA4" s="6"/>
      <c r="AB4" s="6"/>
      <c r="AC4" s="6"/>
      <c r="AD4" s="6"/>
      <c r="AE4" s="6"/>
      <c r="AF4" s="6"/>
      <c r="AG4" s="6"/>
      <c r="AH4" s="6"/>
      <c r="AI4" s="136"/>
      <c r="AJ4" s="136"/>
      <c r="AK4" s="136"/>
      <c r="AL4" s="136"/>
      <c r="AM4" s="136"/>
      <c r="AN4" s="136"/>
      <c r="AO4" s="136"/>
      <c r="AP4" s="136"/>
      <c r="AQ4" s="136"/>
      <c r="AR4" s="136"/>
    </row>
    <row r="5" ht="13.5" customHeight="1">
      <c r="A5" s="136"/>
      <c r="B5" s="21" t="s">
        <v>30</v>
      </c>
      <c r="C5" s="22"/>
      <c r="D5" s="19" t="s">
        <v>31</v>
      </c>
      <c r="E5" s="23"/>
      <c r="F5" s="24" t="s">
        <v>32</v>
      </c>
      <c r="G5" s="59"/>
      <c r="H5" s="25">
        <v>46184.0</v>
      </c>
      <c r="I5" s="26">
        <v>0.666666666666667</v>
      </c>
      <c r="J5" s="27"/>
      <c r="K5" s="28"/>
      <c r="L5" s="29" t="s">
        <v>33</v>
      </c>
      <c r="M5" s="29" t="s">
        <v>34</v>
      </c>
      <c r="N5" s="29" t="s">
        <v>35</v>
      </c>
      <c r="O5" s="29" t="s">
        <v>36</v>
      </c>
      <c r="P5" s="29" t="s">
        <v>37</v>
      </c>
      <c r="Q5" s="29" t="s">
        <v>38</v>
      </c>
      <c r="R5" s="30" t="s">
        <v>39</v>
      </c>
      <c r="S5" s="31"/>
      <c r="T5" s="32" t="str">
        <f t="shared" ref="T5:T10" si="1">IF(NOT(AND(ISNUMBER(C5),ISNUMBER(E5))),"XXX","")</f>
        <v>XXX</v>
      </c>
      <c r="U5" s="19" t="str">
        <f t="shared" ref="U5:U10" si="2">SUM(Y5,Z5,AA5, AB5)</f>
        <v>0</v>
      </c>
      <c r="Y5" s="33" t="str">
        <f>IF(AND(ISNUMBER(RESULTADOS!C5),ISNUMBER(RESULTADOS!E5),ISNUMBER(C5),ISNUMBER(E5),C5=RESULTADOS!C5,E5=RESULTADOS!E5),2,0)</f>
        <v>0</v>
      </c>
      <c r="Z5" s="33" t="str">
        <f>IF(AND(ISNUMBER(RESULTADOS!C5),ISNUMBER(RESULTADOS!E5),ISNUMBER(C5),ISNUMBER(E5)),IF(OR(AND(C5&gt;E5,RESULTADOS!C5&gt;RESULTADOS!E5),AND(C5&lt;E5,RESULTADOS!C5&lt;RESULTADOS!E5)),1,IF(AND(C5=E5,RESULTADOS!C5=RESULTADOS!E5),2,0)),0)</f>
        <v>0</v>
      </c>
      <c r="AA5" s="33" t="str">
        <f>IF(AND(ISNUMBER(RESULTADOS!C5),ISNUMBER(RESULTADOS!E5),ISNUMBER(C5),ISNUMBER(E5),AND(Z5=1,OR(C5=RESULTADOS!C5,E5=RESULTADOS!E5))),1,0)</f>
        <v>0</v>
      </c>
      <c r="AB5" s="6" t="str">
        <f>IF(
  AND(
    ISNUMBER(RESULTADOS!C5),
    ISNUMBER(RESULTADOS!E5),
    ISNUMBER(C5),
    ISNUMBER(E5),
    AND(Z5=1,AA5=0,(RESULTADOS!C5-RESULTADOS!E5)=(C5-E5))
  ),
  1,
  0
)</f>
        <v>0</v>
      </c>
      <c r="AC5" s="6"/>
      <c r="AD5" s="6"/>
      <c r="AE5" s="6"/>
      <c r="AF5" s="6"/>
      <c r="AG5" s="6"/>
      <c r="AH5" s="6"/>
      <c r="AI5" s="136"/>
      <c r="AJ5" s="136"/>
      <c r="AK5" s="136"/>
      <c r="AL5" s="136"/>
      <c r="AM5" s="136"/>
      <c r="AN5" s="136"/>
      <c r="AO5" s="136"/>
      <c r="AP5" s="136"/>
      <c r="AQ5" s="136"/>
      <c r="AR5" s="136"/>
    </row>
    <row r="6" ht="13.5" customHeight="1">
      <c r="A6" s="136"/>
      <c r="B6" s="21" t="s">
        <v>40</v>
      </c>
      <c r="C6" s="22"/>
      <c r="D6" s="19" t="s">
        <v>31</v>
      </c>
      <c r="E6" s="23"/>
      <c r="F6" s="34" t="s">
        <v>41</v>
      </c>
      <c r="G6" s="59"/>
      <c r="H6" s="25">
        <v>46184.0</v>
      </c>
      <c r="I6" s="26">
        <v>0.958333333333333</v>
      </c>
      <c r="J6" s="27"/>
      <c r="K6" s="35" t="s">
        <v>40</v>
      </c>
      <c r="L6" s="19" t="str">
        <f t="shared" ref="L6:L9" si="4">SUM(IF(AND(ISNUMBER(INDIRECT($AC6)),INDIRECT($AC6)&gt;INDIRECT($AF6)),3,IF(AND(ISNUMBER(INDIRECT($AC6)),INDIRECT($AC6)=INDIRECT($AF6)),1,0)),IF(AND(ISNUMBER(INDIRECT($AD6)),INDIRECT($AD6)&gt;INDIRECT($AG6)),3,IF(AND(ISNUMBER(INDIRECT($AD6)),INDIRECT($AD6)=INDIRECT($AG6)),1,0)),IF(AND(ISNUMBER(INDIRECT($AE6)),INDIRECT($AE6)&gt;INDIRECT($AH6)),3,IF(AND(ISNUMBER(INDIRECT($AE6)),INDIRECT($AE6)=INDIRECT($AH6)),1,0)))</f>
        <v>3</v>
      </c>
      <c r="M6" s="19" t="str">
        <f t="shared" ref="M6:M9" si="5">N6-O6</f>
        <v>1</v>
      </c>
      <c r="N6" s="19" t="str">
        <f t="shared" ref="N6:N9" si="6">SUM(INDIRECT($AC6),INDIRECT($AD6),INDIRECT($AE6))</f>
        <v>3</v>
      </c>
      <c r="O6" s="19" t="str">
        <f t="shared" ref="O6:O9" si="7">SUM(INDIRECT($AF6),INDIRECT($AG6),INDIRECT($AH6))</f>
        <v>2</v>
      </c>
      <c r="P6" s="19" t="str">
        <f t="shared" ref="P6:P9" si="8">SUM(IF(AND(ISNUMBER(INDIRECT($AC6)),INDIRECT($AC6)&gt;INDIRECT($AF6)),1,0),IF(AND(ISNUMBER(INDIRECT($AD6)),INDIRECT($AD6)&gt;INDIRECT($AG6)),1,0),IF(AND(ISNUMBER(INDIRECT($AE6)),INDIRECT($AE6)&gt;INDIRECT($AH6)),1,0))</f>
        <v>1</v>
      </c>
      <c r="Q6" s="19" t="str">
        <f t="shared" ref="Q6:Q9" si="9">SUM(IF(AND(ISNUMBER(INDIRECT($AC6)),INDIRECT($AC6)=INDIRECT($AF6)),1,0),IF(AND(ISNUMBER(INDIRECT($AD6)),INDIRECT($AD6)=INDIRECT($AG6)),1,0),IF(AND(ISNUMBER(INDIRECT($AE6)),INDIRECT($AE6)=INDIRECT($AH6)),1,0))</f>
        <v>0</v>
      </c>
      <c r="R6" s="36" t="str">
        <f t="shared" ref="R6:R9" si="10">SUM(IF(AND(ISNUMBER(INDIRECT($AC6)),INDIRECT($AC6)&lt;INDIRECT($AF6)),1,0),IF(AND(ISNUMBER(INDIRECT($AD6)),INDIRECT($AD6)&lt;INDIRECT($AG6)),1,0),IF(AND(ISNUMBER(INDIRECT($AE6)),INDIRECT($AE6)&lt;INDIRECT($AH6)),1,0))</f>
        <v>1</v>
      </c>
      <c r="S6" s="31"/>
      <c r="T6" s="32" t="str">
        <f t="shared" si="1"/>
        <v>XXX</v>
      </c>
      <c r="U6" s="19" t="str">
        <f t="shared" si="2"/>
        <v>0</v>
      </c>
      <c r="Y6" s="33" t="str">
        <f>IF(AND(ISNUMBER(RESULTADOS!C6),ISNUMBER(RESULTADOS!E6),ISNUMBER(C6),ISNUMBER(E6),C6=RESULTADOS!C6,E6=RESULTADOS!E6),2,0)</f>
        <v>0</v>
      </c>
      <c r="Z6" s="33" t="str">
        <f>IF(AND(ISNUMBER(RESULTADOS!C6),ISNUMBER(RESULTADOS!E6),ISNUMBER(C6),ISNUMBER(E6)),IF(OR(AND(C6&gt;E6,RESULTADOS!C6&gt;RESULTADOS!E6),AND(C6&lt;E6,RESULTADOS!C6&lt;RESULTADOS!E6)),1,IF(AND(C6=E6,RESULTADOS!C6=RESULTADOS!E6),2,0)),0)</f>
        <v>0</v>
      </c>
      <c r="AA6" s="33" t="str">
        <f>IF(AND(ISNUMBER(RESULTADOS!C6),ISNUMBER(RESULTADOS!E6),ISNUMBER(C6),ISNUMBER(E6),AND(Z6=1,OR(C6=RESULTADOS!C6,E6=RESULTADOS!E6))),1,0)</f>
        <v>0</v>
      </c>
      <c r="AB6" s="6" t="str">
        <f>IF(
  AND(
    ISNUMBER(RESULTADOS!C6),
    ISNUMBER(RESULTADOS!E6),
    ISNUMBER(C6),
    ISNUMBER(E6),
    AND(Z6=1,AA6=0,(RESULTADOS!C6-RESULTADOS!E6)=(C6-E6))
  ),
  1,
  0
)</f>
        <v>0</v>
      </c>
      <c r="AC6" s="6" t="s">
        <v>42</v>
      </c>
      <c r="AD6" s="6" t="s">
        <v>43</v>
      </c>
      <c r="AE6" s="6" t="s">
        <v>44</v>
      </c>
      <c r="AF6" s="6" t="str">
        <f t="shared" ref="AF6:AH6" si="3">IF(ISNUMBER(FIND("C", AC6, 1)), SUBSTITUTE(AC6, "C", "E"), SUBSTITUTE(AC6, "E", "C"))</f>
        <v>E6</v>
      </c>
      <c r="AG6" s="6" t="str">
        <f t="shared" si="3"/>
        <v>C8</v>
      </c>
      <c r="AH6" s="6" t="str">
        <f t="shared" si="3"/>
        <v>C9</v>
      </c>
      <c r="AI6" s="136"/>
      <c r="AJ6" s="136"/>
      <c r="AK6" s="136"/>
      <c r="AL6" s="136"/>
      <c r="AM6" s="136"/>
      <c r="AN6" s="136"/>
      <c r="AO6" s="136"/>
      <c r="AP6" s="136"/>
      <c r="AQ6" s="136"/>
      <c r="AR6" s="136"/>
    </row>
    <row r="7" ht="12.75" customHeight="1">
      <c r="A7" s="136"/>
      <c r="B7" s="21" t="s">
        <v>41</v>
      </c>
      <c r="C7" s="22">
        <v>1.0</v>
      </c>
      <c r="D7" s="19" t="s">
        <v>31</v>
      </c>
      <c r="E7" s="23">
        <v>1.0</v>
      </c>
      <c r="F7" s="34" t="s">
        <v>32</v>
      </c>
      <c r="G7" s="59"/>
      <c r="H7" s="25">
        <v>46191.0</v>
      </c>
      <c r="I7" s="26">
        <v>0.541666666666667</v>
      </c>
      <c r="J7" s="27"/>
      <c r="K7" s="35" t="s">
        <v>30</v>
      </c>
      <c r="L7" s="19" t="str">
        <f t="shared" si="4"/>
        <v>6</v>
      </c>
      <c r="M7" s="19" t="str">
        <f t="shared" si="5"/>
        <v>3</v>
      </c>
      <c r="N7" s="19" t="str">
        <f t="shared" si="6"/>
        <v>4</v>
      </c>
      <c r="O7" s="19" t="str">
        <f t="shared" si="7"/>
        <v>1</v>
      </c>
      <c r="P7" s="19" t="str">
        <f t="shared" si="8"/>
        <v>2</v>
      </c>
      <c r="Q7" s="19" t="str">
        <f t="shared" si="9"/>
        <v>0</v>
      </c>
      <c r="R7" s="36" t="str">
        <f t="shared" si="10"/>
        <v>0</v>
      </c>
      <c r="S7" s="59"/>
      <c r="T7" s="32" t="str">
        <f t="shared" si="1"/>
        <v/>
      </c>
      <c r="U7" s="19" t="str">
        <f t="shared" si="2"/>
        <v>0</v>
      </c>
      <c r="Y7" s="33" t="str">
        <f>IF(AND(ISNUMBER(RESULTADOS!C7),ISNUMBER(RESULTADOS!E7),ISNUMBER(C7),ISNUMBER(E7),C7=RESULTADOS!C7,E7=RESULTADOS!E7),2,0)</f>
        <v>0</v>
      </c>
      <c r="Z7" s="33" t="str">
        <f>IF(AND(ISNUMBER(RESULTADOS!C7),ISNUMBER(RESULTADOS!E7),ISNUMBER(C7),ISNUMBER(E7)),IF(OR(AND(C7&gt;E7,RESULTADOS!C7&gt;RESULTADOS!E7),AND(C7&lt;E7,RESULTADOS!C7&lt;RESULTADOS!E7)),1,IF(AND(C7=E7,RESULTADOS!C7=RESULTADOS!E7),2,0)),0)</f>
        <v>0</v>
      </c>
      <c r="AA7" s="33" t="str">
        <f>IF(AND(ISNUMBER(RESULTADOS!C7),ISNUMBER(RESULTADOS!E7),ISNUMBER(C7),ISNUMBER(E7),AND(Z7=1,OR(C7=RESULTADOS!C7,E7=RESULTADOS!E7))),1,0)</f>
        <v>0</v>
      </c>
      <c r="AB7" s="6" t="str">
        <f>IF(
  AND(
    ISNUMBER(RESULTADOS!C7),
    ISNUMBER(RESULTADOS!E7),
    ISNUMBER(C7),
    ISNUMBER(E7),
    AND(Z7=1,AA7=0,(RESULTADOS!C7-RESULTADOS!E7)=(C7-E7))
  ),
  1,
  0
)</f>
        <v>0</v>
      </c>
      <c r="AC7" s="6" t="s">
        <v>45</v>
      </c>
      <c r="AD7" s="6" t="s">
        <v>46</v>
      </c>
      <c r="AE7" s="6" t="s">
        <v>47</v>
      </c>
      <c r="AF7" s="6" t="str">
        <f t="shared" ref="AF7:AH7" si="11">IF(ISNUMBER(FIND("C", AC7, 1)), SUBSTITUTE(AC7, "C", "E"), SUBSTITUTE(AC7, "E", "C"))</f>
        <v>E5</v>
      </c>
      <c r="AG7" s="6" t="str">
        <f t="shared" si="11"/>
        <v>E8</v>
      </c>
      <c r="AH7" s="6" t="str">
        <f t="shared" si="11"/>
        <v>C10</v>
      </c>
      <c r="AI7" s="136"/>
      <c r="AJ7" s="136"/>
      <c r="AK7" s="136"/>
      <c r="AL7" s="136"/>
      <c r="AM7" s="136"/>
      <c r="AN7" s="136"/>
      <c r="AO7" s="136"/>
      <c r="AP7" s="136"/>
      <c r="AQ7" s="136"/>
      <c r="AR7" s="136"/>
    </row>
    <row r="8" ht="12.75" customHeight="1">
      <c r="A8" s="136"/>
      <c r="B8" s="21" t="s">
        <v>30</v>
      </c>
      <c r="C8" s="22">
        <v>2.0</v>
      </c>
      <c r="D8" s="19" t="s">
        <v>31</v>
      </c>
      <c r="E8" s="23">
        <v>1.0</v>
      </c>
      <c r="F8" s="34" t="s">
        <v>40</v>
      </c>
      <c r="G8" s="59"/>
      <c r="H8" s="25">
        <v>46191.0</v>
      </c>
      <c r="I8" s="26">
        <v>0.916666666666667</v>
      </c>
      <c r="J8" s="27"/>
      <c r="K8" s="35" t="s">
        <v>41</v>
      </c>
      <c r="L8" s="19" t="str">
        <f t="shared" si="4"/>
        <v>1</v>
      </c>
      <c r="M8" s="19" t="str">
        <f t="shared" si="5"/>
        <v>-2</v>
      </c>
      <c r="N8" s="19" t="str">
        <f t="shared" si="6"/>
        <v>1</v>
      </c>
      <c r="O8" s="19" t="str">
        <f t="shared" si="7"/>
        <v>3</v>
      </c>
      <c r="P8" s="19" t="str">
        <f t="shared" si="8"/>
        <v>0</v>
      </c>
      <c r="Q8" s="19" t="str">
        <f t="shared" si="9"/>
        <v>1</v>
      </c>
      <c r="R8" s="36" t="str">
        <f t="shared" si="10"/>
        <v>1</v>
      </c>
      <c r="S8" s="59"/>
      <c r="T8" s="32" t="str">
        <f t="shared" si="1"/>
        <v/>
      </c>
      <c r="U8" s="19" t="str">
        <f t="shared" si="2"/>
        <v>0</v>
      </c>
      <c r="Y8" s="33" t="str">
        <f>IF(AND(ISNUMBER(RESULTADOS!C8),ISNUMBER(RESULTADOS!E8),ISNUMBER(C8),ISNUMBER(E8),C8=RESULTADOS!C8,E8=RESULTADOS!E8),2,0)</f>
        <v>0</v>
      </c>
      <c r="Z8" s="33" t="str">
        <f>IF(AND(ISNUMBER(RESULTADOS!C8),ISNUMBER(RESULTADOS!E8),ISNUMBER(C8),ISNUMBER(E8)),IF(OR(AND(C8&gt;E8,RESULTADOS!C8&gt;RESULTADOS!E8),AND(C8&lt;E8,RESULTADOS!C8&lt;RESULTADOS!E8)),1,IF(AND(C8=E8,RESULTADOS!C8=RESULTADOS!E8),2,0)),0)</f>
        <v>0</v>
      </c>
      <c r="AA8" s="33" t="str">
        <f>IF(AND(ISNUMBER(RESULTADOS!C8),ISNUMBER(RESULTADOS!E8),ISNUMBER(C8),ISNUMBER(E8),AND(Z8=1,OR(C8=RESULTADOS!C8,E8=RESULTADOS!E8))),1,0)</f>
        <v>0</v>
      </c>
      <c r="AB8" s="6" t="str">
        <f>IF(
  AND(
    ISNUMBER(RESULTADOS!C8),
    ISNUMBER(RESULTADOS!E8),
    ISNUMBER(C8),
    ISNUMBER(E8),
    AND(Z8=1,AA8=0,(RESULTADOS!C8-RESULTADOS!E8)=(C8-E8))
  ),
  1,
  0
)</f>
        <v>0</v>
      </c>
      <c r="AC8" s="6" t="s">
        <v>48</v>
      </c>
      <c r="AD8" s="6" t="s">
        <v>49</v>
      </c>
      <c r="AE8" s="6" t="s">
        <v>50</v>
      </c>
      <c r="AF8" s="6" t="str">
        <f t="shared" ref="AF8:AH8" si="12">IF(ISNUMBER(FIND("C", AC8, 1)), SUBSTITUTE(AC8, "C", "E"), SUBSTITUTE(AC8, "E", "C"))</f>
        <v>C6</v>
      </c>
      <c r="AG8" s="6" t="str">
        <f t="shared" si="12"/>
        <v>E7</v>
      </c>
      <c r="AH8" s="6" t="str">
        <f t="shared" si="12"/>
        <v>E10</v>
      </c>
      <c r="AI8" s="136"/>
      <c r="AJ8" s="136"/>
      <c r="AK8" s="136"/>
      <c r="AL8" s="136"/>
      <c r="AM8" s="136"/>
      <c r="AN8" s="136"/>
      <c r="AO8" s="136"/>
      <c r="AP8" s="136"/>
      <c r="AQ8" s="136"/>
      <c r="AR8" s="136"/>
    </row>
    <row r="9" ht="12.75" customHeight="1">
      <c r="A9" s="136"/>
      <c r="B9" s="21" t="s">
        <v>32</v>
      </c>
      <c r="C9" s="22">
        <v>0.0</v>
      </c>
      <c r="D9" s="19" t="s">
        <v>31</v>
      </c>
      <c r="E9" s="23">
        <v>2.0</v>
      </c>
      <c r="F9" s="34" t="s">
        <v>40</v>
      </c>
      <c r="G9" s="59"/>
      <c r="H9" s="25">
        <v>46197.0</v>
      </c>
      <c r="I9" s="26">
        <v>0.916666666666667</v>
      </c>
      <c r="J9" s="27"/>
      <c r="K9" s="37" t="s">
        <v>32</v>
      </c>
      <c r="L9" s="38" t="str">
        <f t="shared" si="4"/>
        <v>1</v>
      </c>
      <c r="M9" s="38" t="str">
        <f t="shared" si="5"/>
        <v>-2</v>
      </c>
      <c r="N9" s="38" t="str">
        <f t="shared" si="6"/>
        <v>1</v>
      </c>
      <c r="O9" s="38" t="str">
        <f t="shared" si="7"/>
        <v>3</v>
      </c>
      <c r="P9" s="38" t="str">
        <f t="shared" si="8"/>
        <v>0</v>
      </c>
      <c r="Q9" s="38" t="str">
        <f t="shared" si="9"/>
        <v>1</v>
      </c>
      <c r="R9" s="39" t="str">
        <f t="shared" si="10"/>
        <v>1</v>
      </c>
      <c r="S9" s="59"/>
      <c r="T9" s="32" t="str">
        <f t="shared" si="1"/>
        <v/>
      </c>
      <c r="U9" s="19" t="str">
        <f t="shared" si="2"/>
        <v>0</v>
      </c>
      <c r="Y9" s="33" t="str">
        <f>IF(AND(ISNUMBER(RESULTADOS!C9),ISNUMBER(RESULTADOS!E9),ISNUMBER(C9),ISNUMBER(E9),C9=RESULTADOS!C9,E9=RESULTADOS!E9),2,0)</f>
        <v>0</v>
      </c>
      <c r="Z9" s="33" t="str">
        <f>IF(AND(ISNUMBER(RESULTADOS!C9),ISNUMBER(RESULTADOS!E9),ISNUMBER(C9),ISNUMBER(E9)),IF(OR(AND(C9&gt;E9,RESULTADOS!C9&gt;RESULTADOS!E9),AND(C9&lt;E9,RESULTADOS!C9&lt;RESULTADOS!E9)),1,IF(AND(C9=E9,RESULTADOS!C9=RESULTADOS!E9),2,0)),0)</f>
        <v>0</v>
      </c>
      <c r="AA9" s="33" t="str">
        <f>IF(AND(ISNUMBER(RESULTADOS!C9),ISNUMBER(RESULTADOS!E9),ISNUMBER(C9),ISNUMBER(E9),AND(Z9=1,OR(C9=RESULTADOS!C9,E9=RESULTADOS!E9))),1,0)</f>
        <v>0</v>
      </c>
      <c r="AB9" s="6" t="str">
        <f>IF(
  AND(
    ISNUMBER(RESULTADOS!C9),
    ISNUMBER(RESULTADOS!E9),
    ISNUMBER(C9),
    ISNUMBER(E9),
    AND(Z9=1,AA9=0,(RESULTADOS!C9-RESULTADOS!E9)=(C9-E9))
  ),
  1,
  0
)</f>
        <v>0</v>
      </c>
      <c r="AC9" s="6" t="s">
        <v>51</v>
      </c>
      <c r="AD9" s="6" t="s">
        <v>52</v>
      </c>
      <c r="AE9" s="6" t="s">
        <v>53</v>
      </c>
      <c r="AF9" s="6" t="str">
        <f t="shared" ref="AF9:AH9" si="13">IF(ISNUMBER(FIND("C", AC9, 1)), SUBSTITUTE(AC9, "C", "E"), SUBSTITUTE(AC9, "E", "C"))</f>
        <v>C5</v>
      </c>
      <c r="AG9" s="6" t="str">
        <f t="shared" si="13"/>
        <v>C7</v>
      </c>
      <c r="AH9" s="6" t="str">
        <f t="shared" si="13"/>
        <v>E9</v>
      </c>
      <c r="AI9" s="136"/>
      <c r="AJ9" s="136"/>
      <c r="AK9" s="136"/>
      <c r="AL9" s="136"/>
      <c r="AM9" s="136"/>
      <c r="AN9" s="136"/>
      <c r="AO9" s="136"/>
      <c r="AP9" s="136"/>
      <c r="AQ9" s="136"/>
      <c r="AR9" s="136"/>
    </row>
    <row r="10" ht="13.5" customHeight="1">
      <c r="A10" s="136"/>
      <c r="B10" s="40" t="s">
        <v>41</v>
      </c>
      <c r="C10" s="41">
        <v>0.0</v>
      </c>
      <c r="D10" s="38" t="s">
        <v>31</v>
      </c>
      <c r="E10" s="42">
        <v>2.0</v>
      </c>
      <c r="F10" s="43" t="s">
        <v>30</v>
      </c>
      <c r="G10" s="59"/>
      <c r="H10" s="44">
        <v>46197.0</v>
      </c>
      <c r="I10" s="45">
        <v>0.916666666666667</v>
      </c>
      <c r="J10" s="27"/>
      <c r="K10" s="31"/>
      <c r="L10" s="136"/>
      <c r="M10" s="136"/>
      <c r="N10" s="136"/>
      <c r="O10" s="136"/>
      <c r="P10" s="136"/>
      <c r="Q10" s="136"/>
      <c r="R10" s="136"/>
      <c r="S10" s="59"/>
      <c r="T10" s="32" t="str">
        <f t="shared" si="1"/>
        <v/>
      </c>
      <c r="U10" s="19" t="str">
        <f t="shared" si="2"/>
        <v>0</v>
      </c>
      <c r="Y10" s="33" t="str">
        <f>IF(AND(ISNUMBER(RESULTADOS!C10),ISNUMBER(RESULTADOS!E10),ISNUMBER(C10),ISNUMBER(E10),C10=RESULTADOS!C10,E10=RESULTADOS!E10),2,0)</f>
        <v>0</v>
      </c>
      <c r="Z10" s="33" t="str">
        <f>IF(AND(ISNUMBER(RESULTADOS!C10),ISNUMBER(RESULTADOS!E10),ISNUMBER(C10),ISNUMBER(E10)),IF(OR(AND(C10&gt;E10,RESULTADOS!C10&gt;RESULTADOS!E10),AND(C10&lt;E10,RESULTADOS!C10&lt;RESULTADOS!E10)),1,IF(AND(C10=E10,RESULTADOS!C10=RESULTADOS!E10),2,0)),0)</f>
        <v>0</v>
      </c>
      <c r="AA10" s="33" t="str">
        <f>IF(AND(ISNUMBER(RESULTADOS!C10),ISNUMBER(RESULTADOS!E10),ISNUMBER(C10),ISNUMBER(E10),AND(Z10=1,OR(C10=RESULTADOS!C10,E10=RESULTADOS!E10))),1,0)</f>
        <v>0</v>
      </c>
      <c r="AB10" s="6" t="str">
        <f>IF(
  AND(
    ISNUMBER(RESULTADOS!C10),
    ISNUMBER(RESULTADOS!E10),
    ISNUMBER(C10),
    ISNUMBER(E10),
    AND(Z10=1,AA10=0,(RESULTADOS!C10-RESULTADOS!E10)=(C10-E10))
  ),
  1,
  0
)</f>
        <v>0</v>
      </c>
      <c r="AC10" s="6"/>
      <c r="AD10" s="6"/>
      <c r="AE10" s="6"/>
      <c r="AF10" s="6"/>
      <c r="AG10" s="6"/>
      <c r="AH10" s="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</row>
    <row r="11" ht="13.5" customHeight="1">
      <c r="A11" s="136"/>
      <c r="B11" s="4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136"/>
      <c r="U11" s="2"/>
      <c r="V11" s="2"/>
      <c r="W11" s="2"/>
      <c r="X11" s="5"/>
      <c r="Y11" s="7"/>
      <c r="Z11" s="7"/>
      <c r="AA11" s="7"/>
      <c r="AB11" s="6"/>
      <c r="AC11" s="6"/>
      <c r="AD11" s="6"/>
      <c r="AE11" s="6"/>
      <c r="AF11" s="6"/>
      <c r="AG11" s="6"/>
      <c r="AH11" s="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</row>
    <row r="12" ht="13.5" customHeight="1">
      <c r="A12" s="136"/>
      <c r="B12" s="15" t="s">
        <v>54</v>
      </c>
      <c r="C12" s="9"/>
      <c r="D12" s="9"/>
      <c r="E12" s="9"/>
      <c r="F12" s="10"/>
      <c r="G12" s="59"/>
      <c r="H12" s="16" t="s">
        <v>28</v>
      </c>
      <c r="I12" s="17" t="s">
        <v>29</v>
      </c>
      <c r="J12" s="18"/>
      <c r="K12" s="59"/>
      <c r="L12" s="59"/>
      <c r="M12" s="59"/>
      <c r="N12" s="59"/>
      <c r="O12" s="59"/>
      <c r="P12" s="59"/>
      <c r="Q12" s="59"/>
      <c r="R12" s="59"/>
      <c r="S12" s="59"/>
      <c r="T12" s="136"/>
      <c r="U12" s="19"/>
      <c r="V12" s="19"/>
      <c r="W12" s="19"/>
      <c r="X12" s="20"/>
      <c r="Y12" s="33"/>
      <c r="Z12" s="33"/>
      <c r="AA12" s="33"/>
      <c r="AB12" s="6"/>
      <c r="AC12" s="6"/>
      <c r="AD12" s="6"/>
      <c r="AE12" s="6"/>
      <c r="AF12" s="6"/>
      <c r="AG12" s="6"/>
      <c r="AH12" s="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</row>
    <row r="13" ht="13.5" customHeight="1">
      <c r="A13" s="136"/>
      <c r="B13" s="21" t="s">
        <v>55</v>
      </c>
      <c r="C13" s="22">
        <v>2.0</v>
      </c>
      <c r="D13" s="19" t="s">
        <v>31</v>
      </c>
      <c r="E13" s="23">
        <v>1.0</v>
      </c>
      <c r="F13" s="24" t="s">
        <v>56</v>
      </c>
      <c r="G13" s="59"/>
      <c r="H13" s="25">
        <v>46185.0</v>
      </c>
      <c r="I13" s="26">
        <v>0.666666666666667</v>
      </c>
      <c r="J13" s="27"/>
      <c r="K13" s="47"/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37</v>
      </c>
      <c r="Q13" s="29" t="s">
        <v>38</v>
      </c>
      <c r="R13" s="30" t="s">
        <v>39</v>
      </c>
      <c r="S13" s="31"/>
      <c r="T13" s="32" t="str">
        <f t="shared" ref="T13:T18" si="14">IF(NOT(AND(ISNUMBER(C13),ISNUMBER(E13))),"XXX","")</f>
        <v/>
      </c>
      <c r="U13" s="19" t="str">
        <f t="shared" ref="U13:U18" si="15">SUM(Y13,Z13,AA13, AB13)</f>
        <v>0</v>
      </c>
      <c r="Y13" s="33" t="str">
        <f>IF(AND(ISNUMBER(RESULTADOS!C13),ISNUMBER(RESULTADOS!E13),ISNUMBER(C13),ISNUMBER(E13),C13=RESULTADOS!C13,E13=RESULTADOS!E13),2,0)</f>
        <v>0</v>
      </c>
      <c r="Z13" s="33" t="str">
        <f>IF(AND(ISNUMBER(RESULTADOS!C13),ISNUMBER(RESULTADOS!E13),ISNUMBER(C13),ISNUMBER(E13)),IF(OR(AND(C13&gt;E13,RESULTADOS!C13&gt;RESULTADOS!E13),AND(C13&lt;E13,RESULTADOS!C13&lt;RESULTADOS!E13)),1,IF(AND(C13=E13,RESULTADOS!C13=RESULTADOS!E13),2,0)),0)</f>
        <v>0</v>
      </c>
      <c r="AA13" s="33" t="str">
        <f>IF(AND(ISNUMBER(RESULTADOS!C13),ISNUMBER(RESULTADOS!E13),ISNUMBER(C13),ISNUMBER(E13),AND(Z13=1,OR(C13=RESULTADOS!C13,E13=RESULTADOS!E13))),1,0)</f>
        <v>0</v>
      </c>
      <c r="AB13" s="6" t="str">
        <f>IF(
  AND(
    ISNUMBER(RESULTADOS!C13),
    ISNUMBER(RESULTADOS!E13),
    ISNUMBER(C13),
    ISNUMBER(E13),
    AND(Z13=1,AA13=0,(RESULTADOS!C13-RESULTADOS!E13)=(C13-E13))
  ),
  1,
  0
)</f>
        <v>0</v>
      </c>
      <c r="AC13" s="6"/>
      <c r="AD13" s="6"/>
      <c r="AE13" s="6"/>
      <c r="AF13" s="6"/>
      <c r="AG13" s="6"/>
      <c r="AH13" s="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</row>
    <row r="14" ht="13.5" customHeight="1">
      <c r="A14" s="136"/>
      <c r="B14" s="21" t="s">
        <v>57</v>
      </c>
      <c r="C14" s="22">
        <v>0.0</v>
      </c>
      <c r="D14" s="19" t="s">
        <v>31</v>
      </c>
      <c r="E14" s="23">
        <v>2.0</v>
      </c>
      <c r="F14" s="24" t="s">
        <v>58</v>
      </c>
      <c r="G14" s="59"/>
      <c r="H14" s="25">
        <v>46186.0</v>
      </c>
      <c r="I14" s="26">
        <v>0.666666666666667</v>
      </c>
      <c r="J14" s="27"/>
      <c r="K14" s="35" t="s">
        <v>56</v>
      </c>
      <c r="L14" s="19" t="str">
        <f t="shared" ref="L14:L17" si="17">SUM(IF(AND(ISNUMBER(INDIRECT($AC14)),INDIRECT($AC14)&gt;INDIRECT($AF14)),3,IF(AND(ISNUMBER(INDIRECT($AC14)),INDIRECT($AC14)=INDIRECT($AF14)),1,0)),IF(AND(ISNUMBER(INDIRECT($AD14)),INDIRECT($AD14)&gt;INDIRECT($AG14)),3,IF(AND(ISNUMBER(INDIRECT($AD14)),INDIRECT($AD14)=INDIRECT($AG14)),1,0)),IF(AND(ISNUMBER(INDIRECT($AE14)),INDIRECT($AE14)&gt;INDIRECT($AH14)),3,IF(AND(ISNUMBER(INDIRECT($AE14)),INDIRECT($AE14)=INDIRECT($AH14)),1,0)))</f>
        <v>3</v>
      </c>
      <c r="M14" s="19" t="str">
        <f t="shared" ref="M14:M17" si="18">N14-O14</f>
        <v>0</v>
      </c>
      <c r="N14" s="19" t="str">
        <f t="shared" ref="N14:N17" si="19">SUM(INDIRECT($AC14),INDIRECT($AD14),INDIRECT($AE14))</f>
        <v>4</v>
      </c>
      <c r="O14" s="19" t="str">
        <f t="shared" ref="O14:O17" si="20">SUM(INDIRECT($AF14),INDIRECT($AG14),INDIRECT($AH14))</f>
        <v>4</v>
      </c>
      <c r="P14" s="19" t="str">
        <f t="shared" ref="P14:P17" si="21">SUM(IF(AND(ISNUMBER(INDIRECT($AC14)),INDIRECT($AC14)&gt;INDIRECT($AF14)),1,0),IF(AND(ISNUMBER(INDIRECT($AD14)),INDIRECT($AD14)&gt;INDIRECT($AG14)),1,0),IF(AND(ISNUMBER(INDIRECT($AE14)),INDIRECT($AE14)&gt;INDIRECT($AH14)),1,0))</f>
        <v>1</v>
      </c>
      <c r="Q14" s="19" t="str">
        <f t="shared" ref="Q14:Q17" si="22">SUM(IF(AND(ISNUMBER(INDIRECT($AC14)),INDIRECT($AC14)=INDIRECT($AF14)),1,0),IF(AND(ISNUMBER(INDIRECT($AD14)),INDIRECT($AD14)=INDIRECT($AG14)),1,0),IF(AND(ISNUMBER(INDIRECT($AE14)),INDIRECT($AE14)=INDIRECT($AH14)),1,0))</f>
        <v>0</v>
      </c>
      <c r="R14" s="36" t="str">
        <f t="shared" ref="R14:R17" si="23">SUM(IF(AND(ISNUMBER(INDIRECT($AC14)),INDIRECT($AC14)&lt;INDIRECT($AF14)),1,0),IF(AND(ISNUMBER(INDIRECT($AD14)),INDIRECT($AD14)&lt;INDIRECT($AG14)),1,0),IF(AND(ISNUMBER(INDIRECT($AE14)),INDIRECT($AE14)&lt;INDIRECT($AH14)),1,0))</f>
        <v>2</v>
      </c>
      <c r="S14" s="31"/>
      <c r="T14" s="32" t="str">
        <f t="shared" si="14"/>
        <v/>
      </c>
      <c r="U14" s="19" t="str">
        <f t="shared" si="15"/>
        <v>0</v>
      </c>
      <c r="Y14" s="33" t="str">
        <f>IF(AND(ISNUMBER(RESULTADOS!C14),ISNUMBER(RESULTADOS!E14),ISNUMBER(C14),ISNUMBER(E14),C14=RESULTADOS!C14,E14=RESULTADOS!E14),2,0)</f>
        <v>0</v>
      </c>
      <c r="Z14" s="33" t="str">
        <f>IF(AND(ISNUMBER(RESULTADOS!C14),ISNUMBER(RESULTADOS!E14),ISNUMBER(C14),ISNUMBER(E14)),IF(OR(AND(C14&gt;E14,RESULTADOS!C14&gt;RESULTADOS!E14),AND(C14&lt;E14,RESULTADOS!C14&lt;RESULTADOS!E14)),1,IF(AND(C14=E14,RESULTADOS!C14=RESULTADOS!E14),2,0)),0)</f>
        <v>0</v>
      </c>
      <c r="AA14" s="33" t="str">
        <f>IF(AND(ISNUMBER(RESULTADOS!C14),ISNUMBER(RESULTADOS!E14),ISNUMBER(C14),ISNUMBER(E14),AND(Z14=1,OR(C14=RESULTADOS!C14,E14=RESULTADOS!E14))),1,0)</f>
        <v>0</v>
      </c>
      <c r="AB14" s="6" t="str">
        <f>IF(
  AND(
    ISNUMBER(RESULTADOS!C14),
    ISNUMBER(RESULTADOS!E14),
    ISNUMBER(C14),
    ISNUMBER(E14),
    AND(Z14=1,AA14=0,(RESULTADOS!C14-RESULTADOS!E14)=(C14-E14))
  ),
  1,
  0
)</f>
        <v>0</v>
      </c>
      <c r="AC14" s="6" t="s">
        <v>59</v>
      </c>
      <c r="AD14" s="6" t="s">
        <v>60</v>
      </c>
      <c r="AE14" s="6" t="s">
        <v>61</v>
      </c>
      <c r="AF14" s="6" t="str">
        <f t="shared" ref="AF14:AH14" si="16">IF(ISNUMBER(FIND("C", AC14, 1)), SUBSTITUTE(AC14, "C", "E"), SUBSTITUTE(AC14, "E", "C"))</f>
        <v>C13</v>
      </c>
      <c r="AG14" s="6" t="str">
        <f t="shared" si="16"/>
        <v>C15</v>
      </c>
      <c r="AH14" s="6" t="str">
        <f t="shared" si="16"/>
        <v>E18</v>
      </c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</row>
    <row r="15" ht="12.75" customHeight="1">
      <c r="A15" s="136"/>
      <c r="B15" s="21" t="s">
        <v>58</v>
      </c>
      <c r="C15" s="22">
        <v>2.0</v>
      </c>
      <c r="D15" s="19" t="s">
        <v>31</v>
      </c>
      <c r="E15" s="23">
        <v>1.0</v>
      </c>
      <c r="F15" s="24" t="s">
        <v>56</v>
      </c>
      <c r="G15" s="59"/>
      <c r="H15" s="25">
        <v>46191.0</v>
      </c>
      <c r="I15" s="26">
        <v>0.666666666666667</v>
      </c>
      <c r="J15" s="27"/>
      <c r="K15" s="35" t="s">
        <v>55</v>
      </c>
      <c r="L15" s="19" t="str">
        <f t="shared" si="17"/>
        <v>7</v>
      </c>
      <c r="M15" s="19" t="str">
        <f t="shared" si="18"/>
        <v>3</v>
      </c>
      <c r="N15" s="19" t="str">
        <f t="shared" si="19"/>
        <v>5</v>
      </c>
      <c r="O15" s="19" t="str">
        <f t="shared" si="20"/>
        <v>2</v>
      </c>
      <c r="P15" s="19" t="str">
        <f t="shared" si="21"/>
        <v>2</v>
      </c>
      <c r="Q15" s="19" t="str">
        <f t="shared" si="22"/>
        <v>1</v>
      </c>
      <c r="R15" s="36" t="str">
        <f t="shared" si="23"/>
        <v>0</v>
      </c>
      <c r="S15" s="59"/>
      <c r="T15" s="32" t="str">
        <f t="shared" si="14"/>
        <v/>
      </c>
      <c r="U15" s="19" t="str">
        <f t="shared" si="15"/>
        <v>0</v>
      </c>
      <c r="Y15" s="33" t="str">
        <f>IF(AND(ISNUMBER(RESULTADOS!C15),ISNUMBER(RESULTADOS!E15),ISNUMBER(C15),ISNUMBER(E15),C15=RESULTADOS!C15,E15=RESULTADOS!E15),2,0)</f>
        <v>0</v>
      </c>
      <c r="Z15" s="33" t="str">
        <f>IF(AND(ISNUMBER(RESULTADOS!C15),ISNUMBER(RESULTADOS!E15),ISNUMBER(C15),ISNUMBER(E15)),IF(OR(AND(C15&gt;E15,RESULTADOS!C15&gt;RESULTADOS!E15),AND(C15&lt;E15,RESULTADOS!C15&lt;RESULTADOS!E15)),1,IF(AND(C15=E15,RESULTADOS!C15=RESULTADOS!E15),2,0)),0)</f>
        <v>0</v>
      </c>
      <c r="AA15" s="33" t="str">
        <f>IF(AND(ISNUMBER(RESULTADOS!C15),ISNUMBER(RESULTADOS!E15),ISNUMBER(C15),ISNUMBER(E15),AND(Z15=1,OR(C15=RESULTADOS!C15,E15=RESULTADOS!E15))),1,0)</f>
        <v>0</v>
      </c>
      <c r="AB15" s="6" t="str">
        <f>IF(
  AND(
    ISNUMBER(RESULTADOS!C15),
    ISNUMBER(RESULTADOS!E15),
    ISNUMBER(C15),
    ISNUMBER(E15),
    AND(Z15=1,AA15=0,(RESULTADOS!C15-RESULTADOS!E15)=(C15-E15))
  ),
  1,
  0
)</f>
        <v>0</v>
      </c>
      <c r="AC15" s="6" t="s">
        <v>62</v>
      </c>
      <c r="AD15" s="6" t="s">
        <v>63</v>
      </c>
      <c r="AE15" s="6" t="s">
        <v>64</v>
      </c>
      <c r="AF15" s="6" t="str">
        <f t="shared" ref="AF15:AH15" si="24">IF(ISNUMBER(FIND("C", AC15, 1)), SUBSTITUTE(AC15, "C", "E"), SUBSTITUTE(AC15, "E", "C"))</f>
        <v>E13</v>
      </c>
      <c r="AG15" s="6" t="str">
        <f t="shared" si="24"/>
        <v>E16</v>
      </c>
      <c r="AH15" s="6" t="str">
        <f t="shared" si="24"/>
        <v>C17</v>
      </c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</row>
    <row r="16" ht="12.75" customHeight="1">
      <c r="A16" s="136"/>
      <c r="B16" s="21" t="s">
        <v>55</v>
      </c>
      <c r="C16" s="22">
        <v>2.0</v>
      </c>
      <c r="D16" s="19" t="s">
        <v>31</v>
      </c>
      <c r="E16" s="23">
        <v>0.0</v>
      </c>
      <c r="F16" s="24" t="s">
        <v>57</v>
      </c>
      <c r="G16" s="59"/>
      <c r="H16" s="25">
        <v>46191.0</v>
      </c>
      <c r="I16" s="26">
        <v>0.791666666666667</v>
      </c>
      <c r="J16" s="27"/>
      <c r="K16" s="35" t="s">
        <v>57</v>
      </c>
      <c r="L16" s="19" t="str">
        <f t="shared" si="17"/>
        <v>0</v>
      </c>
      <c r="M16" s="19" t="str">
        <f t="shared" si="18"/>
        <v>-6</v>
      </c>
      <c r="N16" s="19" t="str">
        <f t="shared" si="19"/>
        <v>0</v>
      </c>
      <c r="O16" s="19" t="str">
        <f t="shared" si="20"/>
        <v>6</v>
      </c>
      <c r="P16" s="19" t="str">
        <f t="shared" si="21"/>
        <v>0</v>
      </c>
      <c r="Q16" s="19" t="str">
        <f t="shared" si="22"/>
        <v>0</v>
      </c>
      <c r="R16" s="36" t="str">
        <f t="shared" si="23"/>
        <v>3</v>
      </c>
      <c r="S16" s="59"/>
      <c r="T16" s="32" t="str">
        <f t="shared" si="14"/>
        <v/>
      </c>
      <c r="U16" s="19" t="str">
        <f t="shared" si="15"/>
        <v>0</v>
      </c>
      <c r="Y16" s="33" t="str">
        <f>IF(AND(ISNUMBER(RESULTADOS!C16),ISNUMBER(RESULTADOS!E16),ISNUMBER(C16),ISNUMBER(E16),C16=RESULTADOS!C16,E16=RESULTADOS!E16),2,0)</f>
        <v>0</v>
      </c>
      <c r="Z16" s="33" t="str">
        <f>IF(AND(ISNUMBER(RESULTADOS!C16),ISNUMBER(RESULTADOS!E16),ISNUMBER(C16),ISNUMBER(E16)),IF(OR(AND(C16&gt;E16,RESULTADOS!C16&gt;RESULTADOS!E16),AND(C16&lt;E16,RESULTADOS!C16&lt;RESULTADOS!E16)),1,IF(AND(C16=E16,RESULTADOS!C16=RESULTADOS!E16),2,0)),0)</f>
        <v>0</v>
      </c>
      <c r="AA16" s="33" t="str">
        <f>IF(AND(ISNUMBER(RESULTADOS!C16),ISNUMBER(RESULTADOS!E16),ISNUMBER(C16),ISNUMBER(E16),AND(Z16=1,OR(C16=RESULTADOS!C16,E16=RESULTADOS!E16))),1,0)</f>
        <v>0</v>
      </c>
      <c r="AB16" s="6" t="str">
        <f>IF(
  AND(
    ISNUMBER(RESULTADOS!C16),
    ISNUMBER(RESULTADOS!E16),
    ISNUMBER(C16),
    ISNUMBER(E16),
    AND(Z16=1,AA16=0,(RESULTADOS!C16-RESULTADOS!E16)=(C16-E16))
  ),
  1,
  0
)</f>
        <v>0</v>
      </c>
      <c r="AC16" s="6" t="s">
        <v>65</v>
      </c>
      <c r="AD16" s="6" t="s">
        <v>66</v>
      </c>
      <c r="AE16" s="6" t="s">
        <v>67</v>
      </c>
      <c r="AF16" s="6" t="str">
        <f t="shared" ref="AF16:AH16" si="25">IF(ISNUMBER(FIND("C", AC16, 1)), SUBSTITUTE(AC16, "C", "E"), SUBSTITUTE(AC16, "E", "C"))</f>
        <v>E14</v>
      </c>
      <c r="AG16" s="6" t="str">
        <f t="shared" si="25"/>
        <v>C16</v>
      </c>
      <c r="AH16" s="6" t="str">
        <f t="shared" si="25"/>
        <v>C18</v>
      </c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</row>
    <row r="17" ht="12.75" customHeight="1">
      <c r="A17" s="136"/>
      <c r="B17" s="21" t="s">
        <v>58</v>
      </c>
      <c r="C17" s="22">
        <v>1.0</v>
      </c>
      <c r="D17" s="19" t="s">
        <v>31</v>
      </c>
      <c r="E17" s="23">
        <v>1.0</v>
      </c>
      <c r="F17" s="24" t="s">
        <v>55</v>
      </c>
      <c r="G17" s="59"/>
      <c r="H17" s="25">
        <v>46197.0</v>
      </c>
      <c r="I17" s="26">
        <v>0.666666666666667</v>
      </c>
      <c r="J17" s="27"/>
      <c r="K17" s="37" t="s">
        <v>58</v>
      </c>
      <c r="L17" s="38" t="str">
        <f t="shared" si="17"/>
        <v>7</v>
      </c>
      <c r="M17" s="38" t="str">
        <f t="shared" si="18"/>
        <v>3</v>
      </c>
      <c r="N17" s="38" t="str">
        <f t="shared" si="19"/>
        <v>5</v>
      </c>
      <c r="O17" s="38" t="str">
        <f t="shared" si="20"/>
        <v>2</v>
      </c>
      <c r="P17" s="38" t="str">
        <f t="shared" si="21"/>
        <v>2</v>
      </c>
      <c r="Q17" s="38" t="str">
        <f t="shared" si="22"/>
        <v>1</v>
      </c>
      <c r="R17" s="39" t="str">
        <f t="shared" si="23"/>
        <v>0</v>
      </c>
      <c r="S17" s="59"/>
      <c r="T17" s="32" t="str">
        <f t="shared" si="14"/>
        <v/>
      </c>
      <c r="U17" s="19" t="str">
        <f t="shared" si="15"/>
        <v>0</v>
      </c>
      <c r="Y17" s="33" t="str">
        <f>IF(AND(ISNUMBER(RESULTADOS!C17),ISNUMBER(RESULTADOS!E17),ISNUMBER(C17),ISNUMBER(E17),C17=RESULTADOS!C17,E17=RESULTADOS!E17),2,0)</f>
        <v>0</v>
      </c>
      <c r="Z17" s="33" t="str">
        <f>IF(AND(ISNUMBER(RESULTADOS!C17),ISNUMBER(RESULTADOS!E17),ISNUMBER(C17),ISNUMBER(E17)),IF(OR(AND(C17&gt;E17,RESULTADOS!C17&gt;RESULTADOS!E17),AND(C17&lt;E17,RESULTADOS!C17&lt;RESULTADOS!E17)),1,IF(AND(C17=E17,RESULTADOS!C17=RESULTADOS!E17),2,0)),0)</f>
        <v>0</v>
      </c>
      <c r="AA17" s="33" t="str">
        <f>IF(AND(ISNUMBER(RESULTADOS!C17),ISNUMBER(RESULTADOS!E17),ISNUMBER(C17),ISNUMBER(E17),AND(Z17=1,OR(C17=RESULTADOS!C17,E17=RESULTADOS!E17))),1,0)</f>
        <v>0</v>
      </c>
      <c r="AB17" s="6" t="str">
        <f>IF(
  AND(
    ISNUMBER(RESULTADOS!C17),
    ISNUMBER(RESULTADOS!E17),
    ISNUMBER(C17),
    ISNUMBER(E17),
    AND(Z17=1,AA17=0,(RESULTADOS!C17-RESULTADOS!E17)=(C17-E17))
  ),
  1,
  0
)</f>
        <v>0</v>
      </c>
      <c r="AC17" s="6" t="s">
        <v>68</v>
      </c>
      <c r="AD17" s="6" t="s">
        <v>69</v>
      </c>
      <c r="AE17" s="6" t="s">
        <v>70</v>
      </c>
      <c r="AF17" s="6" t="str">
        <f t="shared" ref="AF17:AH17" si="26">IF(ISNUMBER(FIND("C", AC17, 1)), SUBSTITUTE(AC17, "C", "E"), SUBSTITUTE(AC17, "E", "C"))</f>
        <v>C14</v>
      </c>
      <c r="AG17" s="6" t="str">
        <f t="shared" si="26"/>
        <v>E15</v>
      </c>
      <c r="AH17" s="6" t="str">
        <f t="shared" si="26"/>
        <v>E17</v>
      </c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</row>
    <row r="18" ht="13.5" customHeight="1">
      <c r="A18" s="136"/>
      <c r="B18" s="40" t="s">
        <v>56</v>
      </c>
      <c r="C18" s="41">
        <v>2.0</v>
      </c>
      <c r="D18" s="38" t="s">
        <v>31</v>
      </c>
      <c r="E18" s="42">
        <v>0.0</v>
      </c>
      <c r="F18" s="48" t="s">
        <v>57</v>
      </c>
      <c r="G18" s="59"/>
      <c r="H18" s="44">
        <v>46197.0</v>
      </c>
      <c r="I18" s="45">
        <v>0.666666666666667</v>
      </c>
      <c r="J18" s="27"/>
      <c r="K18" s="31"/>
      <c r="L18" s="136"/>
      <c r="M18" s="136"/>
      <c r="N18" s="136"/>
      <c r="O18" s="136"/>
      <c r="P18" s="136"/>
      <c r="Q18" s="136"/>
      <c r="R18" s="136"/>
      <c r="S18" s="59"/>
      <c r="T18" s="32" t="str">
        <f t="shared" si="14"/>
        <v/>
      </c>
      <c r="U18" s="19" t="str">
        <f t="shared" si="15"/>
        <v>0</v>
      </c>
      <c r="Y18" s="33" t="str">
        <f>IF(AND(ISNUMBER(RESULTADOS!C18),ISNUMBER(RESULTADOS!E18),ISNUMBER(C18),ISNUMBER(E18),C18=RESULTADOS!C18,E18=RESULTADOS!E18),2,0)</f>
        <v>0</v>
      </c>
      <c r="Z18" s="33" t="str">
        <f>IF(AND(ISNUMBER(RESULTADOS!C18),ISNUMBER(RESULTADOS!E18),ISNUMBER(C18),ISNUMBER(E18)),IF(OR(AND(C18&gt;E18,RESULTADOS!C18&gt;RESULTADOS!E18),AND(C18&lt;E18,RESULTADOS!C18&lt;RESULTADOS!E18)),1,IF(AND(C18=E18,RESULTADOS!C18=RESULTADOS!E18),2,0)),0)</f>
        <v>0</v>
      </c>
      <c r="AA18" s="33" t="str">
        <f>IF(AND(ISNUMBER(RESULTADOS!C18),ISNUMBER(RESULTADOS!E18),ISNUMBER(C18),ISNUMBER(E18),AND(Z18=1,OR(C18=RESULTADOS!C18,E18=RESULTADOS!E18))),1,0)</f>
        <v>0</v>
      </c>
      <c r="AB18" s="6" t="str">
        <f>IF(
  AND(
    ISNUMBER(RESULTADOS!C18),
    ISNUMBER(RESULTADOS!E18),
    ISNUMBER(C18),
    ISNUMBER(E18),
    AND(Z18=1,AA18=0,(RESULTADOS!C18-RESULTADOS!E18)=(C18-E18))
  ),
  1,
  0
)</f>
        <v>0</v>
      </c>
      <c r="AC18" s="6"/>
      <c r="AD18" s="6"/>
      <c r="AE18" s="6"/>
      <c r="AF18" s="6"/>
      <c r="AG18" s="6"/>
      <c r="AH18" s="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</row>
    <row r="19" ht="13.5" customHeight="1">
      <c r="A19" s="136"/>
      <c r="B19" s="4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136"/>
      <c r="U19" s="2"/>
      <c r="V19" s="2"/>
      <c r="W19" s="2"/>
      <c r="X19" s="5"/>
      <c r="Y19" s="7"/>
      <c r="Z19" s="7"/>
      <c r="AA19" s="7"/>
      <c r="AB19" s="6"/>
      <c r="AC19" s="6"/>
      <c r="AD19" s="6"/>
      <c r="AE19" s="6"/>
      <c r="AF19" s="6"/>
      <c r="AG19" s="6"/>
      <c r="AH19" s="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</row>
    <row r="20" ht="13.5" customHeight="1">
      <c r="A20" s="136"/>
      <c r="B20" s="15" t="s">
        <v>71</v>
      </c>
      <c r="C20" s="9"/>
      <c r="D20" s="9"/>
      <c r="E20" s="9"/>
      <c r="F20" s="10"/>
      <c r="G20" s="59"/>
      <c r="H20" s="16" t="s">
        <v>28</v>
      </c>
      <c r="I20" s="17" t="s">
        <v>29</v>
      </c>
      <c r="J20" s="18"/>
      <c r="K20" s="59"/>
      <c r="L20" s="59"/>
      <c r="M20" s="59"/>
      <c r="N20" s="59"/>
      <c r="O20" s="59"/>
      <c r="P20" s="59"/>
      <c r="Q20" s="59"/>
      <c r="R20" s="59"/>
      <c r="S20" s="59"/>
      <c r="T20" s="136"/>
      <c r="U20" s="19"/>
      <c r="V20" s="19"/>
      <c r="W20" s="19"/>
      <c r="X20" s="20"/>
      <c r="Y20" s="33"/>
      <c r="Z20" s="33"/>
      <c r="AA20" s="33"/>
      <c r="AB20" s="6"/>
      <c r="AC20" s="6"/>
      <c r="AD20" s="6"/>
      <c r="AE20" s="6"/>
      <c r="AF20" s="6"/>
      <c r="AG20" s="6"/>
      <c r="AH20" s="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</row>
    <row r="21" ht="13.5" customHeight="1">
      <c r="A21" s="136"/>
      <c r="B21" s="21" t="s">
        <v>72</v>
      </c>
      <c r="C21" s="22">
        <v>3.0</v>
      </c>
      <c r="D21" s="19" t="s">
        <v>31</v>
      </c>
      <c r="E21" s="23">
        <v>1.0</v>
      </c>
      <c r="F21" s="24" t="s">
        <v>73</v>
      </c>
      <c r="G21" s="59"/>
      <c r="H21" s="25">
        <v>46186.0</v>
      </c>
      <c r="I21" s="26">
        <v>0.791666666666667</v>
      </c>
      <c r="J21" s="27"/>
      <c r="K21" s="47"/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37</v>
      </c>
      <c r="Q21" s="29" t="s">
        <v>38</v>
      </c>
      <c r="R21" s="30" t="s">
        <v>39</v>
      </c>
      <c r="S21" s="31"/>
      <c r="T21" s="32" t="str">
        <f t="shared" ref="T21:T26" si="27">IF(NOT(AND(ISNUMBER(C21),ISNUMBER(E21))),"XXX","")</f>
        <v/>
      </c>
      <c r="U21" s="19" t="str">
        <f t="shared" ref="U21:U26" si="28">SUM(Y21,Z21,AA21, AB21)</f>
        <v>0</v>
      </c>
      <c r="Y21" s="33" t="str">
        <f>IF(AND(ISNUMBER(RESULTADOS!C21),ISNUMBER(RESULTADOS!E21),ISNUMBER(C21),ISNUMBER(E21),C21=RESULTADOS!C21,E21=RESULTADOS!E21),2,0)</f>
        <v>0</v>
      </c>
      <c r="Z21" s="33" t="str">
        <f>IF(AND(ISNUMBER(RESULTADOS!C21),ISNUMBER(RESULTADOS!E21),ISNUMBER(C21),ISNUMBER(E21)),IF(OR(AND(C21&gt;E21,RESULTADOS!C21&gt;RESULTADOS!E21),AND(C21&lt;E21,RESULTADOS!C21&lt;RESULTADOS!E21)),1,IF(AND(C21=E21,RESULTADOS!C21=RESULTADOS!E21),2,0)),0)</f>
        <v>0</v>
      </c>
      <c r="AA21" s="33" t="str">
        <f>IF(AND(ISNUMBER(RESULTADOS!C21),ISNUMBER(RESULTADOS!E21),ISNUMBER(C21),ISNUMBER(E21),AND(Z21=1,OR(C21=RESULTADOS!C21,E21=RESULTADOS!E21))),1,0)</f>
        <v>0</v>
      </c>
      <c r="AB21" s="6" t="str">
        <f>IF(
  AND(
    ISNUMBER(RESULTADOS!C21),
    ISNUMBER(RESULTADOS!E21),
    ISNUMBER(C21),
    ISNUMBER(E21),
    AND(Z21=1,AA21=0,(RESULTADOS!C21-RESULTADOS!E21)=(C21-E21))
  ),
  1,
  0
)</f>
        <v>0</v>
      </c>
      <c r="AC21" s="6"/>
      <c r="AD21" s="6"/>
      <c r="AE21" s="6"/>
      <c r="AF21" s="6"/>
      <c r="AG21" s="6"/>
      <c r="AH21" s="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</row>
    <row r="22" ht="13.5" customHeight="1">
      <c r="A22" s="136"/>
      <c r="B22" s="21" t="s">
        <v>74</v>
      </c>
      <c r="C22" s="22">
        <v>1.0</v>
      </c>
      <c r="D22" s="19" t="s">
        <v>31</v>
      </c>
      <c r="E22" s="23">
        <v>2.0</v>
      </c>
      <c r="F22" s="24" t="s">
        <v>75</v>
      </c>
      <c r="G22" s="59"/>
      <c r="H22" s="25">
        <v>46186.0</v>
      </c>
      <c r="I22" s="26">
        <v>0.916666666666667</v>
      </c>
      <c r="J22" s="27"/>
      <c r="K22" s="35" t="s">
        <v>72</v>
      </c>
      <c r="L22" s="19" t="str">
        <f t="shared" ref="L22:L25" si="30">SUM(IF(AND(ISNUMBER(INDIRECT($AC22)),INDIRECT($AC22)&gt;INDIRECT($AF22)),3,IF(AND(ISNUMBER(INDIRECT($AC22)),INDIRECT($AC22)=INDIRECT($AF22)),1,0)),IF(AND(ISNUMBER(INDIRECT($AD22)),INDIRECT($AD22)&gt;INDIRECT($AG22)),3,IF(AND(ISNUMBER(INDIRECT($AD22)),INDIRECT($AD22)=INDIRECT($AG22)),1,0)),IF(AND(ISNUMBER(INDIRECT($AE22)),INDIRECT($AE22)&gt;INDIRECT($AH22)),3,IF(AND(ISNUMBER(INDIRECT($AE22)),INDIRECT($AE22)=INDIRECT($AH22)),1,0)))</f>
        <v>9</v>
      </c>
      <c r="M22" s="19" t="str">
        <f t="shared" ref="M22:M25" si="31">N22-O22</f>
        <v>7</v>
      </c>
      <c r="N22" s="19" t="str">
        <f t="shared" ref="N22:N25" si="32">SUM(INDIRECT($AC22),INDIRECT($AD22),INDIRECT($AE22))</f>
        <v>8</v>
      </c>
      <c r="O22" s="19" t="str">
        <f t="shared" ref="O22:O25" si="33">SUM(INDIRECT($AF22),INDIRECT($AG22),INDIRECT($AH22))</f>
        <v>1</v>
      </c>
      <c r="P22" s="19" t="str">
        <f t="shared" ref="P22:P25" si="34">SUM(IF(AND(ISNUMBER(INDIRECT($AC22)),INDIRECT($AC22)&gt;INDIRECT($AF22)),1,0),IF(AND(ISNUMBER(INDIRECT($AD22)),INDIRECT($AD22)&gt;INDIRECT($AG22)),1,0),IF(AND(ISNUMBER(INDIRECT($AE22)),INDIRECT($AE22)&gt;INDIRECT($AH22)),1,0))</f>
        <v>3</v>
      </c>
      <c r="Q22" s="19" t="str">
        <f t="shared" ref="Q22:Q25" si="35">SUM(IF(AND(ISNUMBER(INDIRECT($AC22)),INDIRECT($AC22)=INDIRECT($AF22)),1,0),IF(AND(ISNUMBER(INDIRECT($AD22)),INDIRECT($AD22)=INDIRECT($AG22)),1,0),IF(AND(ISNUMBER(INDIRECT($AE22)),INDIRECT($AE22)=INDIRECT($AH22)),1,0))</f>
        <v>0</v>
      </c>
      <c r="R22" s="36" t="str">
        <f t="shared" ref="R22:R25" si="36">SUM(IF(AND(ISNUMBER(INDIRECT($AC22)),INDIRECT($AC22)&lt;INDIRECT($AF22)),1,0),IF(AND(ISNUMBER(INDIRECT($AD22)),INDIRECT($AD22)&lt;INDIRECT($AG22)),1,0),IF(AND(ISNUMBER(INDIRECT($AE22)),INDIRECT($AE22)&lt;INDIRECT($AH22)),1,0))</f>
        <v>0</v>
      </c>
      <c r="S22" s="31"/>
      <c r="T22" s="32" t="str">
        <f t="shared" si="27"/>
        <v/>
      </c>
      <c r="U22" s="19" t="str">
        <f t="shared" si="28"/>
        <v>2</v>
      </c>
      <c r="Y22" s="33" t="str">
        <f>IF(AND(ISNUMBER(RESULTADOS!C22),ISNUMBER(RESULTADOS!E22),ISNUMBER(C22),ISNUMBER(E22),C22=RESULTADOS!C22,E22=RESULTADOS!E22),2,0)</f>
        <v>0</v>
      </c>
      <c r="Z22" s="33" t="str">
        <f>IF(AND(ISNUMBER(RESULTADOS!C22),ISNUMBER(RESULTADOS!E22),ISNUMBER(C22),ISNUMBER(E22)),IF(OR(AND(C22&gt;E22,RESULTADOS!C22&gt;RESULTADOS!E22),AND(C22&lt;E22,RESULTADOS!C22&lt;RESULTADOS!E22)),1,IF(AND(C22=E22,RESULTADOS!C22=RESULTADOS!E22),2,0)),0)</f>
        <v>1</v>
      </c>
      <c r="AA22" s="33" t="str">
        <f>IF(AND(ISNUMBER(RESULTADOS!C22),ISNUMBER(RESULTADOS!E22),ISNUMBER(C22),ISNUMBER(E22),AND(Z22=1,OR(C22=RESULTADOS!C22,E22=RESULTADOS!E22))),1,0)</f>
        <v>0</v>
      </c>
      <c r="AB22" s="6" t="str">
        <f>IF(
  AND(
    ISNUMBER(RESULTADOS!C22),
    ISNUMBER(RESULTADOS!E22),
    ISNUMBER(C22),
    ISNUMBER(E22),
    AND(Z22=1,AA22=0,(RESULTADOS!C22-RESULTADOS!E22)=(C22-E22))
  ),
  1,
  0
)</f>
        <v>1</v>
      </c>
      <c r="AC22" s="6" t="s">
        <v>76</v>
      </c>
      <c r="AD22" s="6" t="s">
        <v>77</v>
      </c>
      <c r="AE22" s="6" t="s">
        <v>78</v>
      </c>
      <c r="AF22" s="6" t="str">
        <f t="shared" ref="AF22:AH22" si="29">IF(ISNUMBER(FIND("C", AC22, 1)), SUBSTITUTE(AC22, "C", "E"), SUBSTITUTE(AC22, "E", "C"))</f>
        <v>E21</v>
      </c>
      <c r="AG22" s="6" t="str">
        <f t="shared" si="29"/>
        <v>E24</v>
      </c>
      <c r="AH22" s="6" t="str">
        <f t="shared" si="29"/>
        <v>C26</v>
      </c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</row>
    <row r="23" ht="12.75" customHeight="1">
      <c r="A23" s="136"/>
      <c r="B23" s="21" t="s">
        <v>75</v>
      </c>
      <c r="C23" s="22">
        <v>0.0</v>
      </c>
      <c r="D23" s="19" t="s">
        <v>31</v>
      </c>
      <c r="E23" s="23">
        <v>3.0</v>
      </c>
      <c r="F23" s="24" t="s">
        <v>73</v>
      </c>
      <c r="G23" s="59"/>
      <c r="H23" s="25">
        <v>46192.0</v>
      </c>
      <c r="I23" s="26">
        <v>0.791666666666667</v>
      </c>
      <c r="J23" s="27"/>
      <c r="K23" s="35" t="s">
        <v>75</v>
      </c>
      <c r="L23" s="19" t="str">
        <f t="shared" si="30"/>
        <v>3</v>
      </c>
      <c r="M23" s="19" t="str">
        <f t="shared" si="31"/>
        <v>-4</v>
      </c>
      <c r="N23" s="19" t="str">
        <f t="shared" si="32"/>
        <v>2</v>
      </c>
      <c r="O23" s="19" t="str">
        <f t="shared" si="33"/>
        <v>6</v>
      </c>
      <c r="P23" s="19" t="str">
        <f t="shared" si="34"/>
        <v>1</v>
      </c>
      <c r="Q23" s="19" t="str">
        <f t="shared" si="35"/>
        <v>0</v>
      </c>
      <c r="R23" s="36" t="str">
        <f t="shared" si="36"/>
        <v>2</v>
      </c>
      <c r="S23" s="59"/>
      <c r="T23" s="32" t="str">
        <f t="shared" si="27"/>
        <v/>
      </c>
      <c r="U23" s="19" t="str">
        <f t="shared" si="28"/>
        <v>0</v>
      </c>
      <c r="Y23" s="33" t="str">
        <f>IF(AND(ISNUMBER(RESULTADOS!C23),ISNUMBER(RESULTADOS!E23),ISNUMBER(C23),ISNUMBER(E23),C23=RESULTADOS!C23,E23=RESULTADOS!E23),2,0)</f>
        <v>0</v>
      </c>
      <c r="Z23" s="33" t="str">
        <f>IF(AND(ISNUMBER(RESULTADOS!C23),ISNUMBER(RESULTADOS!E23),ISNUMBER(C23),ISNUMBER(E23)),IF(OR(AND(C23&gt;E23,RESULTADOS!C23&gt;RESULTADOS!E23),AND(C23&lt;E23,RESULTADOS!C23&lt;RESULTADOS!E23)),1,IF(AND(C23=E23,RESULTADOS!C23=RESULTADOS!E23),2,0)),0)</f>
        <v>0</v>
      </c>
      <c r="AA23" s="33" t="str">
        <f>IF(AND(ISNUMBER(RESULTADOS!C23),ISNUMBER(RESULTADOS!E23),ISNUMBER(C23),ISNUMBER(E23),AND(Z23=1,OR(C23=RESULTADOS!C23,E23=RESULTADOS!E23))),1,0)</f>
        <v>0</v>
      </c>
      <c r="AB23" s="6" t="str">
        <f>IF(
  AND(
    ISNUMBER(RESULTADOS!C23),
    ISNUMBER(RESULTADOS!E23),
    ISNUMBER(C23),
    ISNUMBER(E23),
    AND(Z23=1,AA23=0,(RESULTADOS!C23-RESULTADOS!E23)=(C23-E23))
  ),
  1,
  0
)</f>
        <v>0</v>
      </c>
      <c r="AC23" s="6" t="s">
        <v>79</v>
      </c>
      <c r="AD23" s="6" t="s">
        <v>80</v>
      </c>
      <c r="AE23" s="6" t="s">
        <v>81</v>
      </c>
      <c r="AF23" s="6" t="str">
        <f t="shared" ref="AF23:AH23" si="37">IF(ISNUMBER(FIND("C", AC23, 1)), SUBSTITUTE(AC23, "C", "E"), SUBSTITUTE(AC23, "E", "C"))</f>
        <v>C22</v>
      </c>
      <c r="AG23" s="6" t="str">
        <f t="shared" si="37"/>
        <v>E23</v>
      </c>
      <c r="AH23" s="6" t="str">
        <f t="shared" si="37"/>
        <v>E26</v>
      </c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</row>
    <row r="24" ht="12.75" customHeight="1">
      <c r="A24" s="136"/>
      <c r="B24" s="21" t="s">
        <v>72</v>
      </c>
      <c r="C24" s="22">
        <v>3.0</v>
      </c>
      <c r="D24" s="19" t="s">
        <v>31</v>
      </c>
      <c r="E24" s="23">
        <v>0.0</v>
      </c>
      <c r="F24" s="24" t="s">
        <v>74</v>
      </c>
      <c r="G24" s="59"/>
      <c r="H24" s="25">
        <v>46192.0</v>
      </c>
      <c r="I24" s="26">
        <v>0.895833333333333</v>
      </c>
      <c r="J24" s="27"/>
      <c r="K24" s="35" t="s">
        <v>74</v>
      </c>
      <c r="L24" s="19" t="str">
        <f t="shared" si="30"/>
        <v>0</v>
      </c>
      <c r="M24" s="19" t="str">
        <f t="shared" si="31"/>
        <v>-6</v>
      </c>
      <c r="N24" s="19" t="str">
        <f t="shared" si="32"/>
        <v>1</v>
      </c>
      <c r="O24" s="19" t="str">
        <f t="shared" si="33"/>
        <v>7</v>
      </c>
      <c r="P24" s="19" t="str">
        <f t="shared" si="34"/>
        <v>0</v>
      </c>
      <c r="Q24" s="19" t="str">
        <f t="shared" si="35"/>
        <v>0</v>
      </c>
      <c r="R24" s="36" t="str">
        <f t="shared" si="36"/>
        <v>3</v>
      </c>
      <c r="S24" s="59"/>
      <c r="T24" s="32" t="str">
        <f t="shared" si="27"/>
        <v/>
      </c>
      <c r="U24" s="19" t="str">
        <f t="shared" si="28"/>
        <v>0</v>
      </c>
      <c r="Y24" s="33" t="str">
        <f>IF(AND(ISNUMBER(RESULTADOS!C24),ISNUMBER(RESULTADOS!E24),ISNUMBER(C24),ISNUMBER(E24),C24=RESULTADOS!C24,E24=RESULTADOS!E24),2,0)</f>
        <v>0</v>
      </c>
      <c r="Z24" s="33" t="str">
        <f>IF(AND(ISNUMBER(RESULTADOS!C24),ISNUMBER(RESULTADOS!E24),ISNUMBER(C24),ISNUMBER(E24)),IF(OR(AND(C24&gt;E24,RESULTADOS!C24&gt;RESULTADOS!E24),AND(C24&lt;E24,RESULTADOS!C24&lt;RESULTADOS!E24)),1,IF(AND(C24=E24,RESULTADOS!C24=RESULTADOS!E24),2,0)),0)</f>
        <v>0</v>
      </c>
      <c r="AA24" s="33" t="str">
        <f>IF(AND(ISNUMBER(RESULTADOS!C24),ISNUMBER(RESULTADOS!E24),ISNUMBER(C24),ISNUMBER(E24),AND(Z24=1,OR(C24=RESULTADOS!C24,E24=RESULTADOS!E24))),1,0)</f>
        <v>0</v>
      </c>
      <c r="AB24" s="6" t="str">
        <f>IF(
  AND(
    ISNUMBER(RESULTADOS!C24),
    ISNUMBER(RESULTADOS!E24),
    ISNUMBER(C24),
    ISNUMBER(E24),
    AND(Z24=1,AA24=0,(RESULTADOS!C24-RESULTADOS!E24)=(C24-E24))
  ),
  1,
  0
)</f>
        <v>0</v>
      </c>
      <c r="AC24" s="6" t="s">
        <v>82</v>
      </c>
      <c r="AD24" s="6" t="s">
        <v>83</v>
      </c>
      <c r="AE24" s="6" t="s">
        <v>84</v>
      </c>
      <c r="AF24" s="6" t="str">
        <f t="shared" ref="AF24:AH24" si="38">IF(ISNUMBER(FIND("C", AC24, 1)), SUBSTITUTE(AC24, "C", "E"), SUBSTITUTE(AC24, "E", "C"))</f>
        <v>E22</v>
      </c>
      <c r="AG24" s="6" t="str">
        <f t="shared" si="38"/>
        <v>C24</v>
      </c>
      <c r="AH24" s="6" t="str">
        <f t="shared" si="38"/>
        <v>C25</v>
      </c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</row>
    <row r="25" ht="12.75" customHeight="1">
      <c r="A25" s="136"/>
      <c r="B25" s="21" t="s">
        <v>73</v>
      </c>
      <c r="C25" s="22">
        <v>2.0</v>
      </c>
      <c r="D25" s="19" t="s">
        <v>31</v>
      </c>
      <c r="E25" s="23">
        <v>0.0</v>
      </c>
      <c r="F25" s="24" t="s">
        <v>74</v>
      </c>
      <c r="G25" s="59"/>
      <c r="H25" s="25">
        <v>46197.0</v>
      </c>
      <c r="I25" s="26">
        <v>0.791666666666667</v>
      </c>
      <c r="J25" s="27"/>
      <c r="K25" s="37" t="s">
        <v>73</v>
      </c>
      <c r="L25" s="38" t="str">
        <f t="shared" si="30"/>
        <v>6</v>
      </c>
      <c r="M25" s="38" t="str">
        <f t="shared" si="31"/>
        <v>3</v>
      </c>
      <c r="N25" s="38" t="str">
        <f t="shared" si="32"/>
        <v>6</v>
      </c>
      <c r="O25" s="38" t="str">
        <f t="shared" si="33"/>
        <v>3</v>
      </c>
      <c r="P25" s="38" t="str">
        <f t="shared" si="34"/>
        <v>2</v>
      </c>
      <c r="Q25" s="38" t="str">
        <f t="shared" si="35"/>
        <v>0</v>
      </c>
      <c r="R25" s="39" t="str">
        <f t="shared" si="36"/>
        <v>1</v>
      </c>
      <c r="S25" s="59"/>
      <c r="T25" s="32" t="str">
        <f t="shared" si="27"/>
        <v/>
      </c>
      <c r="U25" s="19" t="str">
        <f t="shared" si="28"/>
        <v>0</v>
      </c>
      <c r="Y25" s="33" t="str">
        <f>IF(AND(ISNUMBER(RESULTADOS!C25),ISNUMBER(RESULTADOS!E25),ISNUMBER(C25),ISNUMBER(E25),C25=RESULTADOS!C25,E25=RESULTADOS!E25),2,0)</f>
        <v>0</v>
      </c>
      <c r="Z25" s="33" t="str">
        <f>IF(AND(ISNUMBER(RESULTADOS!C25),ISNUMBER(RESULTADOS!E25),ISNUMBER(C25),ISNUMBER(E25)),IF(OR(AND(C25&gt;E25,RESULTADOS!C25&gt;RESULTADOS!E25),AND(C25&lt;E25,RESULTADOS!C25&lt;RESULTADOS!E25)),1,IF(AND(C25=E25,RESULTADOS!C25=RESULTADOS!E25),2,0)),0)</f>
        <v>0</v>
      </c>
      <c r="AA25" s="33" t="str">
        <f>IF(AND(ISNUMBER(RESULTADOS!C25),ISNUMBER(RESULTADOS!E25),ISNUMBER(C25),ISNUMBER(E25),AND(Z25=1,OR(C25=RESULTADOS!C25,E25=RESULTADOS!E25))),1,0)</f>
        <v>0</v>
      </c>
      <c r="AB25" s="6" t="str">
        <f>IF(
  AND(
    ISNUMBER(RESULTADOS!C25),
    ISNUMBER(RESULTADOS!E25),
    ISNUMBER(C25),
    ISNUMBER(E25),
    AND(Z25=1,AA25=0,(RESULTADOS!C25-RESULTADOS!E25)=(C25-E25))
  ),
  1,
  0
)</f>
        <v>0</v>
      </c>
      <c r="AC25" s="6" t="s">
        <v>85</v>
      </c>
      <c r="AD25" s="6" t="s">
        <v>86</v>
      </c>
      <c r="AE25" s="6" t="s">
        <v>87</v>
      </c>
      <c r="AF25" s="6" t="str">
        <f t="shared" ref="AF25:AH25" si="39">IF(ISNUMBER(FIND("C", AC25, 1)), SUBSTITUTE(AC25, "C", "E"), SUBSTITUTE(AC25, "E", "C"))</f>
        <v>C21</v>
      </c>
      <c r="AG25" s="6" t="str">
        <f t="shared" si="39"/>
        <v>C23</v>
      </c>
      <c r="AH25" s="6" t="str">
        <f t="shared" si="39"/>
        <v>E25</v>
      </c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</row>
    <row r="26" ht="13.5" customHeight="1">
      <c r="A26" s="136"/>
      <c r="B26" s="40" t="s">
        <v>75</v>
      </c>
      <c r="C26" s="41">
        <v>0.0</v>
      </c>
      <c r="D26" s="38" t="s">
        <v>31</v>
      </c>
      <c r="E26" s="42">
        <v>2.0</v>
      </c>
      <c r="F26" s="48" t="s">
        <v>72</v>
      </c>
      <c r="G26" s="59"/>
      <c r="H26" s="44">
        <v>46197.0</v>
      </c>
      <c r="I26" s="45">
        <v>0.791666666666667</v>
      </c>
      <c r="J26" s="27"/>
      <c r="K26" s="46"/>
      <c r="L26" s="136"/>
      <c r="M26" s="136"/>
      <c r="N26" s="136"/>
      <c r="O26" s="136"/>
      <c r="P26" s="136"/>
      <c r="Q26" s="136"/>
      <c r="R26" s="136"/>
      <c r="S26" s="59"/>
      <c r="T26" s="32" t="str">
        <f t="shared" si="27"/>
        <v/>
      </c>
      <c r="U26" s="19" t="str">
        <f t="shared" si="28"/>
        <v>0</v>
      </c>
      <c r="Y26" s="33" t="str">
        <f>IF(AND(ISNUMBER(RESULTADOS!C26),ISNUMBER(RESULTADOS!E26),ISNUMBER(C26),ISNUMBER(E26),C26=RESULTADOS!C26,E26=RESULTADOS!E26),2,0)</f>
        <v>0</v>
      </c>
      <c r="Z26" s="33" t="str">
        <f>IF(AND(ISNUMBER(RESULTADOS!C26),ISNUMBER(RESULTADOS!E26),ISNUMBER(C26),ISNUMBER(E26)),IF(OR(AND(C26&gt;E26,RESULTADOS!C26&gt;RESULTADOS!E26),AND(C26&lt;E26,RESULTADOS!C26&lt;RESULTADOS!E26)),1,IF(AND(C26=E26,RESULTADOS!C26=RESULTADOS!E26),2,0)),0)</f>
        <v>0</v>
      </c>
      <c r="AA26" s="33" t="str">
        <f>IF(AND(ISNUMBER(RESULTADOS!C26),ISNUMBER(RESULTADOS!E26),ISNUMBER(C26),ISNUMBER(E26),AND(Z26=1,OR(C26=RESULTADOS!C26,E26=RESULTADOS!E26))),1,0)</f>
        <v>0</v>
      </c>
      <c r="AB26" s="6" t="str">
        <f>IF(
  AND(
    ISNUMBER(RESULTADOS!C26),
    ISNUMBER(RESULTADOS!E26),
    ISNUMBER(C26),
    ISNUMBER(E26),
    AND(Z26=1,AA26=0,(RESULTADOS!C26-RESULTADOS!E26)=(C26-E26))
  ),
  1,
  0
)</f>
        <v>0</v>
      </c>
      <c r="AC26" s="6"/>
      <c r="AD26" s="6"/>
      <c r="AE26" s="6"/>
      <c r="AF26" s="6"/>
      <c r="AG26" s="6"/>
      <c r="AH26" s="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</row>
    <row r="27" ht="13.5" customHeight="1">
      <c r="A27" s="136"/>
      <c r="B27" s="4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136"/>
      <c r="U27" s="2"/>
      <c r="V27" s="2"/>
      <c r="W27" s="2"/>
      <c r="X27" s="5"/>
      <c r="Y27" s="7"/>
      <c r="Z27" s="7"/>
      <c r="AA27" s="7"/>
      <c r="AB27" s="6"/>
      <c r="AC27" s="6"/>
      <c r="AD27" s="6"/>
      <c r="AE27" s="6"/>
      <c r="AF27" s="6"/>
      <c r="AG27" s="6"/>
      <c r="AH27" s="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</row>
    <row r="28" ht="13.5" customHeight="1">
      <c r="A28" s="136"/>
      <c r="B28" s="15" t="s">
        <v>88</v>
      </c>
      <c r="C28" s="9"/>
      <c r="D28" s="9"/>
      <c r="E28" s="9"/>
      <c r="F28" s="10"/>
      <c r="G28" s="59"/>
      <c r="H28" s="16" t="s">
        <v>28</v>
      </c>
      <c r="I28" s="17" t="s">
        <v>29</v>
      </c>
      <c r="J28" s="18"/>
      <c r="K28" s="59"/>
      <c r="L28" s="59"/>
      <c r="M28" s="59"/>
      <c r="N28" s="59"/>
      <c r="O28" s="59"/>
      <c r="P28" s="59"/>
      <c r="Q28" s="59"/>
      <c r="R28" s="59"/>
      <c r="S28" s="59"/>
      <c r="T28" s="136"/>
      <c r="U28" s="19"/>
      <c r="V28" s="19"/>
      <c r="W28" s="19"/>
      <c r="X28" s="20"/>
      <c r="Y28" s="33"/>
      <c r="Z28" s="33"/>
      <c r="AA28" s="33"/>
      <c r="AB28" s="6"/>
      <c r="AC28" s="6"/>
      <c r="AD28" s="6"/>
      <c r="AE28" s="6"/>
      <c r="AF28" s="6"/>
      <c r="AG28" s="6"/>
      <c r="AH28" s="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</row>
    <row r="29" ht="13.5" customHeight="1">
      <c r="A29" s="136"/>
      <c r="B29" s="21" t="s">
        <v>89</v>
      </c>
      <c r="C29" s="22">
        <v>2.0</v>
      </c>
      <c r="D29" s="19" t="s">
        <v>31</v>
      </c>
      <c r="E29" s="23">
        <v>1.0</v>
      </c>
      <c r="F29" s="24" t="s">
        <v>90</v>
      </c>
      <c r="G29" s="59"/>
      <c r="H29" s="25">
        <v>46185.0</v>
      </c>
      <c r="I29" s="26">
        <v>0.916666666666667</v>
      </c>
      <c r="J29" s="27"/>
      <c r="K29" s="28"/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37</v>
      </c>
      <c r="Q29" s="29" t="s">
        <v>38</v>
      </c>
      <c r="R29" s="30" t="s">
        <v>39</v>
      </c>
      <c r="S29" s="31"/>
      <c r="T29" s="32" t="str">
        <f t="shared" ref="T29:T34" si="40">IF(NOT(AND(ISNUMBER(C29),ISNUMBER(E29))),"XXX","")</f>
        <v/>
      </c>
      <c r="U29" s="19" t="str">
        <f t="shared" ref="U29:U34" si="41">SUM(Y29,Z29,AA29, AB29)</f>
        <v>2</v>
      </c>
      <c r="Y29" s="33" t="str">
        <f>IF(AND(ISNUMBER(RESULTADOS!C29),ISNUMBER(RESULTADOS!E29),ISNUMBER(C29),ISNUMBER(E29),C29=RESULTADOS!C29,E29=RESULTADOS!E29),2,0)</f>
        <v>0</v>
      </c>
      <c r="Z29" s="33" t="str">
        <f>IF(AND(ISNUMBER(RESULTADOS!C29),ISNUMBER(RESULTADOS!E29),ISNUMBER(C29),ISNUMBER(E29)),IF(OR(AND(C29&gt;E29,RESULTADOS!C29&gt;RESULTADOS!E29),AND(C29&lt;E29,RESULTADOS!C29&lt;RESULTADOS!E29)),1,IF(AND(C29=E29,RESULTADOS!C29=RESULTADOS!E29),2,0)),0)</f>
        <v>1</v>
      </c>
      <c r="AA29" s="33" t="str">
        <f>IF(AND(ISNUMBER(RESULTADOS!C29),ISNUMBER(RESULTADOS!E29),ISNUMBER(C29),ISNUMBER(E29),AND(Z29=1,OR(C29=RESULTADOS!C29,E29=RESULTADOS!E29))),1,0)</f>
        <v>1</v>
      </c>
      <c r="AB29" s="6" t="str">
        <f>IF(
  AND(
    ISNUMBER(RESULTADOS!C29),
    ISNUMBER(RESULTADOS!E29),
    ISNUMBER(C29),
    ISNUMBER(E29),
    AND(Z29=1,AA29=0,(RESULTADOS!C29-RESULTADOS!E29)=(C29-E29))
  ),
  1,
  0
)</f>
        <v>0</v>
      </c>
      <c r="AC29" s="6"/>
      <c r="AD29" s="6"/>
      <c r="AE29" s="6"/>
      <c r="AF29" s="6"/>
      <c r="AG29" s="6"/>
      <c r="AH29" s="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</row>
    <row r="30" ht="13.5" customHeight="1">
      <c r="A30" s="136"/>
      <c r="B30" s="21" t="s">
        <v>91</v>
      </c>
      <c r="C30" s="22"/>
      <c r="D30" s="19" t="s">
        <v>31</v>
      </c>
      <c r="E30" s="23"/>
      <c r="F30" s="24" t="s">
        <v>92</v>
      </c>
      <c r="G30" s="59"/>
      <c r="H30" s="25">
        <v>46187.0</v>
      </c>
      <c r="I30" s="26">
        <v>0.0416666666666667</v>
      </c>
      <c r="J30" s="27"/>
      <c r="K30" s="35" t="s">
        <v>91</v>
      </c>
      <c r="L30" s="19" t="str">
        <f t="shared" ref="L30:L33" si="43">SUM(IF(AND(ISNUMBER(INDIRECT($AC30)),INDIRECT($AC30)&gt;INDIRECT($AF30)),3,IF(AND(ISNUMBER(INDIRECT($AC30)),INDIRECT($AC30)=INDIRECT($AF30)),1,0)),IF(AND(ISNUMBER(INDIRECT($AD30)),INDIRECT($AD30)&gt;INDIRECT($AG30)),3,IF(AND(ISNUMBER(INDIRECT($AD30)),INDIRECT($AD30)=INDIRECT($AG30)),1,0)),IF(AND(ISNUMBER(INDIRECT($AE30)),INDIRECT($AE30)&gt;INDIRECT($AH30)),3,IF(AND(ISNUMBER(INDIRECT($AE30)),INDIRECT($AE30)=INDIRECT($AH30)),1,0)))</f>
        <v>1</v>
      </c>
      <c r="M30" s="19" t="str">
        <f t="shared" ref="M30:M33" si="44">N30-O30</f>
        <v>-2</v>
      </c>
      <c r="N30" s="19" t="str">
        <f t="shared" ref="N30:N33" si="45">SUM(INDIRECT($AC30),INDIRECT($AD30),INDIRECT($AE30))</f>
        <v>1</v>
      </c>
      <c r="O30" s="19" t="str">
        <f t="shared" ref="O30:O33" si="46">SUM(INDIRECT($AF30),INDIRECT($AG30),INDIRECT($AH30))</f>
        <v>3</v>
      </c>
      <c r="P30" s="19" t="str">
        <f t="shared" ref="P30:P33" si="47">SUM(IF(AND(ISNUMBER(INDIRECT($AC30)),INDIRECT($AC30)&gt;INDIRECT($AF30)),1,0),IF(AND(ISNUMBER(INDIRECT($AD30)),INDIRECT($AD30)&gt;INDIRECT($AG30)),1,0),IF(AND(ISNUMBER(INDIRECT($AE30)),INDIRECT($AE30)&gt;INDIRECT($AH30)),1,0))</f>
        <v>0</v>
      </c>
      <c r="Q30" s="19" t="str">
        <f t="shared" ref="Q30:Q33" si="48">SUM(IF(AND(ISNUMBER(INDIRECT($AC30)),INDIRECT($AC30)=INDIRECT($AF30)),1,0),IF(AND(ISNUMBER(INDIRECT($AD30)),INDIRECT($AD30)=INDIRECT($AG30)),1,0),IF(AND(ISNUMBER(INDIRECT($AE30)),INDIRECT($AE30)=INDIRECT($AH30)),1,0))</f>
        <v>1</v>
      </c>
      <c r="R30" s="36" t="str">
        <f t="shared" ref="R30:R33" si="49">SUM(IF(AND(ISNUMBER(INDIRECT($AC30)),INDIRECT($AC30)&lt;INDIRECT($AF30)),1,0),IF(AND(ISNUMBER(INDIRECT($AD30)),INDIRECT($AD30)&lt;INDIRECT($AG30)),1,0),IF(AND(ISNUMBER(INDIRECT($AE30)),INDIRECT($AE30)&lt;INDIRECT($AH30)),1,0))</f>
        <v>1</v>
      </c>
      <c r="S30" s="31"/>
      <c r="T30" s="32" t="str">
        <f t="shared" si="40"/>
        <v>XXX</v>
      </c>
      <c r="U30" s="19" t="str">
        <f t="shared" si="41"/>
        <v>0</v>
      </c>
      <c r="Y30" s="33" t="str">
        <f>IF(AND(ISNUMBER(RESULTADOS!C30),ISNUMBER(RESULTADOS!E30),ISNUMBER(C30),ISNUMBER(E30),C30=RESULTADOS!C30,E30=RESULTADOS!E30),2,0)</f>
        <v>0</v>
      </c>
      <c r="Z30" s="33" t="str">
        <f>IF(AND(ISNUMBER(RESULTADOS!C30),ISNUMBER(RESULTADOS!E30),ISNUMBER(C30),ISNUMBER(E30)),IF(OR(AND(C30&gt;E30,RESULTADOS!C30&gt;RESULTADOS!E30),AND(C30&lt;E30,RESULTADOS!C30&lt;RESULTADOS!E30)),1,IF(AND(C30=E30,RESULTADOS!C30=RESULTADOS!E30),2,0)),0)</f>
        <v>0</v>
      </c>
      <c r="AA30" s="33" t="str">
        <f>IF(AND(ISNUMBER(RESULTADOS!C30),ISNUMBER(RESULTADOS!E30),ISNUMBER(C30),ISNUMBER(E30),AND(Z30=1,OR(C30=RESULTADOS!C30,E30=RESULTADOS!E30))),1,0)</f>
        <v>0</v>
      </c>
      <c r="AB30" s="6" t="str">
        <f>IF(
  AND(
    ISNUMBER(RESULTADOS!C30),
    ISNUMBER(RESULTADOS!E30),
    ISNUMBER(C30),
    ISNUMBER(E30),
    AND(Z30=1,AA30=0,(RESULTADOS!C30-RESULTADOS!E30)=(C30-E30))
  ),
  1,
  0
)</f>
        <v>0</v>
      </c>
      <c r="AC30" s="6" t="s">
        <v>93</v>
      </c>
      <c r="AD30" s="6" t="s">
        <v>94</v>
      </c>
      <c r="AE30" s="6" t="s">
        <v>95</v>
      </c>
      <c r="AF30" s="6" t="str">
        <f t="shared" ref="AF30:AH30" si="42">IF(ISNUMBER(FIND("C", AC30, 1)), SUBSTITUTE(AC30, "C", "E"), SUBSTITUTE(AC30, "E", "C"))</f>
        <v>E30</v>
      </c>
      <c r="AG30" s="6" t="str">
        <f t="shared" si="42"/>
        <v>C31</v>
      </c>
      <c r="AH30" s="6" t="str">
        <f t="shared" si="42"/>
        <v>C34</v>
      </c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</row>
    <row r="31" ht="12.75" customHeight="1">
      <c r="A31" s="136"/>
      <c r="B31" s="21" t="s">
        <v>89</v>
      </c>
      <c r="C31" s="22">
        <v>2.0</v>
      </c>
      <c r="D31" s="19" t="s">
        <v>31</v>
      </c>
      <c r="E31" s="23">
        <v>0.0</v>
      </c>
      <c r="F31" s="24" t="s">
        <v>91</v>
      </c>
      <c r="G31" s="59"/>
      <c r="H31" s="25">
        <v>46192.0</v>
      </c>
      <c r="I31" s="26">
        <v>0.666666666666667</v>
      </c>
      <c r="J31" s="27"/>
      <c r="K31" s="35" t="s">
        <v>89</v>
      </c>
      <c r="L31" s="19" t="str">
        <f t="shared" si="43"/>
        <v>9</v>
      </c>
      <c r="M31" s="19" t="str">
        <f t="shared" si="44"/>
        <v>5</v>
      </c>
      <c r="N31" s="19" t="str">
        <f t="shared" si="45"/>
        <v>7</v>
      </c>
      <c r="O31" s="19" t="str">
        <f t="shared" si="46"/>
        <v>2</v>
      </c>
      <c r="P31" s="19" t="str">
        <f t="shared" si="47"/>
        <v>3</v>
      </c>
      <c r="Q31" s="19" t="str">
        <f t="shared" si="48"/>
        <v>0</v>
      </c>
      <c r="R31" s="36" t="str">
        <f t="shared" si="49"/>
        <v>0</v>
      </c>
      <c r="S31" s="59"/>
      <c r="T31" s="32" t="str">
        <f t="shared" si="40"/>
        <v/>
      </c>
      <c r="U31" s="19" t="str">
        <f t="shared" si="41"/>
        <v>0</v>
      </c>
      <c r="Y31" s="33" t="str">
        <f>IF(AND(ISNUMBER(RESULTADOS!C31),ISNUMBER(RESULTADOS!E31),ISNUMBER(C31),ISNUMBER(E31),C31=RESULTADOS!C31,E31=RESULTADOS!E31),2,0)</f>
        <v>0</v>
      </c>
      <c r="Z31" s="33" t="str">
        <f>IF(AND(ISNUMBER(RESULTADOS!C31),ISNUMBER(RESULTADOS!E31),ISNUMBER(C31),ISNUMBER(E31)),IF(OR(AND(C31&gt;E31,RESULTADOS!C31&gt;RESULTADOS!E31),AND(C31&lt;E31,RESULTADOS!C31&lt;RESULTADOS!E31)),1,IF(AND(C31=E31,RESULTADOS!C31=RESULTADOS!E31),2,0)),0)</f>
        <v>0</v>
      </c>
      <c r="AA31" s="33" t="str">
        <f>IF(AND(ISNUMBER(RESULTADOS!C31),ISNUMBER(RESULTADOS!E31),ISNUMBER(C31),ISNUMBER(E31),AND(Z31=1,OR(C31=RESULTADOS!C31,E31=RESULTADOS!E31))),1,0)</f>
        <v>0</v>
      </c>
      <c r="AB31" s="6" t="str">
        <f>IF(
  AND(
    ISNUMBER(RESULTADOS!C31),
    ISNUMBER(RESULTADOS!E31),
    ISNUMBER(C31),
    ISNUMBER(E31),
    AND(Z31=1,AA31=0,(RESULTADOS!C31-RESULTADOS!E31)=(C31-E31))
  ),
  1,
  0
)</f>
        <v>0</v>
      </c>
      <c r="AC31" s="6" t="s">
        <v>96</v>
      </c>
      <c r="AD31" s="6" t="s">
        <v>97</v>
      </c>
      <c r="AE31" s="6" t="s">
        <v>98</v>
      </c>
      <c r="AF31" s="6" t="str">
        <f t="shared" ref="AF31:AH31" si="50">IF(ISNUMBER(FIND("C", AC31, 1)), SUBSTITUTE(AC31, "C", "E"), SUBSTITUTE(AC31, "E", "C"))</f>
        <v>E29</v>
      </c>
      <c r="AG31" s="6" t="str">
        <f t="shared" si="50"/>
        <v>E31</v>
      </c>
      <c r="AH31" s="6" t="str">
        <f t="shared" si="50"/>
        <v>C33</v>
      </c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</row>
    <row r="32" ht="12.75" customHeight="1">
      <c r="A32" s="136"/>
      <c r="B32" s="21" t="s">
        <v>92</v>
      </c>
      <c r="C32" s="22">
        <v>1.0</v>
      </c>
      <c r="D32" s="19" t="s">
        <v>31</v>
      </c>
      <c r="E32" s="23">
        <v>2.0</v>
      </c>
      <c r="F32" s="24" t="s">
        <v>90</v>
      </c>
      <c r="G32" s="59"/>
      <c r="H32" s="25">
        <v>46193.0</v>
      </c>
      <c r="I32" s="26">
        <v>0.0416666666666667</v>
      </c>
      <c r="J32" s="27"/>
      <c r="K32" s="35" t="s">
        <v>90</v>
      </c>
      <c r="L32" s="19" t="str">
        <f t="shared" si="43"/>
        <v>4</v>
      </c>
      <c r="M32" s="19" t="str">
        <f t="shared" si="44"/>
        <v>0</v>
      </c>
      <c r="N32" s="19" t="str">
        <f t="shared" si="45"/>
        <v>4</v>
      </c>
      <c r="O32" s="19" t="str">
        <f t="shared" si="46"/>
        <v>4</v>
      </c>
      <c r="P32" s="19" t="str">
        <f t="shared" si="47"/>
        <v>1</v>
      </c>
      <c r="Q32" s="19" t="str">
        <f t="shared" si="48"/>
        <v>1</v>
      </c>
      <c r="R32" s="36" t="str">
        <f t="shared" si="49"/>
        <v>1</v>
      </c>
      <c r="S32" s="59"/>
      <c r="T32" s="32" t="str">
        <f t="shared" si="40"/>
        <v/>
      </c>
      <c r="U32" s="19" t="str">
        <f t="shared" si="41"/>
        <v>0</v>
      </c>
      <c r="Y32" s="33" t="str">
        <f>IF(AND(ISNUMBER(RESULTADOS!C32),ISNUMBER(RESULTADOS!E32),ISNUMBER(C32),ISNUMBER(E32),C32=RESULTADOS!C32,E32=RESULTADOS!E32),2,0)</f>
        <v>0</v>
      </c>
      <c r="Z32" s="33" t="str">
        <f>IF(AND(ISNUMBER(RESULTADOS!C32),ISNUMBER(RESULTADOS!E32),ISNUMBER(C32),ISNUMBER(E32)),IF(OR(AND(C32&gt;E32,RESULTADOS!C32&gt;RESULTADOS!E32),AND(C32&lt;E32,RESULTADOS!C32&lt;RESULTADOS!E32)),1,IF(AND(C32=E32,RESULTADOS!C32=RESULTADOS!E32),2,0)),0)</f>
        <v>0</v>
      </c>
      <c r="AA32" s="33" t="str">
        <f>IF(AND(ISNUMBER(RESULTADOS!C32),ISNUMBER(RESULTADOS!E32),ISNUMBER(C32),ISNUMBER(E32),AND(Z32=1,OR(C32=RESULTADOS!C32,E32=RESULTADOS!E32))),1,0)</f>
        <v>0</v>
      </c>
      <c r="AB32" s="6" t="str">
        <f>IF(
  AND(
    ISNUMBER(RESULTADOS!C32),
    ISNUMBER(RESULTADOS!E32),
    ISNUMBER(C32),
    ISNUMBER(E32),
    AND(Z32=1,AA32=0,(RESULTADOS!C32-RESULTADOS!E32)=(C32-E32))
  ),
  1,
  0
)</f>
        <v>0</v>
      </c>
      <c r="AC32" s="6" t="s">
        <v>99</v>
      </c>
      <c r="AD32" s="6" t="s">
        <v>100</v>
      </c>
      <c r="AE32" s="6" t="s">
        <v>95</v>
      </c>
      <c r="AF32" s="6" t="str">
        <f t="shared" ref="AF32:AH32" si="51">IF(ISNUMBER(FIND("C", AC32, 1)), SUBSTITUTE(AC32, "C", "E"), SUBSTITUTE(AC32, "E", "C"))</f>
        <v>C29</v>
      </c>
      <c r="AG32" s="6" t="str">
        <f t="shared" si="51"/>
        <v>C32</v>
      </c>
      <c r="AH32" s="6" t="str">
        <f t="shared" si="51"/>
        <v>C34</v>
      </c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</row>
    <row r="33" ht="12.75" customHeight="1">
      <c r="A33" s="136"/>
      <c r="B33" s="21" t="s">
        <v>92</v>
      </c>
      <c r="C33" s="22">
        <v>1.0</v>
      </c>
      <c r="D33" s="19" t="s">
        <v>31</v>
      </c>
      <c r="E33" s="23">
        <v>3.0</v>
      </c>
      <c r="F33" s="24" t="s">
        <v>89</v>
      </c>
      <c r="G33" s="59"/>
      <c r="H33" s="25">
        <v>46198.0</v>
      </c>
      <c r="I33" s="26">
        <v>0.958333333333333</v>
      </c>
      <c r="J33" s="27"/>
      <c r="K33" s="37" t="s">
        <v>92</v>
      </c>
      <c r="L33" s="38" t="str">
        <f t="shared" si="43"/>
        <v>0</v>
      </c>
      <c r="M33" s="38" t="str">
        <f t="shared" si="44"/>
        <v>-3</v>
      </c>
      <c r="N33" s="38" t="str">
        <f t="shared" si="45"/>
        <v>2</v>
      </c>
      <c r="O33" s="38" t="str">
        <f t="shared" si="46"/>
        <v>5</v>
      </c>
      <c r="P33" s="38" t="str">
        <f t="shared" si="47"/>
        <v>0</v>
      </c>
      <c r="Q33" s="38" t="str">
        <f t="shared" si="48"/>
        <v>0</v>
      </c>
      <c r="R33" s="39" t="str">
        <f t="shared" si="49"/>
        <v>2</v>
      </c>
      <c r="S33" s="59"/>
      <c r="T33" s="32" t="str">
        <f t="shared" si="40"/>
        <v/>
      </c>
      <c r="U33" s="19" t="str">
        <f t="shared" si="41"/>
        <v>0</v>
      </c>
      <c r="Y33" s="33" t="str">
        <f>IF(AND(ISNUMBER(RESULTADOS!C33),ISNUMBER(RESULTADOS!E33),ISNUMBER(C33),ISNUMBER(E33),C33=RESULTADOS!C33,E33=RESULTADOS!E33),2,0)</f>
        <v>0</v>
      </c>
      <c r="Z33" s="33" t="str">
        <f>IF(AND(ISNUMBER(RESULTADOS!C33),ISNUMBER(RESULTADOS!E33),ISNUMBER(C33),ISNUMBER(E33)),IF(OR(AND(C33&gt;E33,RESULTADOS!C33&gt;RESULTADOS!E33),AND(C33&lt;E33,RESULTADOS!C33&lt;RESULTADOS!E33)),1,IF(AND(C33=E33,RESULTADOS!C33=RESULTADOS!E33),2,0)),0)</f>
        <v>0</v>
      </c>
      <c r="AA33" s="33" t="str">
        <f>IF(AND(ISNUMBER(RESULTADOS!C33),ISNUMBER(RESULTADOS!E33),ISNUMBER(C33),ISNUMBER(E33),AND(Z33=1,OR(C33=RESULTADOS!C33,E33=RESULTADOS!E33))),1,0)</f>
        <v>0</v>
      </c>
      <c r="AB33" s="6" t="str">
        <f>IF(
  AND(
    ISNUMBER(RESULTADOS!C33),
    ISNUMBER(RESULTADOS!E33),
    ISNUMBER(C33),
    ISNUMBER(E33),
    AND(Z33=1,AA33=0,(RESULTADOS!C33-RESULTADOS!E33)=(C33-E33))
  ),
  1,
  0
)</f>
        <v>0</v>
      </c>
      <c r="AC33" s="6" t="s">
        <v>101</v>
      </c>
      <c r="AD33" s="6" t="s">
        <v>102</v>
      </c>
      <c r="AE33" s="6" t="s">
        <v>103</v>
      </c>
      <c r="AF33" s="6" t="str">
        <f t="shared" ref="AF33:AH33" si="52">IF(ISNUMBER(FIND("C", AC33, 1)), SUBSTITUTE(AC33, "C", "E"), SUBSTITUTE(AC33, "E", "C"))</f>
        <v>C30</v>
      </c>
      <c r="AG33" s="6" t="str">
        <f t="shared" si="52"/>
        <v>E32</v>
      </c>
      <c r="AH33" s="6" t="str">
        <f t="shared" si="52"/>
        <v>E33</v>
      </c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</row>
    <row r="34" ht="13.5" customHeight="1">
      <c r="A34" s="136"/>
      <c r="B34" s="40" t="s">
        <v>90</v>
      </c>
      <c r="C34" s="41">
        <v>1.0</v>
      </c>
      <c r="D34" s="38" t="s">
        <v>31</v>
      </c>
      <c r="E34" s="42">
        <v>1.0</v>
      </c>
      <c r="F34" s="48" t="s">
        <v>91</v>
      </c>
      <c r="G34" s="59"/>
      <c r="H34" s="44">
        <v>46198.0</v>
      </c>
      <c r="I34" s="45">
        <v>0.958333333333333</v>
      </c>
      <c r="J34" s="27"/>
      <c r="K34" s="46"/>
      <c r="L34" s="136"/>
      <c r="M34" s="136"/>
      <c r="N34" s="136"/>
      <c r="O34" s="136"/>
      <c r="P34" s="136"/>
      <c r="Q34" s="136"/>
      <c r="R34" s="136"/>
      <c r="S34" s="59"/>
      <c r="T34" s="32" t="str">
        <f t="shared" si="40"/>
        <v/>
      </c>
      <c r="U34" s="19" t="str">
        <f t="shared" si="41"/>
        <v>0</v>
      </c>
      <c r="Y34" s="33" t="str">
        <f>IF(AND(ISNUMBER(RESULTADOS!C34),ISNUMBER(RESULTADOS!E34),ISNUMBER(C34),ISNUMBER(E34),C34=RESULTADOS!C34,E34=RESULTADOS!E34),2,0)</f>
        <v>0</v>
      </c>
      <c r="Z34" s="33" t="str">
        <f>IF(AND(ISNUMBER(RESULTADOS!C34),ISNUMBER(RESULTADOS!E34),ISNUMBER(C34),ISNUMBER(E34)),IF(OR(AND(C34&gt;E34,RESULTADOS!C34&gt;RESULTADOS!E34),AND(C34&lt;E34,RESULTADOS!C34&lt;RESULTADOS!E34)),1,IF(AND(C34=E34,RESULTADOS!C34=RESULTADOS!E34),2,0)),0)</f>
        <v>0</v>
      </c>
      <c r="AA34" s="33" t="str">
        <f>IF(AND(ISNUMBER(RESULTADOS!C34),ISNUMBER(RESULTADOS!E34),ISNUMBER(C34),ISNUMBER(E34),AND(Z34=1,OR(C34=RESULTADOS!C34,E34=RESULTADOS!E34))),1,0)</f>
        <v>0</v>
      </c>
      <c r="AB34" s="6" t="str">
        <f>IF(
  AND(
    ISNUMBER(RESULTADOS!C34),
    ISNUMBER(RESULTADOS!E34),
    ISNUMBER(C34),
    ISNUMBER(E34),
    AND(Z34=1,AA34=0,(RESULTADOS!C34-RESULTADOS!E34)=(C34-E34))
  ),
  1,
  0
)</f>
        <v>0</v>
      </c>
      <c r="AC34" s="6"/>
      <c r="AD34" s="6"/>
      <c r="AE34" s="6"/>
      <c r="AF34" s="6"/>
      <c r="AG34" s="6"/>
      <c r="AH34" s="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</row>
    <row r="35" ht="13.5" customHeight="1">
      <c r="A35" s="136"/>
      <c r="B35" s="4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136"/>
      <c r="U35" s="2"/>
      <c r="V35" s="2"/>
      <c r="W35" s="2"/>
      <c r="X35" s="5"/>
      <c r="Y35" s="7"/>
      <c r="Z35" s="7"/>
      <c r="AA35" s="7"/>
      <c r="AB35" s="6"/>
      <c r="AC35" s="6"/>
      <c r="AD35" s="6"/>
      <c r="AE35" s="6"/>
      <c r="AF35" s="6"/>
      <c r="AG35" s="6"/>
      <c r="AH35" s="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</row>
    <row r="36" ht="13.5" customHeight="1">
      <c r="A36" s="136"/>
      <c r="B36" s="15" t="s">
        <v>104</v>
      </c>
      <c r="C36" s="9"/>
      <c r="D36" s="9"/>
      <c r="E36" s="9"/>
      <c r="F36" s="10"/>
      <c r="G36" s="59"/>
      <c r="H36" s="16" t="s">
        <v>28</v>
      </c>
      <c r="I36" s="17" t="s">
        <v>29</v>
      </c>
      <c r="J36" s="18"/>
      <c r="K36" s="59"/>
      <c r="L36" s="59"/>
      <c r="M36" s="59"/>
      <c r="N36" s="59"/>
      <c r="O36" s="59"/>
      <c r="P36" s="59"/>
      <c r="Q36" s="59"/>
      <c r="R36" s="59"/>
      <c r="S36" s="59"/>
      <c r="T36" s="136"/>
      <c r="U36" s="19"/>
      <c r="V36" s="19"/>
      <c r="W36" s="19"/>
      <c r="X36" s="20"/>
      <c r="Y36" s="33"/>
      <c r="Z36" s="33"/>
      <c r="AA36" s="33"/>
      <c r="AB36" s="6"/>
      <c r="AC36" s="6"/>
      <c r="AD36" s="6"/>
      <c r="AE36" s="6"/>
      <c r="AF36" s="6"/>
      <c r="AG36" s="6"/>
      <c r="AH36" s="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</row>
    <row r="37" ht="13.5" customHeight="1">
      <c r="A37" s="136"/>
      <c r="B37" s="21" t="s">
        <v>105</v>
      </c>
      <c r="C37" s="22"/>
      <c r="D37" s="19" t="s">
        <v>31</v>
      </c>
      <c r="E37" s="23"/>
      <c r="F37" s="34" t="s">
        <v>106</v>
      </c>
      <c r="G37" s="59"/>
      <c r="H37" s="25">
        <v>46187.0</v>
      </c>
      <c r="I37" s="26">
        <v>0.583333333333333</v>
      </c>
      <c r="J37" s="27"/>
      <c r="K37" s="28"/>
      <c r="L37" s="29" t="s">
        <v>33</v>
      </c>
      <c r="M37" s="29" t="s">
        <v>34</v>
      </c>
      <c r="N37" s="29" t="s">
        <v>35</v>
      </c>
      <c r="O37" s="29" t="s">
        <v>36</v>
      </c>
      <c r="P37" s="29" t="s">
        <v>37</v>
      </c>
      <c r="Q37" s="29" t="s">
        <v>38</v>
      </c>
      <c r="R37" s="30" t="s">
        <v>39</v>
      </c>
      <c r="S37" s="31"/>
      <c r="T37" s="32" t="str">
        <f t="shared" ref="T37:T42" si="53">IF(NOT(AND(ISNUMBER(C37),ISNUMBER(E37))),"XXX","")</f>
        <v>XXX</v>
      </c>
      <c r="U37" s="19" t="str">
        <f t="shared" ref="U37:U42" si="54">SUM(Y37,Z37,AA37, AB37)</f>
        <v>0</v>
      </c>
      <c r="Y37" s="33" t="str">
        <f>IF(AND(ISNUMBER(RESULTADOS!C37),ISNUMBER(RESULTADOS!E37),ISNUMBER(C37),ISNUMBER(E37),C37=RESULTADOS!C37,E37=RESULTADOS!E37),2,0)</f>
        <v>0</v>
      </c>
      <c r="Z37" s="33" t="str">
        <f>IF(AND(ISNUMBER(RESULTADOS!C37),ISNUMBER(RESULTADOS!E37),ISNUMBER(C37),ISNUMBER(E37)),IF(OR(AND(C37&gt;E37,RESULTADOS!C37&gt;RESULTADOS!E37),AND(C37&lt;E37,RESULTADOS!C37&lt;RESULTADOS!E37)),1,IF(AND(C37=E37,RESULTADOS!C37=RESULTADOS!E37),2,0)),0)</f>
        <v>0</v>
      </c>
      <c r="AA37" s="33" t="str">
        <f>IF(AND(ISNUMBER(RESULTADOS!C37),ISNUMBER(RESULTADOS!E37),ISNUMBER(C37),ISNUMBER(E37),AND(Z37=1,OR(C37=RESULTADOS!C37,E37=RESULTADOS!E37))),1,0)</f>
        <v>0</v>
      </c>
      <c r="AB37" s="6" t="str">
        <f>IF(
  AND(
    ISNUMBER(RESULTADOS!C37),
    ISNUMBER(RESULTADOS!E37),
    ISNUMBER(C37),
    ISNUMBER(E37),
    AND(Z37=1,AA37=0,(RESULTADOS!C37-RESULTADOS!E37)=(C37-E37))
  ),
  1,
  0
)</f>
        <v>0</v>
      </c>
      <c r="AC37" s="6"/>
      <c r="AD37" s="6"/>
      <c r="AE37" s="6"/>
      <c r="AF37" s="6"/>
      <c r="AG37" s="6"/>
      <c r="AH37" s="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</row>
    <row r="38" ht="13.5" customHeight="1">
      <c r="A38" s="136"/>
      <c r="B38" s="21" t="s">
        <v>107</v>
      </c>
      <c r="C38" s="22"/>
      <c r="D38" s="19" t="s">
        <v>31</v>
      </c>
      <c r="E38" s="23"/>
      <c r="F38" s="34" t="s">
        <v>108</v>
      </c>
      <c r="G38" s="59"/>
      <c r="H38" s="25">
        <v>46187.0</v>
      </c>
      <c r="I38" s="26">
        <v>0.833333333333333</v>
      </c>
      <c r="J38" s="27"/>
      <c r="K38" s="49" t="s">
        <v>105</v>
      </c>
      <c r="L38" s="19" t="str">
        <f t="shared" ref="L38:L41" si="56">SUM(IF(AND(ISNUMBER(INDIRECT($AC38)),INDIRECT($AC38)&gt;INDIRECT($AF38)),3,IF(AND(ISNUMBER(INDIRECT($AC38)),INDIRECT($AC38)=INDIRECT($AF38)),1,0)),IF(AND(ISNUMBER(INDIRECT($AD38)),INDIRECT($AD38)&gt;INDIRECT($AG38)),3,IF(AND(ISNUMBER(INDIRECT($AD38)),INDIRECT($AD38)=INDIRECT($AG38)),1,0)),IF(AND(ISNUMBER(INDIRECT($AE38)),INDIRECT($AE38)&gt;INDIRECT($AH38)),3,IF(AND(ISNUMBER(INDIRECT($AE38)),INDIRECT($AE38)=INDIRECT($AH38)),1,0)))</f>
        <v>6</v>
      </c>
      <c r="M38" s="19" t="str">
        <f t="shared" ref="M38:M41" si="57">N38-O38</f>
        <v>5</v>
      </c>
      <c r="N38" s="19" t="str">
        <f t="shared" ref="N38:N41" si="58">SUM(INDIRECT($AC38),INDIRECT($AD38),INDIRECT($AE38))</f>
        <v>6</v>
      </c>
      <c r="O38" s="19" t="str">
        <f t="shared" ref="O38:O41" si="59">SUM(INDIRECT($AF38),INDIRECT($AG38),INDIRECT($AH38))</f>
        <v>1</v>
      </c>
      <c r="P38" s="19" t="str">
        <f t="shared" ref="P38:P41" si="60">SUM(IF(AND(ISNUMBER(INDIRECT($AC38)),INDIRECT($AC38)&gt;INDIRECT($AF38)),1,0),IF(AND(ISNUMBER(INDIRECT($AD38)),INDIRECT($AD38)&gt;INDIRECT($AG38)),1,0),IF(AND(ISNUMBER(INDIRECT($AE38)),INDIRECT($AE38)&gt;INDIRECT($AH38)),1,0))</f>
        <v>2</v>
      </c>
      <c r="Q38" s="19" t="str">
        <f t="shared" ref="Q38:Q41" si="61">SUM(IF(AND(ISNUMBER(INDIRECT($AC38)),INDIRECT($AC38)=INDIRECT($AF38)),1,0),IF(AND(ISNUMBER(INDIRECT($AD38)),INDIRECT($AD38)=INDIRECT($AG38)),1,0),IF(AND(ISNUMBER(INDIRECT($AE38)),INDIRECT($AE38)=INDIRECT($AH38)),1,0))</f>
        <v>0</v>
      </c>
      <c r="R38" s="36" t="str">
        <f t="shared" ref="R38:R41" si="62">SUM(IF(AND(ISNUMBER(INDIRECT($AC38)),INDIRECT($AC38)&lt;INDIRECT($AF38)),1,0),IF(AND(ISNUMBER(INDIRECT($AD38)),INDIRECT($AD38)&lt;INDIRECT($AG38)),1,0),IF(AND(ISNUMBER(INDIRECT($AE38)),INDIRECT($AE38)&lt;INDIRECT($AH38)),1,0))</f>
        <v>0</v>
      </c>
      <c r="S38" s="31"/>
      <c r="T38" s="32" t="str">
        <f t="shared" si="53"/>
        <v>XXX</v>
      </c>
      <c r="U38" s="19" t="str">
        <f t="shared" si="54"/>
        <v>0</v>
      </c>
      <c r="Y38" s="33" t="str">
        <f>IF(AND(ISNUMBER(RESULTADOS!C38),ISNUMBER(RESULTADOS!E38),ISNUMBER(C38),ISNUMBER(E38),C38=RESULTADOS!C38,E38=RESULTADOS!E38),2,0)</f>
        <v>0</v>
      </c>
      <c r="Z38" s="33" t="str">
        <f>IF(AND(ISNUMBER(RESULTADOS!C38),ISNUMBER(RESULTADOS!E38),ISNUMBER(C38),ISNUMBER(E38)),IF(OR(AND(C38&gt;E38,RESULTADOS!C38&gt;RESULTADOS!E38),AND(C38&lt;E38,RESULTADOS!C38&lt;RESULTADOS!E38)),1,IF(AND(C38=E38,RESULTADOS!C38=RESULTADOS!E38),2,0)),0)</f>
        <v>0</v>
      </c>
      <c r="AA38" s="33" t="str">
        <f>IF(AND(ISNUMBER(RESULTADOS!C38),ISNUMBER(RESULTADOS!E38),ISNUMBER(C38),ISNUMBER(E38),AND(Z38=1,OR(C38=RESULTADOS!C38,E38=RESULTADOS!E38))),1,0)</f>
        <v>0</v>
      </c>
      <c r="AB38" s="6" t="str">
        <f>IF(
  AND(
    ISNUMBER(RESULTADOS!C38),
    ISNUMBER(RESULTADOS!E38),
    ISNUMBER(C38),
    ISNUMBER(E38),
    AND(Z38=1,AA38=0,(RESULTADOS!C38-RESULTADOS!E38)=(C38-E38))
  ),
  1,
  0
)</f>
        <v>0</v>
      </c>
      <c r="AC38" s="6" t="s">
        <v>109</v>
      </c>
      <c r="AD38" s="6" t="s">
        <v>110</v>
      </c>
      <c r="AE38" s="6" t="s">
        <v>111</v>
      </c>
      <c r="AF38" s="6" t="str">
        <f t="shared" ref="AF38:AH38" si="55">IF(ISNUMBER(FIND("C", AC38, 1)), SUBSTITUTE(AC38, "C", "E"), SUBSTITUTE(AC38, "E", "C"))</f>
        <v>E37</v>
      </c>
      <c r="AG38" s="6" t="str">
        <f t="shared" si="55"/>
        <v>E39</v>
      </c>
      <c r="AH38" s="6" t="str">
        <f t="shared" si="55"/>
        <v>C41</v>
      </c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</row>
    <row r="39" ht="12.75" customHeight="1">
      <c r="A39" s="136"/>
      <c r="B39" s="21" t="s">
        <v>105</v>
      </c>
      <c r="C39" s="22">
        <v>3.0</v>
      </c>
      <c r="D39" s="19" t="s">
        <v>31</v>
      </c>
      <c r="E39" s="23">
        <v>1.0</v>
      </c>
      <c r="F39" s="34" t="s">
        <v>107</v>
      </c>
      <c r="G39" s="59"/>
      <c r="H39" s="25">
        <v>46193.0</v>
      </c>
      <c r="I39" s="26">
        <v>0.708333333333333</v>
      </c>
      <c r="J39" s="27"/>
      <c r="K39" s="49" t="s">
        <v>107</v>
      </c>
      <c r="L39" s="19" t="str">
        <f t="shared" si="56"/>
        <v>3</v>
      </c>
      <c r="M39" s="19" t="str">
        <f t="shared" si="57"/>
        <v>0</v>
      </c>
      <c r="N39" s="19" t="str">
        <f t="shared" si="58"/>
        <v>3</v>
      </c>
      <c r="O39" s="19" t="str">
        <f t="shared" si="59"/>
        <v>3</v>
      </c>
      <c r="P39" s="19" t="str">
        <f t="shared" si="60"/>
        <v>1</v>
      </c>
      <c r="Q39" s="19" t="str">
        <f t="shared" si="61"/>
        <v>0</v>
      </c>
      <c r="R39" s="36" t="str">
        <f t="shared" si="62"/>
        <v>1</v>
      </c>
      <c r="S39" s="59"/>
      <c r="T39" s="32" t="str">
        <f t="shared" si="53"/>
        <v/>
      </c>
      <c r="U39" s="19" t="str">
        <f t="shared" si="54"/>
        <v>0</v>
      </c>
      <c r="Y39" s="33" t="str">
        <f>IF(AND(ISNUMBER(RESULTADOS!C39),ISNUMBER(RESULTADOS!E39),ISNUMBER(C39),ISNUMBER(E39),C39=RESULTADOS!C39,E39=RESULTADOS!E39),2,0)</f>
        <v>0</v>
      </c>
      <c r="Z39" s="33" t="str">
        <f>IF(AND(ISNUMBER(RESULTADOS!C39),ISNUMBER(RESULTADOS!E39),ISNUMBER(C39),ISNUMBER(E39)),IF(OR(AND(C39&gt;E39,RESULTADOS!C39&gt;RESULTADOS!E39),AND(C39&lt;E39,RESULTADOS!C39&lt;RESULTADOS!E39)),1,IF(AND(C39=E39,RESULTADOS!C39=RESULTADOS!E39),2,0)),0)</f>
        <v>0</v>
      </c>
      <c r="AA39" s="33" t="str">
        <f>IF(AND(ISNUMBER(RESULTADOS!C39),ISNUMBER(RESULTADOS!E39),ISNUMBER(C39),ISNUMBER(E39),AND(Z39=1,OR(C39=RESULTADOS!C39,E39=RESULTADOS!E39))),1,0)</f>
        <v>0</v>
      </c>
      <c r="AB39" s="6" t="str">
        <f>IF(
  AND(
    ISNUMBER(RESULTADOS!C39),
    ISNUMBER(RESULTADOS!E39),
    ISNUMBER(C39),
    ISNUMBER(E39),
    AND(Z39=1,AA39=0,(RESULTADOS!C39-RESULTADOS!E39)=(C39-E39))
  ),
  1,
  0
)</f>
        <v>0</v>
      </c>
      <c r="AC39" s="6" t="s">
        <v>112</v>
      </c>
      <c r="AD39" s="6" t="s">
        <v>113</v>
      </c>
      <c r="AE39" s="6" t="s">
        <v>114</v>
      </c>
      <c r="AF39" s="6" t="str">
        <f t="shared" ref="AF39:AH39" si="63">IF(ISNUMBER(FIND("C", AC39, 1)), SUBSTITUTE(AC39, "C", "E"), SUBSTITUTE(AC39, "E", "C"))</f>
        <v>E38</v>
      </c>
      <c r="AG39" s="6" t="str">
        <f t="shared" si="63"/>
        <v>C39</v>
      </c>
      <c r="AH39" s="6" t="str">
        <f t="shared" si="63"/>
        <v>C42</v>
      </c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</row>
    <row r="40" ht="12.75" customHeight="1">
      <c r="A40" s="136"/>
      <c r="B40" s="21" t="s">
        <v>108</v>
      </c>
      <c r="C40" s="22">
        <v>3.0</v>
      </c>
      <c r="D40" s="19" t="s">
        <v>31</v>
      </c>
      <c r="E40" s="23">
        <v>0.0</v>
      </c>
      <c r="F40" s="34" t="s">
        <v>106</v>
      </c>
      <c r="G40" s="59"/>
      <c r="H40" s="25">
        <v>46193.0</v>
      </c>
      <c r="I40" s="26">
        <v>0.875</v>
      </c>
      <c r="J40" s="27"/>
      <c r="K40" s="49" t="s">
        <v>106</v>
      </c>
      <c r="L40" s="19" t="str">
        <f t="shared" si="56"/>
        <v>0</v>
      </c>
      <c r="M40" s="19" t="str">
        <f t="shared" si="57"/>
        <v>-5</v>
      </c>
      <c r="N40" s="19" t="str">
        <f t="shared" si="58"/>
        <v>0</v>
      </c>
      <c r="O40" s="19" t="str">
        <f t="shared" si="59"/>
        <v>5</v>
      </c>
      <c r="P40" s="19" t="str">
        <f t="shared" si="60"/>
        <v>0</v>
      </c>
      <c r="Q40" s="19" t="str">
        <f t="shared" si="61"/>
        <v>0</v>
      </c>
      <c r="R40" s="36" t="str">
        <f t="shared" si="62"/>
        <v>2</v>
      </c>
      <c r="S40" s="59"/>
      <c r="T40" s="32" t="str">
        <f t="shared" si="53"/>
        <v/>
      </c>
      <c r="U40" s="19" t="str">
        <f t="shared" si="54"/>
        <v>0</v>
      </c>
      <c r="Y40" s="33" t="str">
        <f>IF(AND(ISNUMBER(RESULTADOS!C40),ISNUMBER(RESULTADOS!E40),ISNUMBER(C40),ISNUMBER(E40),C40=RESULTADOS!C40,E40=RESULTADOS!E40),2,0)</f>
        <v>0</v>
      </c>
      <c r="Z40" s="33" t="str">
        <f>IF(AND(ISNUMBER(RESULTADOS!C40),ISNUMBER(RESULTADOS!E40),ISNUMBER(C40),ISNUMBER(E40)),IF(OR(AND(C40&gt;E40,RESULTADOS!C40&gt;RESULTADOS!E40),AND(C40&lt;E40,RESULTADOS!C40&lt;RESULTADOS!E40)),1,IF(AND(C40=E40,RESULTADOS!C40=RESULTADOS!E40),2,0)),0)</f>
        <v>0</v>
      </c>
      <c r="AA40" s="33" t="str">
        <f>IF(AND(ISNUMBER(RESULTADOS!C40),ISNUMBER(RESULTADOS!E40),ISNUMBER(C40),ISNUMBER(E40),AND(Z40=1,OR(C40=RESULTADOS!C40,E40=RESULTADOS!E40))),1,0)</f>
        <v>0</v>
      </c>
      <c r="AB40" s="6" t="str">
        <f>IF(
  AND(
    ISNUMBER(RESULTADOS!C40),
    ISNUMBER(RESULTADOS!E40),
    ISNUMBER(C40),
    ISNUMBER(E40),
    AND(Z40=1,AA40=0,(RESULTADOS!C40-RESULTADOS!E40)=(C40-E40))
  ),
  1,
  0
)</f>
        <v>0</v>
      </c>
      <c r="AC40" s="6" t="s">
        <v>115</v>
      </c>
      <c r="AD40" s="6" t="s">
        <v>116</v>
      </c>
      <c r="AE40" s="6" t="s">
        <v>117</v>
      </c>
      <c r="AF40" s="6" t="str">
        <f t="shared" ref="AF40:AH40" si="64">IF(ISNUMBER(FIND("C", AC40, 1)), SUBSTITUTE(AC40, "C", "E"), SUBSTITUTE(AC40, "E", "C"))</f>
        <v>C37</v>
      </c>
      <c r="AG40" s="6" t="str">
        <f t="shared" si="64"/>
        <v>C40</v>
      </c>
      <c r="AH40" s="6" t="str">
        <f t="shared" si="64"/>
        <v>E42</v>
      </c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</row>
    <row r="41" ht="12.75" customHeight="1">
      <c r="A41" s="136"/>
      <c r="B41" s="21" t="s">
        <v>108</v>
      </c>
      <c r="C41" s="22">
        <v>0.0</v>
      </c>
      <c r="D41" s="19" t="s">
        <v>31</v>
      </c>
      <c r="E41" s="23">
        <v>3.0</v>
      </c>
      <c r="F41" s="34" t="s">
        <v>105</v>
      </c>
      <c r="G41" s="59"/>
      <c r="H41" s="25">
        <v>46198.0</v>
      </c>
      <c r="I41" s="26">
        <v>0.708333333333333</v>
      </c>
      <c r="J41" s="27"/>
      <c r="K41" s="50" t="s">
        <v>108</v>
      </c>
      <c r="L41" s="38" t="str">
        <f t="shared" si="56"/>
        <v>3</v>
      </c>
      <c r="M41" s="38" t="str">
        <f t="shared" si="57"/>
        <v>0</v>
      </c>
      <c r="N41" s="38" t="str">
        <f t="shared" si="58"/>
        <v>3</v>
      </c>
      <c r="O41" s="38" t="str">
        <f t="shared" si="59"/>
        <v>3</v>
      </c>
      <c r="P41" s="38" t="str">
        <f t="shared" si="60"/>
        <v>1</v>
      </c>
      <c r="Q41" s="38" t="str">
        <f t="shared" si="61"/>
        <v>0</v>
      </c>
      <c r="R41" s="39" t="str">
        <f t="shared" si="62"/>
        <v>1</v>
      </c>
      <c r="S41" s="59"/>
      <c r="T41" s="32" t="str">
        <f t="shared" si="53"/>
        <v/>
      </c>
      <c r="U41" s="19" t="str">
        <f t="shared" si="54"/>
        <v>0</v>
      </c>
      <c r="Y41" s="33" t="str">
        <f>IF(AND(ISNUMBER(RESULTADOS!C41),ISNUMBER(RESULTADOS!E41),ISNUMBER(C41),ISNUMBER(E41),C41=RESULTADOS!C41,E41=RESULTADOS!E41),2,0)</f>
        <v>0</v>
      </c>
      <c r="Z41" s="33" t="str">
        <f>IF(AND(ISNUMBER(RESULTADOS!C41),ISNUMBER(RESULTADOS!E41),ISNUMBER(C41),ISNUMBER(E41)),IF(OR(AND(C41&gt;E41,RESULTADOS!C41&gt;RESULTADOS!E41),AND(C41&lt;E41,RESULTADOS!C41&lt;RESULTADOS!E41)),1,IF(AND(C41=E41,RESULTADOS!C41=RESULTADOS!E41),2,0)),0)</f>
        <v>0</v>
      </c>
      <c r="AA41" s="33" t="str">
        <f>IF(AND(ISNUMBER(RESULTADOS!C41),ISNUMBER(RESULTADOS!E41),ISNUMBER(C41),ISNUMBER(E41),AND(Z41=1,OR(C41=RESULTADOS!C41,E41=RESULTADOS!E41))),1,0)</f>
        <v>0</v>
      </c>
      <c r="AB41" s="6" t="str">
        <f>IF(
  AND(
    ISNUMBER(RESULTADOS!C41),
    ISNUMBER(RESULTADOS!E41),
    ISNUMBER(C41),
    ISNUMBER(E41),
    AND(Z41=1,AA41=0,(RESULTADOS!C41-RESULTADOS!E41)=(C41-E41))
  ),
  1,
  0
)</f>
        <v>0</v>
      </c>
      <c r="AC41" s="6" t="s">
        <v>118</v>
      </c>
      <c r="AD41" s="6" t="s">
        <v>119</v>
      </c>
      <c r="AE41" s="6" t="s">
        <v>120</v>
      </c>
      <c r="AF41" s="6" t="str">
        <f t="shared" ref="AF41:AH41" si="65">IF(ISNUMBER(FIND("C", AC41, 1)), SUBSTITUTE(AC41, "C", "E"), SUBSTITUTE(AC41, "E", "C"))</f>
        <v>C38</v>
      </c>
      <c r="AG41" s="6" t="str">
        <f t="shared" si="65"/>
        <v>E40</v>
      </c>
      <c r="AH41" s="6" t="str">
        <f t="shared" si="65"/>
        <v>E41</v>
      </c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</row>
    <row r="42" ht="13.5" customHeight="1">
      <c r="A42" s="136"/>
      <c r="B42" s="40" t="s">
        <v>106</v>
      </c>
      <c r="C42" s="41">
        <v>0.0</v>
      </c>
      <c r="D42" s="38" t="s">
        <v>31</v>
      </c>
      <c r="E42" s="42">
        <v>2.0</v>
      </c>
      <c r="F42" s="43" t="s">
        <v>107</v>
      </c>
      <c r="G42" s="59"/>
      <c r="H42" s="44">
        <v>46198.0</v>
      </c>
      <c r="I42" s="45">
        <v>0.708333333333333</v>
      </c>
      <c r="J42" s="27"/>
      <c r="K42" s="46"/>
      <c r="L42" s="136"/>
      <c r="M42" s="136"/>
      <c r="N42" s="136"/>
      <c r="O42" s="136"/>
      <c r="P42" s="136"/>
      <c r="Q42" s="136"/>
      <c r="R42" s="136"/>
      <c r="S42" s="59"/>
      <c r="T42" s="32" t="str">
        <f t="shared" si="53"/>
        <v/>
      </c>
      <c r="U42" s="19" t="str">
        <f t="shared" si="54"/>
        <v>0</v>
      </c>
      <c r="Y42" s="33" t="str">
        <f>IF(AND(ISNUMBER(RESULTADOS!C42),ISNUMBER(RESULTADOS!E42),ISNUMBER(C42),ISNUMBER(E42),C42=RESULTADOS!C42,E42=RESULTADOS!E42),2,0)</f>
        <v>0</v>
      </c>
      <c r="Z42" s="33" t="str">
        <f>IF(AND(ISNUMBER(RESULTADOS!C42),ISNUMBER(RESULTADOS!E42),ISNUMBER(C42),ISNUMBER(E42)),IF(OR(AND(C42&gt;E42,RESULTADOS!C42&gt;RESULTADOS!E42),AND(C42&lt;E42,RESULTADOS!C42&lt;RESULTADOS!E42)),1,IF(AND(C42=E42,RESULTADOS!C42=RESULTADOS!E42),2,0)),0)</f>
        <v>0</v>
      </c>
      <c r="AA42" s="33" t="str">
        <f>IF(AND(ISNUMBER(RESULTADOS!C42),ISNUMBER(RESULTADOS!E42),ISNUMBER(C42),ISNUMBER(E42),AND(Z42=1,OR(C42=RESULTADOS!C42,E42=RESULTADOS!E42))),1,0)</f>
        <v>0</v>
      </c>
      <c r="AB42" s="6" t="str">
        <f>IF(
  AND(
    ISNUMBER(RESULTADOS!C42),
    ISNUMBER(RESULTADOS!E42),
    ISNUMBER(C42),
    ISNUMBER(E42),
    AND(Z42=1,AA42=0,(RESULTADOS!C42-RESULTADOS!E42)=(C42-E42))
  ),
  1,
  0
)</f>
        <v>0</v>
      </c>
      <c r="AC42" s="6"/>
      <c r="AD42" s="6"/>
      <c r="AE42" s="6"/>
      <c r="AF42" s="6"/>
      <c r="AG42" s="6"/>
      <c r="AH42" s="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</row>
    <row r="43" ht="13.5" customHeight="1">
      <c r="A43" s="136"/>
      <c r="B43" s="4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136"/>
      <c r="U43" s="2"/>
      <c r="V43" s="2"/>
      <c r="W43" s="2"/>
      <c r="X43" s="5"/>
      <c r="Y43" s="7"/>
      <c r="Z43" s="7"/>
      <c r="AA43" s="7"/>
      <c r="AB43" s="6"/>
      <c r="AC43" s="6"/>
      <c r="AD43" s="6"/>
      <c r="AE43" s="6"/>
      <c r="AF43" s="6"/>
      <c r="AG43" s="6"/>
      <c r="AH43" s="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</row>
    <row r="44" ht="13.5" customHeight="1">
      <c r="A44" s="136"/>
      <c r="B44" s="15" t="s">
        <v>121</v>
      </c>
      <c r="C44" s="9"/>
      <c r="D44" s="9"/>
      <c r="E44" s="9"/>
      <c r="F44" s="10"/>
      <c r="G44" s="59"/>
      <c r="H44" s="16" t="s">
        <v>28</v>
      </c>
      <c r="I44" s="17" t="s">
        <v>29</v>
      </c>
      <c r="J44" s="18"/>
      <c r="K44" s="59"/>
      <c r="L44" s="59"/>
      <c r="M44" s="59"/>
      <c r="N44" s="59"/>
      <c r="O44" s="59"/>
      <c r="P44" s="59"/>
      <c r="Q44" s="59"/>
      <c r="R44" s="59"/>
      <c r="S44" s="59"/>
      <c r="T44" s="136"/>
      <c r="U44" s="19"/>
      <c r="V44" s="19"/>
      <c r="W44" s="19"/>
      <c r="X44" s="20"/>
      <c r="Y44" s="33"/>
      <c r="Z44" s="33"/>
      <c r="AA44" s="33"/>
      <c r="AB44" s="6"/>
      <c r="AC44" s="6"/>
      <c r="AD44" s="6"/>
      <c r="AE44" s="6"/>
      <c r="AF44" s="6"/>
      <c r="AG44" s="6"/>
      <c r="AH44" s="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</row>
    <row r="45" ht="13.5" customHeight="1">
      <c r="A45" s="136"/>
      <c r="B45" s="21" t="s">
        <v>122</v>
      </c>
      <c r="C45" s="22"/>
      <c r="D45" s="19" t="s">
        <v>31</v>
      </c>
      <c r="E45" s="23"/>
      <c r="F45" s="34" t="s">
        <v>123</v>
      </c>
      <c r="G45" s="59"/>
      <c r="H45" s="25">
        <v>46187.0</v>
      </c>
      <c r="I45" s="26">
        <v>0.708333333333333</v>
      </c>
      <c r="J45" s="27"/>
      <c r="K45" s="28"/>
      <c r="L45" s="29" t="s">
        <v>33</v>
      </c>
      <c r="M45" s="29" t="s">
        <v>34</v>
      </c>
      <c r="N45" s="29" t="s">
        <v>35</v>
      </c>
      <c r="O45" s="29" t="s">
        <v>36</v>
      </c>
      <c r="P45" s="29" t="s">
        <v>37</v>
      </c>
      <c r="Q45" s="29" t="s">
        <v>38</v>
      </c>
      <c r="R45" s="30" t="s">
        <v>39</v>
      </c>
      <c r="S45" s="31"/>
      <c r="T45" s="32" t="str">
        <f t="shared" ref="T45:T50" si="66">IF(NOT(AND(ISNUMBER(C45),ISNUMBER(E45))),"XXX","")</f>
        <v>XXX</v>
      </c>
      <c r="U45" s="19" t="str">
        <f t="shared" ref="U45:U50" si="67">SUM(Y45,Z45,AA45, AB45)</f>
        <v>0</v>
      </c>
      <c r="Y45" s="33" t="str">
        <f>IF(AND(ISNUMBER(RESULTADOS!C45),ISNUMBER(RESULTADOS!E45),ISNUMBER(C45),ISNUMBER(E45),C45=RESULTADOS!C45,E45=RESULTADOS!E45),2,0)</f>
        <v>0</v>
      </c>
      <c r="Z45" s="33" t="str">
        <f>IF(AND(ISNUMBER(RESULTADOS!C45),ISNUMBER(RESULTADOS!E45),ISNUMBER(C45),ISNUMBER(E45)),IF(OR(AND(C45&gt;E45,RESULTADOS!C45&gt;RESULTADOS!E45),AND(C45&lt;E45,RESULTADOS!C45&lt;RESULTADOS!E45)),1,IF(AND(C45=E45,RESULTADOS!C45=RESULTADOS!E45),2,0)),0)</f>
        <v>0</v>
      </c>
      <c r="AA45" s="33" t="str">
        <f>IF(AND(ISNUMBER(RESULTADOS!C45),ISNUMBER(RESULTADOS!E45),ISNUMBER(C45),ISNUMBER(E45),AND(Z45=1,OR(C45=RESULTADOS!C45,E45=RESULTADOS!E45))),1,0)</f>
        <v>0</v>
      </c>
      <c r="AB45" s="6" t="str">
        <f>IF(
  AND(
    ISNUMBER(RESULTADOS!C45),
    ISNUMBER(RESULTADOS!E45),
    ISNUMBER(C45),
    ISNUMBER(E45),
    AND(Z45=1,AA45=0,(RESULTADOS!C45-RESULTADOS!E45)=(C45-E45))
  ),
  1,
  0
)</f>
        <v>0</v>
      </c>
      <c r="AC45" s="6"/>
      <c r="AD45" s="6"/>
      <c r="AE45" s="6"/>
      <c r="AF45" s="6"/>
      <c r="AG45" s="6"/>
      <c r="AH45" s="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</row>
    <row r="46" ht="13.5" customHeight="1">
      <c r="A46" s="136"/>
      <c r="B46" s="21" t="s">
        <v>124</v>
      </c>
      <c r="C46" s="22"/>
      <c r="D46" s="19" t="s">
        <v>31</v>
      </c>
      <c r="E46" s="23"/>
      <c r="F46" s="34" t="s">
        <v>125</v>
      </c>
      <c r="G46" s="59"/>
      <c r="H46" s="25">
        <v>46187.0</v>
      </c>
      <c r="I46" s="26">
        <v>0.958333333333333</v>
      </c>
      <c r="J46" s="27"/>
      <c r="K46" s="49" t="s">
        <v>122</v>
      </c>
      <c r="L46" s="19" t="str">
        <f t="shared" ref="L46:L49" si="69">SUM(IF(AND(ISNUMBER(INDIRECT($AC46)),INDIRECT($AC46)&gt;INDIRECT($AF46)),3,IF(AND(ISNUMBER(INDIRECT($AC46)),INDIRECT($AC46)=INDIRECT($AF46)),1,0)),IF(AND(ISNUMBER(INDIRECT($AD46)),INDIRECT($AD46)&gt;INDIRECT($AG46)),3,IF(AND(ISNUMBER(INDIRECT($AD46)),INDIRECT($AD46)=INDIRECT($AG46)),1,0)),IF(AND(ISNUMBER(INDIRECT($AE46)),INDIRECT($AE46)&gt;INDIRECT($AH46)),3,IF(AND(ISNUMBER(INDIRECT($AE46)),INDIRECT($AE46)=INDIRECT($AH46)),1,0)))</f>
        <v>6</v>
      </c>
      <c r="M46" s="19" t="str">
        <f t="shared" ref="M46:M49" si="70">N46-O46</f>
        <v>4</v>
      </c>
      <c r="N46" s="19" t="str">
        <f t="shared" ref="N46:N49" si="71">SUM(INDIRECT($AC46),INDIRECT($AD46),INDIRECT($AE46))</f>
        <v>5</v>
      </c>
      <c r="O46" s="19" t="str">
        <f t="shared" ref="O46:O49" si="72">SUM(INDIRECT($AF46),INDIRECT($AG46),INDIRECT($AH46))</f>
        <v>1</v>
      </c>
      <c r="P46" s="19" t="str">
        <f t="shared" ref="P46:P49" si="73">SUM(IF(AND(ISNUMBER(INDIRECT($AC46)),INDIRECT($AC46)&gt;INDIRECT($AF46)),1,0),IF(AND(ISNUMBER(INDIRECT($AD46)),INDIRECT($AD46)&gt;INDIRECT($AG46)),1,0),IF(AND(ISNUMBER(INDIRECT($AE46)),INDIRECT($AE46)&gt;INDIRECT($AH46)),1,0))</f>
        <v>2</v>
      </c>
      <c r="Q46" s="19" t="str">
        <f t="shared" ref="Q46:Q49" si="74">SUM(IF(AND(ISNUMBER(INDIRECT($AC46)),INDIRECT($AC46)=INDIRECT($AF46)),1,0),IF(AND(ISNUMBER(INDIRECT($AD46)),INDIRECT($AD46)=INDIRECT($AG46)),1,0),IF(AND(ISNUMBER(INDIRECT($AE46)),INDIRECT($AE46)=INDIRECT($AH46)),1,0))</f>
        <v>0</v>
      </c>
      <c r="R46" s="36" t="str">
        <f t="shared" ref="R46:R49" si="75">SUM(IF(AND(ISNUMBER(INDIRECT($AC46)),INDIRECT($AC46)&lt;INDIRECT($AF46)),1,0),IF(AND(ISNUMBER(INDIRECT($AD46)),INDIRECT($AD46)&lt;INDIRECT($AG46)),1,0),IF(AND(ISNUMBER(INDIRECT($AE46)),INDIRECT($AE46)&lt;INDIRECT($AH46)),1,0))</f>
        <v>0</v>
      </c>
      <c r="S46" s="31"/>
      <c r="T46" s="32" t="str">
        <f t="shared" si="66"/>
        <v>XXX</v>
      </c>
      <c r="U46" s="19" t="str">
        <f t="shared" si="67"/>
        <v>0</v>
      </c>
      <c r="Y46" s="33" t="str">
        <f>IF(AND(ISNUMBER(RESULTADOS!C46),ISNUMBER(RESULTADOS!E46),ISNUMBER(C46),ISNUMBER(E46),C46=RESULTADOS!C46,E46=RESULTADOS!E46),2,0)</f>
        <v>0</v>
      </c>
      <c r="Z46" s="33" t="str">
        <f>IF(AND(ISNUMBER(RESULTADOS!C46),ISNUMBER(RESULTADOS!E46),ISNUMBER(C46),ISNUMBER(E46)),IF(OR(AND(C46&gt;E46,RESULTADOS!C46&gt;RESULTADOS!E46),AND(C46&lt;E46,RESULTADOS!C46&lt;RESULTADOS!E46)),1,IF(AND(C46=E46,RESULTADOS!C46=RESULTADOS!E46),2,0)),0)</f>
        <v>0</v>
      </c>
      <c r="AA46" s="33" t="str">
        <f>IF(AND(ISNUMBER(RESULTADOS!C46),ISNUMBER(RESULTADOS!E46),ISNUMBER(C46),ISNUMBER(E46),AND(Z46=1,OR(C46=RESULTADOS!C46,E46=RESULTADOS!E46))),1,0)</f>
        <v>0</v>
      </c>
      <c r="AB46" s="6" t="str">
        <f>IF(
  AND(
    ISNUMBER(RESULTADOS!C46),
    ISNUMBER(RESULTADOS!E46),
    ISNUMBER(C46),
    ISNUMBER(E46),
    AND(Z46=1,AA46=0,(RESULTADOS!C46-RESULTADOS!E46)=(C46-E46))
  ),
  1,
  0
)</f>
        <v>0</v>
      </c>
      <c r="AC46" s="6" t="s">
        <v>126</v>
      </c>
      <c r="AD46" s="6" t="s">
        <v>127</v>
      </c>
      <c r="AE46" s="6" t="s">
        <v>128</v>
      </c>
      <c r="AF46" s="6" t="str">
        <f t="shared" ref="AF46:AH46" si="68">IF(ISNUMBER(FIND("C", AC46, 1)), SUBSTITUTE(AC46, "C", "E"), SUBSTITUTE(AC46, "E", "C"))</f>
        <v>E45</v>
      </c>
      <c r="AG46" s="6" t="str">
        <f t="shared" si="68"/>
        <v>E47</v>
      </c>
      <c r="AH46" s="6" t="str">
        <f t="shared" si="68"/>
        <v>C49</v>
      </c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</row>
    <row r="47" ht="12.75" customHeight="1">
      <c r="A47" s="136"/>
      <c r="B47" s="21" t="s">
        <v>122</v>
      </c>
      <c r="C47" s="22">
        <v>2.0</v>
      </c>
      <c r="D47" s="19" t="s">
        <v>31</v>
      </c>
      <c r="E47" s="23">
        <v>1.0</v>
      </c>
      <c r="F47" s="34" t="s">
        <v>124</v>
      </c>
      <c r="G47" s="59"/>
      <c r="H47" s="25">
        <v>46193.0</v>
      </c>
      <c r="I47" s="26">
        <v>0.583333333333333</v>
      </c>
      <c r="J47" s="27"/>
      <c r="K47" s="49" t="s">
        <v>123</v>
      </c>
      <c r="L47" s="19" t="str">
        <f t="shared" si="69"/>
        <v>6</v>
      </c>
      <c r="M47" s="19" t="str">
        <f t="shared" si="70"/>
        <v>5</v>
      </c>
      <c r="N47" s="19" t="str">
        <f t="shared" si="71"/>
        <v>6</v>
      </c>
      <c r="O47" s="19" t="str">
        <f t="shared" si="72"/>
        <v>1</v>
      </c>
      <c r="P47" s="19" t="str">
        <f t="shared" si="73"/>
        <v>2</v>
      </c>
      <c r="Q47" s="19" t="str">
        <f t="shared" si="74"/>
        <v>0</v>
      </c>
      <c r="R47" s="36" t="str">
        <f t="shared" si="75"/>
        <v>0</v>
      </c>
      <c r="S47" s="59"/>
      <c r="T47" s="32" t="str">
        <f t="shared" si="66"/>
        <v/>
      </c>
      <c r="U47" s="19" t="str">
        <f t="shared" si="67"/>
        <v>0</v>
      </c>
      <c r="Y47" s="33" t="str">
        <f>IF(AND(ISNUMBER(RESULTADOS!C47),ISNUMBER(RESULTADOS!E47),ISNUMBER(C47),ISNUMBER(E47),C47=RESULTADOS!C47,E47=RESULTADOS!E47),2,0)</f>
        <v>0</v>
      </c>
      <c r="Z47" s="33" t="str">
        <f>IF(AND(ISNUMBER(RESULTADOS!C47),ISNUMBER(RESULTADOS!E47),ISNUMBER(C47),ISNUMBER(E47)),IF(OR(AND(C47&gt;E47,RESULTADOS!C47&gt;RESULTADOS!E47),AND(C47&lt;E47,RESULTADOS!C47&lt;RESULTADOS!E47)),1,IF(AND(C47=E47,RESULTADOS!C47=RESULTADOS!E47),2,0)),0)</f>
        <v>0</v>
      </c>
      <c r="AA47" s="33" t="str">
        <f>IF(AND(ISNUMBER(RESULTADOS!C47),ISNUMBER(RESULTADOS!E47),ISNUMBER(C47),ISNUMBER(E47),AND(Z47=1,OR(C47=RESULTADOS!C47,E47=RESULTADOS!E47))),1,0)</f>
        <v>0</v>
      </c>
      <c r="AB47" s="6" t="str">
        <f>IF(
  AND(
    ISNUMBER(RESULTADOS!C47),
    ISNUMBER(RESULTADOS!E47),
    ISNUMBER(C47),
    ISNUMBER(E47),
    AND(Z47=1,AA47=0,(RESULTADOS!C47-RESULTADOS!E47)=(C47-E47))
  ),
  1,
  0
)</f>
        <v>0</v>
      </c>
      <c r="AC47" s="6" t="s">
        <v>129</v>
      </c>
      <c r="AD47" s="6" t="s">
        <v>130</v>
      </c>
      <c r="AE47" s="6" t="s">
        <v>131</v>
      </c>
      <c r="AF47" s="6" t="str">
        <f t="shared" ref="AF47:AH47" si="76">IF(ISNUMBER(FIND("C", AC47, 1)), SUBSTITUTE(AC47, "C", "E"), SUBSTITUTE(AC47, "E", "C"))</f>
        <v>C45</v>
      </c>
      <c r="AG47" s="6" t="str">
        <f t="shared" si="76"/>
        <v>C48</v>
      </c>
      <c r="AH47" s="6" t="str">
        <f t="shared" si="76"/>
        <v>E50</v>
      </c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</row>
    <row r="48" ht="12.75" customHeight="1">
      <c r="A48" s="136"/>
      <c r="B48" s="21" t="s">
        <v>125</v>
      </c>
      <c r="C48" s="22">
        <v>0.0</v>
      </c>
      <c r="D48" s="19" t="s">
        <v>31</v>
      </c>
      <c r="E48" s="23">
        <v>3.0</v>
      </c>
      <c r="F48" s="34" t="s">
        <v>123</v>
      </c>
      <c r="G48" s="59"/>
      <c r="H48" s="25">
        <v>46194.0</v>
      </c>
      <c r="I48" s="26">
        <v>0.0416666666666667</v>
      </c>
      <c r="J48" s="27"/>
      <c r="K48" s="49" t="s">
        <v>124</v>
      </c>
      <c r="L48" s="19" t="str">
        <f t="shared" si="69"/>
        <v>0</v>
      </c>
      <c r="M48" s="19" t="str">
        <f t="shared" si="70"/>
        <v>-3</v>
      </c>
      <c r="N48" s="19" t="str">
        <f t="shared" si="71"/>
        <v>2</v>
      </c>
      <c r="O48" s="19" t="str">
        <f t="shared" si="72"/>
        <v>5</v>
      </c>
      <c r="P48" s="19" t="str">
        <f t="shared" si="73"/>
        <v>0</v>
      </c>
      <c r="Q48" s="19" t="str">
        <f t="shared" si="74"/>
        <v>0</v>
      </c>
      <c r="R48" s="36" t="str">
        <f t="shared" si="75"/>
        <v>2</v>
      </c>
      <c r="S48" s="59"/>
      <c r="T48" s="32" t="str">
        <f t="shared" si="66"/>
        <v/>
      </c>
      <c r="U48" s="19" t="str">
        <f t="shared" si="67"/>
        <v>0</v>
      </c>
      <c r="Y48" s="33" t="str">
        <f>IF(AND(ISNUMBER(RESULTADOS!C48),ISNUMBER(RESULTADOS!E48),ISNUMBER(C48),ISNUMBER(E48),C48=RESULTADOS!C48,E48=RESULTADOS!E48),2,0)</f>
        <v>0</v>
      </c>
      <c r="Z48" s="33" t="str">
        <f>IF(AND(ISNUMBER(RESULTADOS!C48),ISNUMBER(RESULTADOS!E48),ISNUMBER(C48),ISNUMBER(E48)),IF(OR(AND(C48&gt;E48,RESULTADOS!C48&gt;RESULTADOS!E48),AND(C48&lt;E48,RESULTADOS!C48&lt;RESULTADOS!E48)),1,IF(AND(C48=E48,RESULTADOS!C48=RESULTADOS!E48),2,0)),0)</f>
        <v>0</v>
      </c>
      <c r="AA48" s="33" t="str">
        <f>IF(AND(ISNUMBER(RESULTADOS!C48),ISNUMBER(RESULTADOS!E48),ISNUMBER(C48),ISNUMBER(E48),AND(Z48=1,OR(C48=RESULTADOS!C48,E48=RESULTADOS!E48))),1,0)</f>
        <v>0</v>
      </c>
      <c r="AB48" s="6" t="str">
        <f>IF(
  AND(
    ISNUMBER(RESULTADOS!C48),
    ISNUMBER(RESULTADOS!E48),
    ISNUMBER(C48),
    ISNUMBER(E48),
    AND(Z48=1,AA48=0,(RESULTADOS!C48-RESULTADOS!E48)=(C48-E48))
  ),
  1,
  0
)</f>
        <v>0</v>
      </c>
      <c r="AC48" s="6" t="s">
        <v>132</v>
      </c>
      <c r="AD48" s="6" t="s">
        <v>133</v>
      </c>
      <c r="AE48" s="6" t="s">
        <v>134</v>
      </c>
      <c r="AF48" s="6" t="str">
        <f t="shared" ref="AF48:AH48" si="77">IF(ISNUMBER(FIND("C", AC48, 1)), SUBSTITUTE(AC48, "C", "E"), SUBSTITUTE(AC48, "E", "C"))</f>
        <v>E46</v>
      </c>
      <c r="AG48" s="6" t="str">
        <f t="shared" si="77"/>
        <v>C47</v>
      </c>
      <c r="AH48" s="6" t="str">
        <f t="shared" si="77"/>
        <v>C50</v>
      </c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</row>
    <row r="49" ht="12.75" customHeight="1">
      <c r="A49" s="136"/>
      <c r="B49" s="21" t="s">
        <v>125</v>
      </c>
      <c r="C49" s="22">
        <v>0.0</v>
      </c>
      <c r="D49" s="19" t="s">
        <v>31</v>
      </c>
      <c r="E49" s="23">
        <v>3.0</v>
      </c>
      <c r="F49" s="34" t="s">
        <v>122</v>
      </c>
      <c r="G49" s="59"/>
      <c r="H49" s="25">
        <v>46198.0</v>
      </c>
      <c r="I49" s="26">
        <v>0.833333333333333</v>
      </c>
      <c r="J49" s="27"/>
      <c r="K49" s="50" t="s">
        <v>125</v>
      </c>
      <c r="L49" s="38" t="str">
        <f t="shared" si="69"/>
        <v>0</v>
      </c>
      <c r="M49" s="38" t="str">
        <f t="shared" si="70"/>
        <v>-6</v>
      </c>
      <c r="N49" s="38" t="str">
        <f t="shared" si="71"/>
        <v>0</v>
      </c>
      <c r="O49" s="38" t="str">
        <f t="shared" si="72"/>
        <v>6</v>
      </c>
      <c r="P49" s="38" t="str">
        <f t="shared" si="73"/>
        <v>0</v>
      </c>
      <c r="Q49" s="38" t="str">
        <f t="shared" si="74"/>
        <v>0</v>
      </c>
      <c r="R49" s="39" t="str">
        <f t="shared" si="75"/>
        <v>2</v>
      </c>
      <c r="S49" s="59"/>
      <c r="T49" s="32" t="str">
        <f t="shared" si="66"/>
        <v/>
      </c>
      <c r="U49" s="19" t="str">
        <f t="shared" si="67"/>
        <v>0</v>
      </c>
      <c r="Y49" s="33" t="str">
        <f>IF(AND(ISNUMBER(RESULTADOS!C49),ISNUMBER(RESULTADOS!E49),ISNUMBER(C49),ISNUMBER(E49),C49=RESULTADOS!C49,E49=RESULTADOS!E49),2,0)</f>
        <v>0</v>
      </c>
      <c r="Z49" s="33" t="str">
        <f>IF(AND(ISNUMBER(RESULTADOS!C49),ISNUMBER(RESULTADOS!E49),ISNUMBER(C49),ISNUMBER(E49)),IF(OR(AND(C49&gt;E49,RESULTADOS!C49&gt;RESULTADOS!E49),AND(C49&lt;E49,RESULTADOS!C49&lt;RESULTADOS!E49)),1,IF(AND(C49=E49,RESULTADOS!C49=RESULTADOS!E49),2,0)),0)</f>
        <v>0</v>
      </c>
      <c r="AA49" s="33" t="str">
        <f>IF(AND(ISNUMBER(RESULTADOS!C49),ISNUMBER(RESULTADOS!E49),ISNUMBER(C49),ISNUMBER(E49),AND(Z49=1,OR(C49=RESULTADOS!C49,E49=RESULTADOS!E49))),1,0)</f>
        <v>0</v>
      </c>
      <c r="AB49" s="6" t="str">
        <f>IF(
  AND(
    ISNUMBER(RESULTADOS!C49),
    ISNUMBER(RESULTADOS!E49),
    ISNUMBER(C49),
    ISNUMBER(E49),
    AND(Z49=1,AA49=0,(RESULTADOS!C49-RESULTADOS!E49)=(C49-E49))
  ),
  1,
  0
)</f>
        <v>0</v>
      </c>
      <c r="AC49" s="6" t="s">
        <v>135</v>
      </c>
      <c r="AD49" s="6" t="s">
        <v>136</v>
      </c>
      <c r="AE49" s="6" t="s">
        <v>137</v>
      </c>
      <c r="AF49" s="6" t="str">
        <f t="shared" ref="AF49:AH49" si="78">IF(ISNUMBER(FIND("C", AC49, 1)), SUBSTITUTE(AC49, "C", "E"), SUBSTITUTE(AC49, "E", "C"))</f>
        <v>C46</v>
      </c>
      <c r="AG49" s="6" t="str">
        <f t="shared" si="78"/>
        <v>E48</v>
      </c>
      <c r="AH49" s="6" t="str">
        <f t="shared" si="78"/>
        <v>E49</v>
      </c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</row>
    <row r="50" ht="13.5" customHeight="1">
      <c r="A50" s="136"/>
      <c r="B50" s="40" t="s">
        <v>123</v>
      </c>
      <c r="C50" s="41">
        <v>3.0</v>
      </c>
      <c r="D50" s="38" t="s">
        <v>31</v>
      </c>
      <c r="E50" s="42">
        <v>1.0</v>
      </c>
      <c r="F50" s="43" t="s">
        <v>124</v>
      </c>
      <c r="G50" s="59"/>
      <c r="H50" s="44">
        <v>46198.0</v>
      </c>
      <c r="I50" s="45">
        <v>0.833333333333333</v>
      </c>
      <c r="J50" s="27"/>
      <c r="K50" s="46"/>
      <c r="L50" s="136"/>
      <c r="M50" s="136"/>
      <c r="N50" s="136"/>
      <c r="O50" s="136"/>
      <c r="P50" s="136"/>
      <c r="Q50" s="136"/>
      <c r="R50" s="136"/>
      <c r="S50" s="59"/>
      <c r="T50" s="32" t="str">
        <f t="shared" si="66"/>
        <v/>
      </c>
      <c r="U50" s="19" t="str">
        <f t="shared" si="67"/>
        <v>0</v>
      </c>
      <c r="Y50" s="33" t="str">
        <f>IF(AND(ISNUMBER(RESULTADOS!C50),ISNUMBER(RESULTADOS!E50),ISNUMBER(C50),ISNUMBER(E50),C50=RESULTADOS!C50,E50=RESULTADOS!E50),2,0)</f>
        <v>0</v>
      </c>
      <c r="Z50" s="33" t="str">
        <f>IF(AND(ISNUMBER(RESULTADOS!C50),ISNUMBER(RESULTADOS!E50),ISNUMBER(C50),ISNUMBER(E50)),IF(OR(AND(C50&gt;E50,RESULTADOS!C50&gt;RESULTADOS!E50),AND(C50&lt;E50,RESULTADOS!C50&lt;RESULTADOS!E50)),1,IF(AND(C50=E50,RESULTADOS!C50=RESULTADOS!E50),2,0)),0)</f>
        <v>0</v>
      </c>
      <c r="AA50" s="33" t="str">
        <f>IF(AND(ISNUMBER(RESULTADOS!C50),ISNUMBER(RESULTADOS!E50),ISNUMBER(C50),ISNUMBER(E50),AND(Z50=1,OR(C50=RESULTADOS!C50,E50=RESULTADOS!E50))),1,0)</f>
        <v>0</v>
      </c>
      <c r="AB50" s="6" t="str">
        <f>IF(
  AND(
    ISNUMBER(RESULTADOS!C50),
    ISNUMBER(RESULTADOS!E50),
    ISNUMBER(C50),
    ISNUMBER(E50),
    AND(Z50=1,AA50=0,(RESULTADOS!C50-RESULTADOS!E50)=(C50-E50))
  ),
  1,
  0
)</f>
        <v>0</v>
      </c>
      <c r="AC50" s="6"/>
      <c r="AD50" s="6"/>
      <c r="AE50" s="6"/>
      <c r="AF50" s="6"/>
      <c r="AG50" s="6"/>
      <c r="AH50" s="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</row>
    <row r="51" ht="13.5" customHeight="1">
      <c r="A51" s="136"/>
      <c r="B51" s="4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136"/>
      <c r="U51" s="2"/>
      <c r="V51" s="2"/>
      <c r="W51" s="2"/>
      <c r="X51" s="5"/>
      <c r="Y51" s="7"/>
      <c r="Z51" s="7"/>
      <c r="AA51" s="7"/>
      <c r="AB51" s="6"/>
      <c r="AC51" s="6"/>
      <c r="AD51" s="6"/>
      <c r="AE51" s="6"/>
      <c r="AF51" s="6"/>
      <c r="AG51" s="6"/>
      <c r="AH51" s="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</row>
    <row r="52" ht="13.5" customHeight="1">
      <c r="A52" s="136"/>
      <c r="B52" s="15" t="s">
        <v>138</v>
      </c>
      <c r="C52" s="9"/>
      <c r="D52" s="9"/>
      <c r="E52" s="9"/>
      <c r="F52" s="10"/>
      <c r="G52" s="59"/>
      <c r="H52" s="16" t="s">
        <v>28</v>
      </c>
      <c r="I52" s="17" t="s">
        <v>29</v>
      </c>
      <c r="J52" s="18"/>
      <c r="K52" s="59"/>
      <c r="L52" s="59"/>
      <c r="M52" s="59"/>
      <c r="N52" s="59"/>
      <c r="O52" s="59"/>
      <c r="P52" s="59"/>
      <c r="Q52" s="59"/>
      <c r="R52" s="59"/>
      <c r="S52" s="59"/>
      <c r="T52" s="136"/>
      <c r="U52" s="19"/>
      <c r="V52" s="19"/>
      <c r="W52" s="19"/>
      <c r="X52" s="20"/>
      <c r="Y52" s="33"/>
      <c r="Z52" s="33"/>
      <c r="AA52" s="33"/>
      <c r="AB52" s="6"/>
      <c r="AC52" s="6"/>
      <c r="AD52" s="6"/>
      <c r="AE52" s="6"/>
      <c r="AF52" s="6"/>
      <c r="AG52" s="6"/>
      <c r="AH52" s="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</row>
    <row r="53" ht="13.5" customHeight="1">
      <c r="A53" s="136"/>
      <c r="B53" s="21" t="s">
        <v>139</v>
      </c>
      <c r="C53" s="22">
        <v>2.0</v>
      </c>
      <c r="D53" s="19" t="s">
        <v>31</v>
      </c>
      <c r="E53" s="23">
        <v>1.0</v>
      </c>
      <c r="F53" s="34" t="s">
        <v>140</v>
      </c>
      <c r="G53" s="59"/>
      <c r="H53" s="25">
        <v>46188.0</v>
      </c>
      <c r="I53" s="26">
        <v>0.666666666666667</v>
      </c>
      <c r="J53" s="27"/>
      <c r="K53" s="28"/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37</v>
      </c>
      <c r="Q53" s="29" t="s">
        <v>38</v>
      </c>
      <c r="R53" s="30" t="s">
        <v>39</v>
      </c>
      <c r="S53" s="31"/>
      <c r="T53" s="32" t="str">
        <f t="shared" ref="T53:T58" si="79">IF(NOT(AND(ISNUMBER(C53),ISNUMBER(E53))),"XXX","")</f>
        <v/>
      </c>
      <c r="U53" s="19" t="str">
        <f t="shared" ref="U53:U58" si="80">SUM(Y53,Z53,AA53, AB53)</f>
        <v>0</v>
      </c>
      <c r="Y53" s="33" t="str">
        <f>IF(AND(ISNUMBER(RESULTADOS!C53),ISNUMBER(RESULTADOS!E53),ISNUMBER(C53),ISNUMBER(E53),C53=RESULTADOS!C53,E53=RESULTADOS!E53),2,0)</f>
        <v>0</v>
      </c>
      <c r="Z53" s="33" t="str">
        <f>IF(AND(ISNUMBER(RESULTADOS!C53),ISNUMBER(RESULTADOS!E53),ISNUMBER(C53),ISNUMBER(E53)),IF(OR(AND(C53&gt;E53,RESULTADOS!C53&gt;RESULTADOS!E53),AND(C53&lt;E53,RESULTADOS!C53&lt;RESULTADOS!E53)),1,IF(AND(C53=E53,RESULTADOS!C53=RESULTADOS!E53),2,0)),0)</f>
        <v>0</v>
      </c>
      <c r="AA53" s="33" t="str">
        <f>IF(AND(ISNUMBER(RESULTADOS!C53),ISNUMBER(RESULTADOS!E53),ISNUMBER(C53),ISNUMBER(E53),AND(Z53=1,OR(C53=RESULTADOS!C53,E53=RESULTADOS!E53))),1,0)</f>
        <v>0</v>
      </c>
      <c r="AB53" s="6" t="str">
        <f>IF(
  AND(
    ISNUMBER(RESULTADOS!C53),
    ISNUMBER(RESULTADOS!E53),
    ISNUMBER(C53),
    ISNUMBER(E53),
    AND(Z53=1,AA53=0,(RESULTADOS!C53-RESULTADOS!E53)=(C53-E53))
  ),
  1,
  0
)</f>
        <v>0</v>
      </c>
      <c r="AC53" s="6"/>
      <c r="AD53" s="6"/>
      <c r="AE53" s="6"/>
      <c r="AF53" s="6"/>
      <c r="AG53" s="6"/>
      <c r="AH53" s="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</row>
    <row r="54" ht="13.5" customHeight="1">
      <c r="A54" s="136"/>
      <c r="B54" s="21" t="s">
        <v>141</v>
      </c>
      <c r="C54" s="22">
        <v>1.0</v>
      </c>
      <c r="D54" s="19" t="s">
        <v>31</v>
      </c>
      <c r="E54" s="23">
        <v>2.0</v>
      </c>
      <c r="F54" s="34" t="s">
        <v>142</v>
      </c>
      <c r="G54" s="59"/>
      <c r="H54" s="25">
        <v>46188.0</v>
      </c>
      <c r="I54" s="26">
        <v>0.916666666666667</v>
      </c>
      <c r="J54" s="27"/>
      <c r="K54" s="49" t="s">
        <v>139</v>
      </c>
      <c r="L54" s="19" t="str">
        <f t="shared" ref="L54:L57" si="82">SUM(IF(AND(ISNUMBER(INDIRECT($AC54)),INDIRECT($AC54)&gt;INDIRECT($AF54)),3,IF(AND(ISNUMBER(INDIRECT($AC54)),INDIRECT($AC54)=INDIRECT($AF54)),1,0)),IF(AND(ISNUMBER(INDIRECT($AD54)),INDIRECT($AD54)&gt;INDIRECT($AG54)),3,IF(AND(ISNUMBER(INDIRECT($AD54)),INDIRECT($AD54)=INDIRECT($AG54)),1,0)),IF(AND(ISNUMBER(INDIRECT($AE54)),INDIRECT($AE54)&gt;INDIRECT($AH54)),3,IF(AND(ISNUMBER(INDIRECT($AE54)),INDIRECT($AE54)=INDIRECT($AH54)),1,0)))</f>
        <v>9</v>
      </c>
      <c r="M54" s="19" t="str">
        <f t="shared" ref="M54:M57" si="83">N54-O54</f>
        <v>6</v>
      </c>
      <c r="N54" s="19" t="str">
        <f t="shared" ref="N54:N57" si="84">SUM(INDIRECT($AC54),INDIRECT($AD54),INDIRECT($AE54))</f>
        <v>7</v>
      </c>
      <c r="O54" s="19" t="str">
        <f t="shared" ref="O54:O57" si="85">SUM(INDIRECT($AF54),INDIRECT($AG54),INDIRECT($AH54))</f>
        <v>1</v>
      </c>
      <c r="P54" s="19" t="str">
        <f t="shared" ref="P54:P57" si="86">SUM(IF(AND(ISNUMBER(INDIRECT($AC54)),INDIRECT($AC54)&gt;INDIRECT($AF54)),1,0),IF(AND(ISNUMBER(INDIRECT($AD54)),INDIRECT($AD54)&gt;INDIRECT($AG54)),1,0),IF(AND(ISNUMBER(INDIRECT($AE54)),INDIRECT($AE54)&gt;INDIRECT($AH54)),1,0))</f>
        <v>3</v>
      </c>
      <c r="Q54" s="19" t="str">
        <f t="shared" ref="Q54:Q57" si="87">SUM(IF(AND(ISNUMBER(INDIRECT($AC54)),INDIRECT($AC54)=INDIRECT($AF54)),1,0),IF(AND(ISNUMBER(INDIRECT($AD54)),INDIRECT($AD54)=INDIRECT($AG54)),1,0),IF(AND(ISNUMBER(INDIRECT($AE54)),INDIRECT($AE54)=INDIRECT($AH54)),1,0))</f>
        <v>0</v>
      </c>
      <c r="R54" s="36" t="str">
        <f t="shared" ref="R54:R57" si="88">SUM(IF(AND(ISNUMBER(INDIRECT($AC54)),INDIRECT($AC54)&lt;INDIRECT($AF54)),1,0),IF(AND(ISNUMBER(INDIRECT($AD54)),INDIRECT($AD54)&lt;INDIRECT($AG54)),1,0),IF(AND(ISNUMBER(INDIRECT($AE54)),INDIRECT($AE54)&lt;INDIRECT($AH54)),1,0))</f>
        <v>0</v>
      </c>
      <c r="S54" s="31"/>
      <c r="T54" s="32" t="str">
        <f t="shared" si="79"/>
        <v/>
      </c>
      <c r="U54" s="19" t="str">
        <f t="shared" si="80"/>
        <v>0</v>
      </c>
      <c r="Y54" s="33" t="str">
        <f>IF(AND(ISNUMBER(RESULTADOS!C54),ISNUMBER(RESULTADOS!E54),ISNUMBER(C54),ISNUMBER(E54),C54=RESULTADOS!C54,E54=RESULTADOS!E54),2,0)</f>
        <v>0</v>
      </c>
      <c r="Z54" s="33" t="str">
        <f>IF(AND(ISNUMBER(RESULTADOS!C54),ISNUMBER(RESULTADOS!E54),ISNUMBER(C54),ISNUMBER(E54)),IF(OR(AND(C54&gt;E54,RESULTADOS!C54&gt;RESULTADOS!E54),AND(C54&lt;E54,RESULTADOS!C54&lt;RESULTADOS!E54)),1,IF(AND(C54=E54,RESULTADOS!C54=RESULTADOS!E54),2,0)),0)</f>
        <v>0</v>
      </c>
      <c r="AA54" s="33" t="str">
        <f>IF(AND(ISNUMBER(RESULTADOS!C54),ISNUMBER(RESULTADOS!E54),ISNUMBER(C54),ISNUMBER(E54),AND(Z54=1,OR(C54=RESULTADOS!C54,E54=RESULTADOS!E54))),1,0)</f>
        <v>0</v>
      </c>
      <c r="AB54" s="6" t="str">
        <f>IF(
  AND(
    ISNUMBER(RESULTADOS!C54),
    ISNUMBER(RESULTADOS!E54),
    ISNUMBER(C54),
    ISNUMBER(E54),
    AND(Z54=1,AA54=0,(RESULTADOS!C54-RESULTADOS!E54)=(C54-E54))
  ),
  1,
  0
)</f>
        <v>0</v>
      </c>
      <c r="AC54" s="6" t="s">
        <v>143</v>
      </c>
      <c r="AD54" s="6" t="s">
        <v>144</v>
      </c>
      <c r="AE54" s="6" t="s">
        <v>145</v>
      </c>
      <c r="AF54" s="6" t="str">
        <f t="shared" ref="AF54:AH54" si="81">IF(ISNUMBER(FIND("C", AC54, 1)), SUBSTITUTE(AC54, "C", "E"), SUBSTITUTE(AC54, "E", "C"))</f>
        <v>E53</v>
      </c>
      <c r="AG54" s="6" t="str">
        <f t="shared" si="81"/>
        <v>E55</v>
      </c>
      <c r="AH54" s="6" t="str">
        <f t="shared" si="81"/>
        <v>C58</v>
      </c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</row>
    <row r="55" ht="12.75" customHeight="1">
      <c r="A55" s="136"/>
      <c r="B55" s="21" t="s">
        <v>139</v>
      </c>
      <c r="C55" s="22">
        <v>3.0</v>
      </c>
      <c r="D55" s="19" t="s">
        <v>31</v>
      </c>
      <c r="E55" s="23">
        <v>0.0</v>
      </c>
      <c r="F55" s="34" t="s">
        <v>141</v>
      </c>
      <c r="G55" s="59"/>
      <c r="H55" s="25">
        <v>46194.0</v>
      </c>
      <c r="I55" s="26">
        <v>0.666666666666667</v>
      </c>
      <c r="J55" s="27"/>
      <c r="K55" s="49" t="s">
        <v>140</v>
      </c>
      <c r="L55" s="19" t="str">
        <f t="shared" si="82"/>
        <v>6</v>
      </c>
      <c r="M55" s="19" t="str">
        <f t="shared" si="83"/>
        <v>2</v>
      </c>
      <c r="N55" s="19" t="str">
        <f t="shared" si="84"/>
        <v>4</v>
      </c>
      <c r="O55" s="19" t="str">
        <f t="shared" si="85"/>
        <v>2</v>
      </c>
      <c r="P55" s="19" t="str">
        <f t="shared" si="86"/>
        <v>2</v>
      </c>
      <c r="Q55" s="19" t="str">
        <f t="shared" si="87"/>
        <v>0</v>
      </c>
      <c r="R55" s="36" t="str">
        <f t="shared" si="88"/>
        <v>1</v>
      </c>
      <c r="S55" s="59"/>
      <c r="T55" s="32" t="str">
        <f t="shared" si="79"/>
        <v/>
      </c>
      <c r="U55" s="19" t="str">
        <f t="shared" si="80"/>
        <v>0</v>
      </c>
      <c r="Y55" s="33" t="str">
        <f>IF(AND(ISNUMBER(RESULTADOS!C55),ISNUMBER(RESULTADOS!E55),ISNUMBER(C55),ISNUMBER(E55),C55=RESULTADOS!C55,E55=RESULTADOS!E55),2,0)</f>
        <v>0</v>
      </c>
      <c r="Z55" s="33" t="str">
        <f>IF(AND(ISNUMBER(RESULTADOS!C55),ISNUMBER(RESULTADOS!E55),ISNUMBER(C55),ISNUMBER(E55)),IF(OR(AND(C55&gt;E55,RESULTADOS!C55&gt;RESULTADOS!E55),AND(C55&lt;E55,RESULTADOS!C55&lt;RESULTADOS!E55)),1,IF(AND(C55=E55,RESULTADOS!C55=RESULTADOS!E55),2,0)),0)</f>
        <v>0</v>
      </c>
      <c r="AA55" s="33" t="str">
        <f>IF(AND(ISNUMBER(RESULTADOS!C55),ISNUMBER(RESULTADOS!E55),ISNUMBER(C55),ISNUMBER(E55),AND(Z55=1,OR(C55=RESULTADOS!C55,E55=RESULTADOS!E55))),1,0)</f>
        <v>0</v>
      </c>
      <c r="AB55" s="6" t="str">
        <f>IF(
  AND(
    ISNUMBER(RESULTADOS!C55),
    ISNUMBER(RESULTADOS!E55),
    ISNUMBER(C55),
    ISNUMBER(E55),
    AND(Z55=1,AA55=0,(RESULTADOS!C55-RESULTADOS!E55)=(C55-E55))
  ),
  1,
  0
)</f>
        <v>0</v>
      </c>
      <c r="AC55" s="6" t="s">
        <v>146</v>
      </c>
      <c r="AD55" s="6" t="s">
        <v>147</v>
      </c>
      <c r="AE55" s="6" t="s">
        <v>148</v>
      </c>
      <c r="AF55" s="6" t="str">
        <f t="shared" ref="AF55:AH55" si="89">IF(ISNUMBER(FIND("C", AC55, 1)), SUBSTITUTE(AC55, "C", "E"), SUBSTITUTE(AC55, "E", "C"))</f>
        <v>C53</v>
      </c>
      <c r="AG55" s="6" t="str">
        <f t="shared" si="89"/>
        <v>C56</v>
      </c>
      <c r="AH55" s="6" t="str">
        <f t="shared" si="89"/>
        <v>E57</v>
      </c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</row>
    <row r="56" ht="12.75" customHeight="1">
      <c r="A56" s="136"/>
      <c r="B56" s="21" t="s">
        <v>142</v>
      </c>
      <c r="C56" s="22">
        <v>0.0</v>
      </c>
      <c r="D56" s="19" t="s">
        <v>31</v>
      </c>
      <c r="E56" s="23">
        <v>1.0</v>
      </c>
      <c r="F56" s="34" t="s">
        <v>140</v>
      </c>
      <c r="G56" s="59"/>
      <c r="H56" s="25">
        <v>46194.0</v>
      </c>
      <c r="I56" s="26">
        <v>0.916666666666667</v>
      </c>
      <c r="J56" s="27"/>
      <c r="K56" s="49" t="s">
        <v>141</v>
      </c>
      <c r="L56" s="19" t="str">
        <f t="shared" si="82"/>
        <v>0</v>
      </c>
      <c r="M56" s="19" t="str">
        <f t="shared" si="83"/>
        <v>-6</v>
      </c>
      <c r="N56" s="19" t="str">
        <f t="shared" si="84"/>
        <v>1</v>
      </c>
      <c r="O56" s="19" t="str">
        <f t="shared" si="85"/>
        <v>7</v>
      </c>
      <c r="P56" s="19" t="str">
        <f t="shared" si="86"/>
        <v>0</v>
      </c>
      <c r="Q56" s="19" t="str">
        <f t="shared" si="87"/>
        <v>0</v>
      </c>
      <c r="R56" s="36" t="str">
        <f t="shared" si="88"/>
        <v>3</v>
      </c>
      <c r="S56" s="59"/>
      <c r="T56" s="32" t="str">
        <f t="shared" si="79"/>
        <v/>
      </c>
      <c r="U56" s="19" t="str">
        <f t="shared" si="80"/>
        <v>0</v>
      </c>
      <c r="Y56" s="33" t="str">
        <f>IF(AND(ISNUMBER(RESULTADOS!C56),ISNUMBER(RESULTADOS!E56),ISNUMBER(C56),ISNUMBER(E56),C56=RESULTADOS!C56,E56=RESULTADOS!E56),2,0)</f>
        <v>0</v>
      </c>
      <c r="Z56" s="33" t="str">
        <f>IF(AND(ISNUMBER(RESULTADOS!C56),ISNUMBER(RESULTADOS!E56),ISNUMBER(C56),ISNUMBER(E56)),IF(OR(AND(C56&gt;E56,RESULTADOS!C56&gt;RESULTADOS!E56),AND(C56&lt;E56,RESULTADOS!C56&lt;RESULTADOS!E56)),1,IF(AND(C56=E56,RESULTADOS!C56=RESULTADOS!E56),2,0)),0)</f>
        <v>0</v>
      </c>
      <c r="AA56" s="33" t="str">
        <f>IF(AND(ISNUMBER(RESULTADOS!C56),ISNUMBER(RESULTADOS!E56),ISNUMBER(C56),ISNUMBER(E56),AND(Z56=1,OR(C56=RESULTADOS!C56,E56=RESULTADOS!E56))),1,0)</f>
        <v>0</v>
      </c>
      <c r="AB56" s="6" t="str">
        <f>IF(
  AND(
    ISNUMBER(RESULTADOS!C56),
    ISNUMBER(RESULTADOS!E56),
    ISNUMBER(C56),
    ISNUMBER(E56),
    AND(Z56=1,AA56=0,(RESULTADOS!C56-RESULTADOS!E56)=(C56-E56))
  ),
  1,
  0
)</f>
        <v>0</v>
      </c>
      <c r="AC56" s="6" t="s">
        <v>149</v>
      </c>
      <c r="AD56" s="6" t="s">
        <v>150</v>
      </c>
      <c r="AE56" s="6" t="s">
        <v>151</v>
      </c>
      <c r="AF56" s="6" t="str">
        <f t="shared" ref="AF56:AH56" si="90">IF(ISNUMBER(FIND("C", AC56, 1)), SUBSTITUTE(AC56, "C", "E"), SUBSTITUTE(AC56, "E", "C"))</f>
        <v>E54</v>
      </c>
      <c r="AG56" s="6" t="str">
        <f t="shared" si="90"/>
        <v>C55</v>
      </c>
      <c r="AH56" s="6" t="str">
        <f t="shared" si="90"/>
        <v>C57</v>
      </c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</row>
    <row r="57" ht="12.75" customHeight="1">
      <c r="A57" s="136"/>
      <c r="B57" s="21" t="s">
        <v>140</v>
      </c>
      <c r="C57" s="22">
        <v>2.0</v>
      </c>
      <c r="D57" s="19" t="s">
        <v>31</v>
      </c>
      <c r="E57" s="23">
        <v>0.0</v>
      </c>
      <c r="F57" s="34" t="s">
        <v>141</v>
      </c>
      <c r="G57" s="59"/>
      <c r="H57" s="25">
        <v>46200.0</v>
      </c>
      <c r="I57" s="26">
        <v>0.0</v>
      </c>
      <c r="J57" s="27"/>
      <c r="K57" s="50" t="s">
        <v>142</v>
      </c>
      <c r="L57" s="38" t="str">
        <f t="shared" si="82"/>
        <v>3</v>
      </c>
      <c r="M57" s="38" t="str">
        <f t="shared" si="83"/>
        <v>-2</v>
      </c>
      <c r="N57" s="38" t="str">
        <f t="shared" si="84"/>
        <v>2</v>
      </c>
      <c r="O57" s="38" t="str">
        <f t="shared" si="85"/>
        <v>4</v>
      </c>
      <c r="P57" s="38" t="str">
        <f t="shared" si="86"/>
        <v>1</v>
      </c>
      <c r="Q57" s="38" t="str">
        <f t="shared" si="87"/>
        <v>0</v>
      </c>
      <c r="R57" s="39" t="str">
        <f t="shared" si="88"/>
        <v>2</v>
      </c>
      <c r="S57" s="59"/>
      <c r="T57" s="32" t="str">
        <f t="shared" si="79"/>
        <v/>
      </c>
      <c r="U57" s="19" t="str">
        <f t="shared" si="80"/>
        <v>0</v>
      </c>
      <c r="Y57" s="33" t="str">
        <f>IF(AND(ISNUMBER(RESULTADOS!C57),ISNUMBER(RESULTADOS!E57),ISNUMBER(C57),ISNUMBER(E57),C57=RESULTADOS!C57,E57=RESULTADOS!E57),2,0)</f>
        <v>0</v>
      </c>
      <c r="Z57" s="33" t="str">
        <f>IF(AND(ISNUMBER(RESULTADOS!C57),ISNUMBER(RESULTADOS!E57),ISNUMBER(C57),ISNUMBER(E57)),IF(OR(AND(C57&gt;E57,RESULTADOS!C57&gt;RESULTADOS!E57),AND(C57&lt;E57,RESULTADOS!C57&lt;RESULTADOS!E57)),1,IF(AND(C57=E57,RESULTADOS!C57=RESULTADOS!E57),2,0)),0)</f>
        <v>0</v>
      </c>
      <c r="AA57" s="33" t="str">
        <f>IF(AND(ISNUMBER(RESULTADOS!C57),ISNUMBER(RESULTADOS!E57),ISNUMBER(C57),ISNUMBER(E57),AND(Z57=1,OR(C57=RESULTADOS!C57,E57=RESULTADOS!E57))),1,0)</f>
        <v>0</v>
      </c>
      <c r="AB57" s="6" t="str">
        <f>IF(
  AND(
    ISNUMBER(RESULTADOS!C57),
    ISNUMBER(RESULTADOS!E57),
    ISNUMBER(C57),
    ISNUMBER(E57),
    AND(Z57=1,AA57=0,(RESULTADOS!C57-RESULTADOS!E57)=(C57-E57))
  ),
  1,
  0
)</f>
        <v>0</v>
      </c>
      <c r="AC57" s="6" t="s">
        <v>152</v>
      </c>
      <c r="AD57" s="6" t="s">
        <v>153</v>
      </c>
      <c r="AE57" s="6" t="s">
        <v>154</v>
      </c>
      <c r="AF57" s="6" t="str">
        <f t="shared" ref="AF57:AH57" si="91">IF(ISNUMBER(FIND("C", AC57, 1)), SUBSTITUTE(AC57, "C", "E"), SUBSTITUTE(AC57, "E", "C"))</f>
        <v>C54</v>
      </c>
      <c r="AG57" s="6" t="str">
        <f t="shared" si="91"/>
        <v>E56</v>
      </c>
      <c r="AH57" s="6" t="str">
        <f t="shared" si="91"/>
        <v>E58</v>
      </c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</row>
    <row r="58" ht="13.5" customHeight="1">
      <c r="A58" s="136"/>
      <c r="B58" s="40" t="s">
        <v>142</v>
      </c>
      <c r="C58" s="41">
        <v>0.0</v>
      </c>
      <c r="D58" s="38" t="s">
        <v>31</v>
      </c>
      <c r="E58" s="42">
        <v>2.0</v>
      </c>
      <c r="F58" s="43" t="s">
        <v>139</v>
      </c>
      <c r="G58" s="59"/>
      <c r="H58" s="44">
        <v>46200.0</v>
      </c>
      <c r="I58" s="45">
        <v>0.0</v>
      </c>
      <c r="J58" s="27"/>
      <c r="K58" s="46"/>
      <c r="L58" s="136"/>
      <c r="M58" s="136"/>
      <c r="N58" s="136"/>
      <c r="O58" s="136"/>
      <c r="P58" s="136"/>
      <c r="Q58" s="136"/>
      <c r="R58" s="136"/>
      <c r="S58" s="59"/>
      <c r="T58" s="32" t="str">
        <f t="shared" si="79"/>
        <v/>
      </c>
      <c r="U58" s="19" t="str">
        <f t="shared" si="80"/>
        <v>0</v>
      </c>
      <c r="Y58" s="33" t="str">
        <f>IF(AND(ISNUMBER(RESULTADOS!C58),ISNUMBER(RESULTADOS!E58),ISNUMBER(C58),ISNUMBER(E58),C58=RESULTADOS!C58,E58=RESULTADOS!E58),2,0)</f>
        <v>0</v>
      </c>
      <c r="Z58" s="33" t="str">
        <f>IF(AND(ISNUMBER(RESULTADOS!C58),ISNUMBER(RESULTADOS!E58),ISNUMBER(C58),ISNUMBER(E58)),IF(OR(AND(C58&gt;E58,RESULTADOS!C58&gt;RESULTADOS!E58),AND(C58&lt;E58,RESULTADOS!C58&lt;RESULTADOS!E58)),1,IF(AND(C58=E58,RESULTADOS!C58=RESULTADOS!E58),2,0)),0)</f>
        <v>0</v>
      </c>
      <c r="AA58" s="33" t="str">
        <f>IF(AND(ISNUMBER(RESULTADOS!C58),ISNUMBER(RESULTADOS!E58),ISNUMBER(C58),ISNUMBER(E58),AND(Z58=1,OR(C58=RESULTADOS!C58,E58=RESULTADOS!E58))),1,0)</f>
        <v>0</v>
      </c>
      <c r="AB58" s="6" t="str">
        <f>IF(
  AND(
    ISNUMBER(RESULTADOS!C58),
    ISNUMBER(RESULTADOS!E58),
    ISNUMBER(C58),
    ISNUMBER(E58),
    AND(Z58=1,AA58=0,(RESULTADOS!C58-RESULTADOS!E58)=(C58-E58))
  ),
  1,
  0
)</f>
        <v>0</v>
      </c>
      <c r="AC58" s="6"/>
      <c r="AD58" s="6"/>
      <c r="AE58" s="6"/>
      <c r="AF58" s="6"/>
      <c r="AG58" s="6"/>
      <c r="AH58" s="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</row>
    <row r="59" ht="13.5" customHeight="1">
      <c r="A59" s="136"/>
      <c r="B59" s="4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136"/>
      <c r="U59" s="2"/>
      <c r="V59" s="2"/>
      <c r="W59" s="2"/>
      <c r="X59" s="5"/>
      <c r="Y59" s="7"/>
      <c r="Z59" s="7"/>
      <c r="AA59" s="7"/>
      <c r="AB59" s="6"/>
      <c r="AC59" s="6"/>
      <c r="AD59" s="6"/>
      <c r="AE59" s="6"/>
      <c r="AF59" s="6"/>
      <c r="AG59" s="6"/>
      <c r="AH59" s="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</row>
    <row r="60" ht="13.5" customHeight="1">
      <c r="A60" s="136"/>
      <c r="B60" s="15" t="s">
        <v>155</v>
      </c>
      <c r="C60" s="9"/>
      <c r="D60" s="9"/>
      <c r="E60" s="9"/>
      <c r="F60" s="10"/>
      <c r="G60" s="59"/>
      <c r="H60" s="16" t="s">
        <v>28</v>
      </c>
      <c r="I60" s="17" t="s">
        <v>29</v>
      </c>
      <c r="J60" s="18"/>
      <c r="K60" s="59"/>
      <c r="L60" s="59"/>
      <c r="M60" s="59"/>
      <c r="N60" s="59"/>
      <c r="O60" s="59"/>
      <c r="P60" s="59"/>
      <c r="Q60" s="59"/>
      <c r="R60" s="59"/>
      <c r="S60" s="59"/>
      <c r="T60" s="136"/>
      <c r="U60" s="19"/>
      <c r="V60" s="19"/>
      <c r="W60" s="19"/>
      <c r="X60" s="20"/>
      <c r="Y60" s="33"/>
      <c r="Z60" s="33"/>
      <c r="AA60" s="33"/>
      <c r="AB60" s="6"/>
      <c r="AC60" s="6"/>
      <c r="AD60" s="6"/>
      <c r="AE60" s="6"/>
      <c r="AF60" s="6"/>
      <c r="AG60" s="6"/>
      <c r="AH60" s="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</row>
    <row r="61" ht="13.5" customHeight="1">
      <c r="A61" s="136"/>
      <c r="B61" s="21" t="s">
        <v>156</v>
      </c>
      <c r="C61" s="22"/>
      <c r="D61" s="19" t="s">
        <v>31</v>
      </c>
      <c r="E61" s="23"/>
      <c r="F61" s="34" t="s">
        <v>157</v>
      </c>
      <c r="G61" s="59"/>
      <c r="H61" s="25">
        <v>46188.0</v>
      </c>
      <c r="I61" s="26">
        <v>0.541666666666667</v>
      </c>
      <c r="J61" s="27"/>
      <c r="K61" s="28"/>
      <c r="L61" s="29" t="s">
        <v>33</v>
      </c>
      <c r="M61" s="29" t="s">
        <v>34</v>
      </c>
      <c r="N61" s="29" t="s">
        <v>35</v>
      </c>
      <c r="O61" s="29" t="s">
        <v>36</v>
      </c>
      <c r="P61" s="29" t="s">
        <v>37</v>
      </c>
      <c r="Q61" s="29" t="s">
        <v>38</v>
      </c>
      <c r="R61" s="30" t="s">
        <v>39</v>
      </c>
      <c r="S61" s="31"/>
      <c r="T61" s="32" t="str">
        <f t="shared" ref="T61:T66" si="92">IF(NOT(AND(ISNUMBER(C61),ISNUMBER(E61))),"XXX","")</f>
        <v>XXX</v>
      </c>
      <c r="U61" s="19" t="str">
        <f t="shared" ref="U61:U66" si="93">SUM(Y61,Z61,AA61, AB61)</f>
        <v>0</v>
      </c>
      <c r="Y61" s="33" t="str">
        <f>IF(AND(ISNUMBER(RESULTADOS!C61),ISNUMBER(RESULTADOS!E61),ISNUMBER(C61),ISNUMBER(E61),C61=RESULTADOS!C61,E61=RESULTADOS!E61),2,0)</f>
        <v>0</v>
      </c>
      <c r="Z61" s="33" t="str">
        <f>IF(AND(ISNUMBER(RESULTADOS!C61),ISNUMBER(RESULTADOS!E61),ISNUMBER(C61),ISNUMBER(E61)),IF(OR(AND(C61&gt;E61,RESULTADOS!C61&gt;RESULTADOS!E61),AND(C61&lt;E61,RESULTADOS!C61&lt;RESULTADOS!E61)),1,IF(AND(C61=E61,RESULTADOS!C61=RESULTADOS!E61),2,0)),0)</f>
        <v>0</v>
      </c>
      <c r="AA61" s="33" t="str">
        <f>IF(AND(ISNUMBER(RESULTADOS!C61),ISNUMBER(RESULTADOS!E61),ISNUMBER(C61),ISNUMBER(E61),AND(Z61=1,OR(C61=RESULTADOS!C61,E61=RESULTADOS!E61))),1,0)</f>
        <v>0</v>
      </c>
      <c r="AB61" s="6" t="str">
        <f>IF(
  AND(
    ISNUMBER(RESULTADOS!C61),
    ISNUMBER(RESULTADOS!E61),
    ISNUMBER(C61),
    ISNUMBER(E61),
    AND(Z61=1,AA61=0,(RESULTADOS!C61-RESULTADOS!E61)=(C61-E61))
  ),
  1,
  0
)</f>
        <v>0</v>
      </c>
      <c r="AC61" s="6"/>
      <c r="AD61" s="6"/>
      <c r="AE61" s="6"/>
      <c r="AF61" s="6"/>
      <c r="AG61" s="6"/>
      <c r="AH61" s="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</row>
    <row r="62" ht="13.5" customHeight="1">
      <c r="A62" s="136"/>
      <c r="B62" s="21" t="s">
        <v>158</v>
      </c>
      <c r="C62" s="22">
        <v>1.0</v>
      </c>
      <c r="D62" s="19" t="s">
        <v>31</v>
      </c>
      <c r="E62" s="23">
        <v>1.0</v>
      </c>
      <c r="F62" s="34" t="s">
        <v>159</v>
      </c>
      <c r="G62" s="59"/>
      <c r="H62" s="25">
        <v>46188.0</v>
      </c>
      <c r="I62" s="26">
        <v>0.791666666666667</v>
      </c>
      <c r="J62" s="27"/>
      <c r="K62" s="49" t="s">
        <v>158</v>
      </c>
      <c r="L62" s="19" t="str">
        <f t="shared" ref="L62:L65" si="95">SUM(IF(AND(ISNUMBER(INDIRECT($AC62)),INDIRECT($AC62)&gt;INDIRECT($AF62)),3,IF(AND(ISNUMBER(INDIRECT($AC62)),INDIRECT($AC62)=INDIRECT($AF62)),1,0)),IF(AND(ISNUMBER(INDIRECT($AD62)),INDIRECT($AD62)&gt;INDIRECT($AG62)),3,IF(AND(ISNUMBER(INDIRECT($AD62)),INDIRECT($AD62)=INDIRECT($AG62)),1,0)),IF(AND(ISNUMBER(INDIRECT($AE62)),INDIRECT($AE62)&gt;INDIRECT($AH62)),3,IF(AND(ISNUMBER(INDIRECT($AE62)),INDIRECT($AE62)=INDIRECT($AH62)),1,0)))</f>
        <v>4</v>
      </c>
      <c r="M62" s="19" t="str">
        <f t="shared" ref="M62:M65" si="96">N62-O62</f>
        <v>-1</v>
      </c>
      <c r="N62" s="19" t="str">
        <f t="shared" ref="N62:N65" si="97">SUM(INDIRECT($AC62),INDIRECT($AD62),INDIRECT($AE62))</f>
        <v>4</v>
      </c>
      <c r="O62" s="19" t="str">
        <f t="shared" ref="O62:O65" si="98">SUM(INDIRECT($AF62),INDIRECT($AG62),INDIRECT($AH62))</f>
        <v>5</v>
      </c>
      <c r="P62" s="19" t="str">
        <f t="shared" ref="P62:P65" si="99">SUM(IF(AND(ISNUMBER(INDIRECT($AC62)),INDIRECT($AC62)&gt;INDIRECT($AF62)),1,0),IF(AND(ISNUMBER(INDIRECT($AD62)),INDIRECT($AD62)&gt;INDIRECT($AG62)),1,0),IF(AND(ISNUMBER(INDIRECT($AE62)),INDIRECT($AE62)&gt;INDIRECT($AH62)),1,0))</f>
        <v>1</v>
      </c>
      <c r="Q62" s="19" t="str">
        <f t="shared" ref="Q62:Q65" si="100">SUM(IF(AND(ISNUMBER(INDIRECT($AC62)),INDIRECT($AC62)=INDIRECT($AF62)),1,0),IF(AND(ISNUMBER(INDIRECT($AD62)),INDIRECT($AD62)=INDIRECT($AG62)),1,0),IF(AND(ISNUMBER(INDIRECT($AE62)),INDIRECT($AE62)=INDIRECT($AH62)),1,0))</f>
        <v>1</v>
      </c>
      <c r="R62" s="36" t="str">
        <f t="shared" ref="R62:R65" si="101">SUM(IF(AND(ISNUMBER(INDIRECT($AC62)),INDIRECT($AC62)&lt;INDIRECT($AF62)),1,0),IF(AND(ISNUMBER(INDIRECT($AD62)),INDIRECT($AD62)&lt;INDIRECT($AG62)),1,0),IF(AND(ISNUMBER(INDIRECT($AE62)),INDIRECT($AE62)&lt;INDIRECT($AH62)),1,0))</f>
        <v>1</v>
      </c>
      <c r="S62" s="31"/>
      <c r="T62" s="32" t="str">
        <f t="shared" si="92"/>
        <v/>
      </c>
      <c r="U62" s="19" t="str">
        <f t="shared" si="93"/>
        <v>4</v>
      </c>
      <c r="Y62" s="33" t="str">
        <f>IF(AND(ISNUMBER(RESULTADOS!C62),ISNUMBER(RESULTADOS!E62),ISNUMBER(C62),ISNUMBER(E62),C62=RESULTADOS!C62,E62=RESULTADOS!E62),2,0)</f>
        <v>2</v>
      </c>
      <c r="Z62" s="33" t="str">
        <f>IF(AND(ISNUMBER(RESULTADOS!C62),ISNUMBER(RESULTADOS!E62),ISNUMBER(C62),ISNUMBER(E62)),IF(OR(AND(C62&gt;E62,RESULTADOS!C62&gt;RESULTADOS!E62),AND(C62&lt;E62,RESULTADOS!C62&lt;RESULTADOS!E62)),1,IF(AND(C62=E62,RESULTADOS!C62=RESULTADOS!E62),2,0)),0)</f>
        <v>2</v>
      </c>
      <c r="AA62" s="33" t="str">
        <f>IF(AND(ISNUMBER(RESULTADOS!C62),ISNUMBER(RESULTADOS!E62),ISNUMBER(C62),ISNUMBER(E62),AND(Z62=1,OR(C62=RESULTADOS!C62,E62=RESULTADOS!E62))),1,0)</f>
        <v>0</v>
      </c>
      <c r="AB62" s="6" t="str">
        <f>IF(
  AND(
    ISNUMBER(RESULTADOS!C62),
    ISNUMBER(RESULTADOS!E62),
    ISNUMBER(C62),
    ISNUMBER(E62),
    AND(Z62=1,AA62=0,(RESULTADOS!C62-RESULTADOS!E62)=(C62-E62))
  ),
  1,
  0
)</f>
        <v>0</v>
      </c>
      <c r="AC62" s="6" t="s">
        <v>160</v>
      </c>
      <c r="AD62" s="6" t="s">
        <v>161</v>
      </c>
      <c r="AE62" s="6" t="s">
        <v>162</v>
      </c>
      <c r="AF62" s="6" t="str">
        <f t="shared" ref="AF62:AH62" si="94">IF(ISNUMBER(FIND("C", AC62, 1)), SUBSTITUTE(AC62, "C", "E"), SUBSTITUTE(AC62, "E", "C"))</f>
        <v>E62</v>
      </c>
      <c r="AG62" s="6" t="str">
        <f t="shared" si="94"/>
        <v>C63</v>
      </c>
      <c r="AH62" s="6" t="str">
        <f t="shared" si="94"/>
        <v>C65</v>
      </c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</row>
    <row r="63" ht="12.75" customHeight="1">
      <c r="A63" s="136"/>
      <c r="B63" s="21" t="s">
        <v>156</v>
      </c>
      <c r="C63" s="22">
        <v>3.0</v>
      </c>
      <c r="D63" s="19" t="s">
        <v>31</v>
      </c>
      <c r="E63" s="23">
        <v>0.0</v>
      </c>
      <c r="F63" s="34" t="s">
        <v>158</v>
      </c>
      <c r="G63" s="59"/>
      <c r="H63" s="25">
        <v>46194.0</v>
      </c>
      <c r="I63" s="26">
        <v>0.541666666666667</v>
      </c>
      <c r="J63" s="27"/>
      <c r="K63" s="49" t="s">
        <v>157</v>
      </c>
      <c r="L63" s="19" t="str">
        <f t="shared" si="95"/>
        <v>0</v>
      </c>
      <c r="M63" s="19" t="str">
        <f t="shared" si="96"/>
        <v>-4</v>
      </c>
      <c r="N63" s="19" t="str">
        <f t="shared" si="97"/>
        <v>1</v>
      </c>
      <c r="O63" s="19" t="str">
        <f t="shared" si="98"/>
        <v>5</v>
      </c>
      <c r="P63" s="19" t="str">
        <f t="shared" si="99"/>
        <v>0</v>
      </c>
      <c r="Q63" s="19" t="str">
        <f t="shared" si="100"/>
        <v>0</v>
      </c>
      <c r="R63" s="36" t="str">
        <f t="shared" si="101"/>
        <v>2</v>
      </c>
      <c r="S63" s="59"/>
      <c r="T63" s="32" t="str">
        <f t="shared" si="92"/>
        <v/>
      </c>
      <c r="U63" s="19" t="str">
        <f t="shared" si="93"/>
        <v>0</v>
      </c>
      <c r="Y63" s="33" t="str">
        <f>IF(AND(ISNUMBER(RESULTADOS!C63),ISNUMBER(RESULTADOS!E63),ISNUMBER(C63),ISNUMBER(E63),C63=RESULTADOS!C63,E63=RESULTADOS!E63),2,0)</f>
        <v>0</v>
      </c>
      <c r="Z63" s="33" t="str">
        <f>IF(AND(ISNUMBER(RESULTADOS!C63),ISNUMBER(RESULTADOS!E63),ISNUMBER(C63),ISNUMBER(E63)),IF(OR(AND(C63&gt;E63,RESULTADOS!C63&gt;RESULTADOS!E63),AND(C63&lt;E63,RESULTADOS!C63&lt;RESULTADOS!E63)),1,IF(AND(C63=E63,RESULTADOS!C63=RESULTADOS!E63),2,0)),0)</f>
        <v>0</v>
      </c>
      <c r="AA63" s="33" t="str">
        <f>IF(AND(ISNUMBER(RESULTADOS!C63),ISNUMBER(RESULTADOS!E63),ISNUMBER(C63),ISNUMBER(E63),AND(Z63=1,OR(C63=RESULTADOS!C63,E63=RESULTADOS!E63))),1,0)</f>
        <v>0</v>
      </c>
      <c r="AB63" s="6" t="str">
        <f>IF(
  AND(
    ISNUMBER(RESULTADOS!C63),
    ISNUMBER(RESULTADOS!E63),
    ISNUMBER(C63),
    ISNUMBER(E63),
    AND(Z63=1,AA63=0,(RESULTADOS!C63-RESULTADOS!E63)=(C63-E63))
  ),
  1,
  0
)</f>
        <v>0</v>
      </c>
      <c r="AC63" s="6" t="s">
        <v>163</v>
      </c>
      <c r="AD63" s="6" t="s">
        <v>164</v>
      </c>
      <c r="AE63" s="6" t="s">
        <v>165</v>
      </c>
      <c r="AF63" s="6" t="str">
        <f t="shared" ref="AF63:AH63" si="102">IF(ISNUMBER(FIND("C", AC63, 1)), SUBSTITUTE(AC63, "C", "E"), SUBSTITUTE(AC63, "E", "C"))</f>
        <v>C61</v>
      </c>
      <c r="AG63" s="6" t="str">
        <f t="shared" si="102"/>
        <v>C64</v>
      </c>
      <c r="AH63" s="6" t="str">
        <f t="shared" si="102"/>
        <v>E65</v>
      </c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</row>
    <row r="64" ht="12.75" customHeight="1">
      <c r="A64" s="136"/>
      <c r="B64" s="21" t="s">
        <v>159</v>
      </c>
      <c r="C64" s="22">
        <v>2.0</v>
      </c>
      <c r="D64" s="19" t="s">
        <v>31</v>
      </c>
      <c r="E64" s="23">
        <v>0.0</v>
      </c>
      <c r="F64" s="34" t="s">
        <v>157</v>
      </c>
      <c r="G64" s="59"/>
      <c r="H64" s="25">
        <v>46194.0</v>
      </c>
      <c r="I64" s="26">
        <v>0.791666666666667</v>
      </c>
      <c r="J64" s="27"/>
      <c r="K64" s="49" t="s">
        <v>156</v>
      </c>
      <c r="L64" s="19" t="str">
        <f t="shared" si="95"/>
        <v>6</v>
      </c>
      <c r="M64" s="19" t="str">
        <f t="shared" si="96"/>
        <v>5</v>
      </c>
      <c r="N64" s="19" t="str">
        <f t="shared" si="97"/>
        <v>6</v>
      </c>
      <c r="O64" s="19" t="str">
        <f t="shared" si="98"/>
        <v>1</v>
      </c>
      <c r="P64" s="19" t="str">
        <f t="shared" si="99"/>
        <v>2</v>
      </c>
      <c r="Q64" s="19" t="str">
        <f t="shared" si="100"/>
        <v>0</v>
      </c>
      <c r="R64" s="36" t="str">
        <f t="shared" si="101"/>
        <v>0</v>
      </c>
      <c r="S64" s="59"/>
      <c r="T64" s="32" t="str">
        <f t="shared" si="92"/>
        <v/>
      </c>
      <c r="U64" s="19" t="str">
        <f t="shared" si="93"/>
        <v>0</v>
      </c>
      <c r="Y64" s="33" t="str">
        <f>IF(AND(ISNUMBER(RESULTADOS!C64),ISNUMBER(RESULTADOS!E64),ISNUMBER(C64),ISNUMBER(E64),C64=RESULTADOS!C64,E64=RESULTADOS!E64),2,0)</f>
        <v>0</v>
      </c>
      <c r="Z64" s="33" t="str">
        <f>IF(AND(ISNUMBER(RESULTADOS!C64),ISNUMBER(RESULTADOS!E64),ISNUMBER(C64),ISNUMBER(E64)),IF(OR(AND(C64&gt;E64,RESULTADOS!C64&gt;RESULTADOS!E64),AND(C64&lt;E64,RESULTADOS!C64&lt;RESULTADOS!E64)),1,IF(AND(C64=E64,RESULTADOS!C64=RESULTADOS!E64),2,0)),0)</f>
        <v>0</v>
      </c>
      <c r="AA64" s="33" t="str">
        <f>IF(AND(ISNUMBER(RESULTADOS!C64),ISNUMBER(RESULTADOS!E64),ISNUMBER(C64),ISNUMBER(E64),AND(Z64=1,OR(C64=RESULTADOS!C64,E64=RESULTADOS!E64))),1,0)</f>
        <v>0</v>
      </c>
      <c r="AB64" s="6" t="str">
        <f>IF(
  AND(
    ISNUMBER(RESULTADOS!C64),
    ISNUMBER(RESULTADOS!E64),
    ISNUMBER(C64),
    ISNUMBER(E64),
    AND(Z64=1,AA64=0,(RESULTADOS!C64-RESULTADOS!E64)=(C64-E64))
  ),
  1,
  0
)</f>
        <v>0</v>
      </c>
      <c r="AC64" s="6" t="s">
        <v>166</v>
      </c>
      <c r="AD64" s="6" t="s">
        <v>167</v>
      </c>
      <c r="AE64" s="6" t="s">
        <v>168</v>
      </c>
      <c r="AF64" s="6" t="str">
        <f t="shared" ref="AF64:AH64" si="103">IF(ISNUMBER(FIND("C", AC64, 1)), SUBSTITUTE(AC64, "C", "E"), SUBSTITUTE(AC64, "E", "C"))</f>
        <v>E61</v>
      </c>
      <c r="AG64" s="6" t="str">
        <f t="shared" si="103"/>
        <v>E63</v>
      </c>
      <c r="AH64" s="6" t="str">
        <f t="shared" si="103"/>
        <v>C66</v>
      </c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</row>
    <row r="65" ht="12.75" customHeight="1">
      <c r="A65" s="136"/>
      <c r="B65" s="21" t="s">
        <v>157</v>
      </c>
      <c r="C65" s="22">
        <v>1.0</v>
      </c>
      <c r="D65" s="19" t="s">
        <v>31</v>
      </c>
      <c r="E65" s="23">
        <v>3.0</v>
      </c>
      <c r="F65" s="34" t="s">
        <v>158</v>
      </c>
      <c r="G65" s="59"/>
      <c r="H65" s="25">
        <v>46199.0</v>
      </c>
      <c r="I65" s="26">
        <v>0.875</v>
      </c>
      <c r="J65" s="27"/>
      <c r="K65" s="50" t="s">
        <v>159</v>
      </c>
      <c r="L65" s="38" t="str">
        <f t="shared" si="95"/>
        <v>4</v>
      </c>
      <c r="M65" s="38" t="str">
        <f t="shared" si="96"/>
        <v>0</v>
      </c>
      <c r="N65" s="38" t="str">
        <f t="shared" si="97"/>
        <v>4</v>
      </c>
      <c r="O65" s="38" t="str">
        <f t="shared" si="98"/>
        <v>4</v>
      </c>
      <c r="P65" s="38" t="str">
        <f t="shared" si="99"/>
        <v>1</v>
      </c>
      <c r="Q65" s="38" t="str">
        <f t="shared" si="100"/>
        <v>1</v>
      </c>
      <c r="R65" s="39" t="str">
        <f t="shared" si="101"/>
        <v>1</v>
      </c>
      <c r="S65" s="59"/>
      <c r="T65" s="32" t="str">
        <f t="shared" si="92"/>
        <v/>
      </c>
      <c r="U65" s="19" t="str">
        <f t="shared" si="93"/>
        <v>0</v>
      </c>
      <c r="Y65" s="33" t="str">
        <f>IF(AND(ISNUMBER(RESULTADOS!C65),ISNUMBER(RESULTADOS!E65),ISNUMBER(C65),ISNUMBER(E65),C65=RESULTADOS!C65,E65=RESULTADOS!E65),2,0)</f>
        <v>0</v>
      </c>
      <c r="Z65" s="33" t="str">
        <f>IF(AND(ISNUMBER(RESULTADOS!C65),ISNUMBER(RESULTADOS!E65),ISNUMBER(C65),ISNUMBER(E65)),IF(OR(AND(C65&gt;E65,RESULTADOS!C65&gt;RESULTADOS!E65),AND(C65&lt;E65,RESULTADOS!C65&lt;RESULTADOS!E65)),1,IF(AND(C65=E65,RESULTADOS!C65=RESULTADOS!E65),2,0)),0)</f>
        <v>0</v>
      </c>
      <c r="AA65" s="33" t="str">
        <f>IF(AND(ISNUMBER(RESULTADOS!C65),ISNUMBER(RESULTADOS!E65),ISNUMBER(C65),ISNUMBER(E65),AND(Z65=1,OR(C65=RESULTADOS!C65,E65=RESULTADOS!E65))),1,0)</f>
        <v>0</v>
      </c>
      <c r="AB65" s="6" t="str">
        <f>IF(
  AND(
    ISNUMBER(RESULTADOS!C65),
    ISNUMBER(RESULTADOS!E65),
    ISNUMBER(C65),
    ISNUMBER(E65),
    AND(Z65=1,AA65=0,(RESULTADOS!C65-RESULTADOS!E65)=(C65-E65))
  ),
  1,
  0
)</f>
        <v>0</v>
      </c>
      <c r="AC65" s="6" t="s">
        <v>169</v>
      </c>
      <c r="AD65" s="6" t="s">
        <v>170</v>
      </c>
      <c r="AE65" s="6" t="s">
        <v>171</v>
      </c>
      <c r="AF65" s="6" t="str">
        <f t="shared" ref="AF65:AH65" si="104">IF(ISNUMBER(FIND("C", AC65, 1)), SUBSTITUTE(AC65, "C", "E"), SUBSTITUTE(AC65, "E", "C"))</f>
        <v>C62</v>
      </c>
      <c r="AG65" s="6" t="str">
        <f t="shared" si="104"/>
        <v>E64</v>
      </c>
      <c r="AH65" s="6" t="str">
        <f t="shared" si="104"/>
        <v>E66</v>
      </c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</row>
    <row r="66" ht="13.5" customHeight="1">
      <c r="A66" s="136"/>
      <c r="B66" s="40" t="s">
        <v>159</v>
      </c>
      <c r="C66" s="41">
        <v>1.0</v>
      </c>
      <c r="D66" s="38" t="s">
        <v>31</v>
      </c>
      <c r="E66" s="42">
        <v>3.0</v>
      </c>
      <c r="F66" s="43" t="s">
        <v>156</v>
      </c>
      <c r="G66" s="59"/>
      <c r="H66" s="44">
        <v>46199.0</v>
      </c>
      <c r="I66" s="45">
        <v>0.875</v>
      </c>
      <c r="J66" s="27"/>
      <c r="K66" s="46"/>
      <c r="L66" s="136"/>
      <c r="M66" s="136"/>
      <c r="N66" s="136"/>
      <c r="O66" s="136"/>
      <c r="P66" s="136"/>
      <c r="Q66" s="136"/>
      <c r="R66" s="136"/>
      <c r="S66" s="59"/>
      <c r="T66" s="32" t="str">
        <f t="shared" si="92"/>
        <v/>
      </c>
      <c r="U66" s="19" t="str">
        <f t="shared" si="93"/>
        <v>0</v>
      </c>
      <c r="Y66" s="33" t="str">
        <f>IF(AND(ISNUMBER(RESULTADOS!C66),ISNUMBER(RESULTADOS!E66),ISNUMBER(C66),ISNUMBER(E66),C66=RESULTADOS!C66,E66=RESULTADOS!E66),2,0)</f>
        <v>0</v>
      </c>
      <c r="Z66" s="33" t="str">
        <f>IF(AND(ISNUMBER(RESULTADOS!C66),ISNUMBER(RESULTADOS!E66),ISNUMBER(C66),ISNUMBER(E66)),IF(OR(AND(C66&gt;E66,RESULTADOS!C66&gt;RESULTADOS!E66),AND(C66&lt;E66,RESULTADOS!C66&lt;RESULTADOS!E66)),1,IF(AND(C66=E66,RESULTADOS!C66=RESULTADOS!E66),2,0)),0)</f>
        <v>0</v>
      </c>
      <c r="AA66" s="33" t="str">
        <f>IF(AND(ISNUMBER(RESULTADOS!C66),ISNUMBER(RESULTADOS!E66),ISNUMBER(C66),ISNUMBER(E66),AND(Z66=1,OR(C66=RESULTADOS!C66,E66=RESULTADOS!E66))),1,0)</f>
        <v>0</v>
      </c>
      <c r="AB66" s="6" t="str">
        <f>IF(
  AND(
    ISNUMBER(RESULTADOS!C66),
    ISNUMBER(RESULTADOS!E66),
    ISNUMBER(C66),
    ISNUMBER(E66),
    AND(Z66=1,AA66=0,(RESULTADOS!C66-RESULTADOS!E66)=(C66-E66))
  ),
  1,
  0
)</f>
        <v>0</v>
      </c>
      <c r="AC66" s="6"/>
      <c r="AD66" s="6"/>
      <c r="AE66" s="6"/>
      <c r="AF66" s="6"/>
      <c r="AG66" s="6"/>
      <c r="AH66" s="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</row>
    <row r="67" ht="12.75" customHeight="1">
      <c r="A67" s="136"/>
      <c r="B67" s="13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2"/>
      <c r="V67" s="2"/>
      <c r="W67" s="2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</row>
    <row r="68" ht="12.75" customHeight="1">
      <c r="A68" s="136"/>
      <c r="B68" s="15" t="s">
        <v>172</v>
      </c>
      <c r="C68" s="9"/>
      <c r="D68" s="9"/>
      <c r="E68" s="9"/>
      <c r="F68" s="10"/>
      <c r="G68" s="59"/>
      <c r="H68" s="16" t="s">
        <v>28</v>
      </c>
      <c r="I68" s="17" t="s">
        <v>29</v>
      </c>
      <c r="J68" s="18"/>
      <c r="K68" s="59"/>
      <c r="L68" s="59"/>
      <c r="M68" s="59"/>
      <c r="N68" s="59"/>
      <c r="O68" s="59"/>
      <c r="P68" s="59"/>
      <c r="Q68" s="59"/>
      <c r="R68" s="59"/>
      <c r="S68" s="59"/>
      <c r="T68" s="136"/>
      <c r="U68" s="19"/>
      <c r="V68" s="19"/>
      <c r="W68" s="19"/>
      <c r="X68" s="20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</row>
    <row r="69" ht="12.75" customHeight="1">
      <c r="A69" s="136"/>
      <c r="B69" s="21" t="s">
        <v>173</v>
      </c>
      <c r="C69" s="22">
        <v>3.0</v>
      </c>
      <c r="D69" s="19" t="s">
        <v>31</v>
      </c>
      <c r="E69" s="23">
        <v>1.0</v>
      </c>
      <c r="F69" s="34" t="s">
        <v>174</v>
      </c>
      <c r="G69" s="59"/>
      <c r="H69" s="25">
        <v>46189.0</v>
      </c>
      <c r="I69" s="26">
        <v>0.666666666666667</v>
      </c>
      <c r="J69" s="27"/>
      <c r="K69" s="28"/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37</v>
      </c>
      <c r="Q69" s="29" t="s">
        <v>38</v>
      </c>
      <c r="R69" s="30" t="s">
        <v>39</v>
      </c>
      <c r="S69" s="31"/>
      <c r="T69" s="32" t="str">
        <f t="shared" ref="T69:T74" si="105">IF(NOT(AND(ISNUMBER(C69),ISNUMBER(E69))),"XXX","")</f>
        <v/>
      </c>
      <c r="U69" s="19" t="str">
        <f t="shared" ref="U69:U74" si="106">SUM(Y69,Z69,AA69, AB69)</f>
        <v>4</v>
      </c>
      <c r="Y69" s="33" t="str">
        <f>IF(AND(ISNUMBER(RESULTADOS!C69),ISNUMBER(RESULTADOS!E69),ISNUMBER(C69),ISNUMBER(E69),C69=RESULTADOS!C69,E69=RESULTADOS!E69),2,0)</f>
        <v>2</v>
      </c>
      <c r="Z69" s="33" t="str">
        <f>IF(AND(ISNUMBER(RESULTADOS!C69),ISNUMBER(RESULTADOS!E69),ISNUMBER(C69),ISNUMBER(E69)),IF(OR(AND(C69&gt;E69,RESULTADOS!C69&gt;RESULTADOS!E69),AND(C69&lt;E69,RESULTADOS!C69&lt;RESULTADOS!E69)),1,IF(AND(C69=E69,RESULTADOS!C69=RESULTADOS!E69),2,0)),0)</f>
        <v>1</v>
      </c>
      <c r="AA69" s="33" t="str">
        <f>IF(AND(ISNUMBER(RESULTADOS!C69),ISNUMBER(RESULTADOS!E69),ISNUMBER(C69),ISNUMBER(E69),AND(Z69=1,OR(C69=RESULTADOS!C69,E69=RESULTADOS!E69))),1,0)</f>
        <v>1</v>
      </c>
      <c r="AB69" s="6" t="str">
        <f>IF(
  AND(
    ISNUMBER(RESULTADOS!C69),
    ISNUMBER(RESULTADOS!E69),
    ISNUMBER(C69),
    ISNUMBER(E69),
    AND(Z69=1,AA69=0,(RESULTADOS!C69-RESULTADOS!E69)=(C69-E69))
  ),
  1,
  0
)</f>
        <v>0</v>
      </c>
      <c r="AC69" s="6"/>
      <c r="AD69" s="6"/>
      <c r="AE69" s="6"/>
      <c r="AF69" s="6"/>
      <c r="AG69" s="6"/>
      <c r="AH69" s="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</row>
    <row r="70" ht="12.75" customHeight="1">
      <c r="A70" s="136"/>
      <c r="B70" s="21" t="s">
        <v>175</v>
      </c>
      <c r="C70" s="22">
        <v>0.0</v>
      </c>
      <c r="D70" s="19" t="s">
        <v>31</v>
      </c>
      <c r="E70" s="23">
        <v>2.0</v>
      </c>
      <c r="F70" s="34" t="s">
        <v>176</v>
      </c>
      <c r="G70" s="59"/>
      <c r="H70" s="25">
        <v>46189.0</v>
      </c>
      <c r="I70" s="26">
        <v>0.791666666666667</v>
      </c>
      <c r="J70" s="27"/>
      <c r="K70" s="49" t="s">
        <v>173</v>
      </c>
      <c r="L70" s="19" t="str">
        <f t="shared" ref="L70:L73" si="108">SUM(IF(AND(ISNUMBER(INDIRECT($AC70)),INDIRECT($AC70)&gt;INDIRECT($AF70)),3,IF(AND(ISNUMBER(INDIRECT($AC70)),INDIRECT($AC70)=INDIRECT($AF70)),1,0)),IF(AND(ISNUMBER(INDIRECT($AD70)),INDIRECT($AD70)&gt;INDIRECT($AG70)),3,IF(AND(ISNUMBER(INDIRECT($AD70)),INDIRECT($AD70)=INDIRECT($AG70)),1,0)),IF(AND(ISNUMBER(INDIRECT($AE70)),INDIRECT($AE70)&gt;INDIRECT($AH70)),3,IF(AND(ISNUMBER(INDIRECT($AE70)),INDIRECT($AE70)=INDIRECT($AH70)),1,0)))</f>
        <v>9</v>
      </c>
      <c r="M70" s="19" t="str">
        <f t="shared" ref="M70:M73" si="109">N70-O70</f>
        <v>9</v>
      </c>
      <c r="N70" s="19" t="str">
        <f t="shared" ref="N70:N73" si="110">SUM(INDIRECT($AC70),INDIRECT($AD70),INDIRECT($AE70))</f>
        <v>10</v>
      </c>
      <c r="O70" s="19" t="str">
        <f t="shared" ref="O70:O73" si="111">SUM(INDIRECT($AF70),INDIRECT($AG70),INDIRECT($AH70))</f>
        <v>1</v>
      </c>
      <c r="P70" s="19" t="str">
        <f t="shared" ref="P70:P73" si="112">SUM(IF(AND(ISNUMBER(INDIRECT($AC70)),INDIRECT($AC70)&gt;INDIRECT($AF70)),1,0),IF(AND(ISNUMBER(INDIRECT($AD70)),INDIRECT($AD70)&gt;INDIRECT($AG70)),1,0),IF(AND(ISNUMBER(INDIRECT($AE70)),INDIRECT($AE70)&gt;INDIRECT($AH70)),1,0))</f>
        <v>3</v>
      </c>
      <c r="Q70" s="19" t="str">
        <f t="shared" ref="Q70:Q73" si="113">SUM(IF(AND(ISNUMBER(INDIRECT($AC70)),INDIRECT($AC70)=INDIRECT($AF70)),1,0),IF(AND(ISNUMBER(INDIRECT($AD70)),INDIRECT($AD70)=INDIRECT($AG70)),1,0),IF(AND(ISNUMBER(INDIRECT($AE70)),INDIRECT($AE70)=INDIRECT($AH70)),1,0))</f>
        <v>0</v>
      </c>
      <c r="R70" s="36" t="str">
        <f t="shared" ref="R70:R73" si="114">SUM(IF(AND(ISNUMBER(INDIRECT($AC70)),INDIRECT($AC70)&lt;INDIRECT($AF70)),1,0),IF(AND(ISNUMBER(INDIRECT($AD70)),INDIRECT($AD70)&lt;INDIRECT($AG70)),1,0),IF(AND(ISNUMBER(INDIRECT($AE70)),INDIRECT($AE70)&lt;INDIRECT($AH70)),1,0))</f>
        <v>0</v>
      </c>
      <c r="S70" s="31"/>
      <c r="T70" s="32" t="str">
        <f t="shared" si="105"/>
        <v/>
      </c>
      <c r="U70" s="19" t="str">
        <f t="shared" si="106"/>
        <v>1</v>
      </c>
      <c r="Y70" s="33" t="str">
        <f>IF(AND(ISNUMBER(RESULTADOS!C70),ISNUMBER(RESULTADOS!E70),ISNUMBER(C70),ISNUMBER(E70),C70=RESULTADOS!C70,E70=RESULTADOS!E70),2,0)</f>
        <v>0</v>
      </c>
      <c r="Z70" s="33" t="str">
        <f>IF(AND(ISNUMBER(RESULTADOS!C70),ISNUMBER(RESULTADOS!E70),ISNUMBER(C70),ISNUMBER(E70)),IF(OR(AND(C70&gt;E70,RESULTADOS!C70&gt;RESULTADOS!E70),AND(C70&lt;E70,RESULTADOS!C70&lt;RESULTADOS!E70)),1,IF(AND(C70=E70,RESULTADOS!C70=RESULTADOS!E70),2,0)),0)</f>
        <v>1</v>
      </c>
      <c r="AA70" s="33" t="str">
        <f>IF(AND(ISNUMBER(RESULTADOS!C70),ISNUMBER(RESULTADOS!E70),ISNUMBER(C70),ISNUMBER(E70),AND(Z70=1,OR(C70=RESULTADOS!C70,E70=RESULTADOS!E70))),1,0)</f>
        <v>0</v>
      </c>
      <c r="AB70" s="6" t="str">
        <f>IF(
  AND(
    ISNUMBER(RESULTADOS!C70),
    ISNUMBER(RESULTADOS!E70),
    ISNUMBER(C70),
    ISNUMBER(E70),
    AND(Z70=1,AA70=0,(RESULTADOS!C70-RESULTADOS!E70)=(C70-E70))
  ),
  1,
  0
)</f>
        <v>0</v>
      </c>
      <c r="AC70" s="6" t="s">
        <v>177</v>
      </c>
      <c r="AD70" s="6" t="s">
        <v>178</v>
      </c>
      <c r="AE70" s="6" t="s">
        <v>179</v>
      </c>
      <c r="AF70" s="6" t="str">
        <f t="shared" ref="AF70:AH70" si="107">IF(ISNUMBER(FIND("C", AC70, 1)), SUBSTITUTE(AC70, "C", "E"), SUBSTITUTE(AC70, "E", "C"))</f>
        <v>E69</v>
      </c>
      <c r="AG70" s="6" t="str">
        <f t="shared" si="107"/>
        <v>E71</v>
      </c>
      <c r="AH70" s="6" t="str">
        <f t="shared" si="107"/>
        <v>C74</v>
      </c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</row>
    <row r="71" ht="12.75" customHeight="1">
      <c r="A71" s="136"/>
      <c r="B71" s="21" t="s">
        <v>173</v>
      </c>
      <c r="C71" s="22">
        <v>4.0</v>
      </c>
      <c r="D71" s="19" t="s">
        <v>31</v>
      </c>
      <c r="E71" s="23">
        <v>0.0</v>
      </c>
      <c r="F71" s="34" t="s">
        <v>175</v>
      </c>
      <c r="G71" s="59"/>
      <c r="H71" s="25">
        <v>46195.0</v>
      </c>
      <c r="I71" s="26">
        <v>0.75</v>
      </c>
      <c r="J71" s="27"/>
      <c r="K71" s="49" t="s">
        <v>175</v>
      </c>
      <c r="L71" s="19" t="str">
        <f t="shared" si="108"/>
        <v>0</v>
      </c>
      <c r="M71" s="19" t="str">
        <f t="shared" si="109"/>
        <v>-9</v>
      </c>
      <c r="N71" s="19" t="str">
        <f t="shared" si="110"/>
        <v>0</v>
      </c>
      <c r="O71" s="19" t="str">
        <f t="shared" si="111"/>
        <v>9</v>
      </c>
      <c r="P71" s="19" t="str">
        <f t="shared" si="112"/>
        <v>0</v>
      </c>
      <c r="Q71" s="19" t="str">
        <f t="shared" si="113"/>
        <v>0</v>
      </c>
      <c r="R71" s="36" t="str">
        <f t="shared" si="114"/>
        <v>3</v>
      </c>
      <c r="S71" s="59"/>
      <c r="T71" s="32" t="str">
        <f t="shared" si="105"/>
        <v/>
      </c>
      <c r="U71" s="19" t="str">
        <f t="shared" si="106"/>
        <v>0</v>
      </c>
      <c r="Y71" s="33" t="str">
        <f>IF(AND(ISNUMBER(RESULTADOS!C71),ISNUMBER(RESULTADOS!E71),ISNUMBER(C71),ISNUMBER(E71),C71=RESULTADOS!C71,E71=RESULTADOS!E71),2,0)</f>
        <v>0</v>
      </c>
      <c r="Z71" s="33" t="str">
        <f>IF(AND(ISNUMBER(RESULTADOS!C71),ISNUMBER(RESULTADOS!E71),ISNUMBER(C71),ISNUMBER(E71)),IF(OR(AND(C71&gt;E71,RESULTADOS!C71&gt;RESULTADOS!E71),AND(C71&lt;E71,RESULTADOS!C71&lt;RESULTADOS!E71)),1,IF(AND(C71=E71,RESULTADOS!C71=RESULTADOS!E71),2,0)),0)</f>
        <v>0</v>
      </c>
      <c r="AA71" s="33" t="str">
        <f>IF(AND(ISNUMBER(RESULTADOS!C71),ISNUMBER(RESULTADOS!E71),ISNUMBER(C71),ISNUMBER(E71),AND(Z71=1,OR(C71=RESULTADOS!C71,E71=RESULTADOS!E71))),1,0)</f>
        <v>0</v>
      </c>
      <c r="AB71" s="6" t="str">
        <f>IF(
  AND(
    ISNUMBER(RESULTADOS!C71),
    ISNUMBER(RESULTADOS!E71),
    ISNUMBER(C71),
    ISNUMBER(E71),
    AND(Z71=1,AA71=0,(RESULTADOS!C71-RESULTADOS!E71)=(C71-E71))
  ),
  1,
  0
)</f>
        <v>0</v>
      </c>
      <c r="AC71" s="6" t="s">
        <v>180</v>
      </c>
      <c r="AD71" s="6" t="s">
        <v>181</v>
      </c>
      <c r="AE71" s="6" t="s">
        <v>182</v>
      </c>
      <c r="AF71" s="6" t="str">
        <f t="shared" ref="AF71:AH71" si="115">IF(ISNUMBER(FIND("C", AC71, 1)), SUBSTITUTE(AC71, "C", "E"), SUBSTITUTE(AC71, "E", "C"))</f>
        <v>E70</v>
      </c>
      <c r="AG71" s="6" t="str">
        <f t="shared" si="115"/>
        <v>C71</v>
      </c>
      <c r="AH71" s="6" t="str">
        <f t="shared" si="115"/>
        <v>C73</v>
      </c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</row>
    <row r="72" ht="12.75" customHeight="1">
      <c r="A72" s="136"/>
      <c r="B72" s="21" t="s">
        <v>176</v>
      </c>
      <c r="C72" s="22">
        <v>1.0</v>
      </c>
      <c r="D72" s="19" t="s">
        <v>31</v>
      </c>
      <c r="E72" s="23">
        <v>2.0</v>
      </c>
      <c r="F72" s="34" t="s">
        <v>174</v>
      </c>
      <c r="G72" s="59"/>
      <c r="H72" s="25">
        <v>46195.0</v>
      </c>
      <c r="I72" s="26">
        <v>0.875</v>
      </c>
      <c r="J72" s="27"/>
      <c r="K72" s="49" t="s">
        <v>176</v>
      </c>
      <c r="L72" s="19" t="str">
        <f t="shared" si="108"/>
        <v>3</v>
      </c>
      <c r="M72" s="19" t="str">
        <f t="shared" si="109"/>
        <v>-2</v>
      </c>
      <c r="N72" s="19" t="str">
        <f t="shared" si="110"/>
        <v>3</v>
      </c>
      <c r="O72" s="19" t="str">
        <f t="shared" si="111"/>
        <v>5</v>
      </c>
      <c r="P72" s="19" t="str">
        <f t="shared" si="112"/>
        <v>1</v>
      </c>
      <c r="Q72" s="19" t="str">
        <f t="shared" si="113"/>
        <v>0</v>
      </c>
      <c r="R72" s="36" t="str">
        <f t="shared" si="114"/>
        <v>2</v>
      </c>
      <c r="S72" s="59"/>
      <c r="T72" s="32" t="str">
        <f t="shared" si="105"/>
        <v/>
      </c>
      <c r="U72" s="19" t="str">
        <f t="shared" si="106"/>
        <v>0</v>
      </c>
      <c r="Y72" s="33" t="str">
        <f>IF(AND(ISNUMBER(RESULTADOS!C72),ISNUMBER(RESULTADOS!E72),ISNUMBER(C72),ISNUMBER(E72),C72=RESULTADOS!C72,E72=RESULTADOS!E72),2,0)</f>
        <v>0</v>
      </c>
      <c r="Z72" s="33" t="str">
        <f>IF(AND(ISNUMBER(RESULTADOS!C72),ISNUMBER(RESULTADOS!E72),ISNUMBER(C72),ISNUMBER(E72)),IF(OR(AND(C72&gt;E72,RESULTADOS!C72&gt;RESULTADOS!E72),AND(C72&lt;E72,RESULTADOS!C72&lt;RESULTADOS!E72)),1,IF(AND(C72=E72,RESULTADOS!C72=RESULTADOS!E72),2,0)),0)</f>
        <v>0</v>
      </c>
      <c r="AA72" s="33" t="str">
        <f>IF(AND(ISNUMBER(RESULTADOS!C72),ISNUMBER(RESULTADOS!E72),ISNUMBER(C72),ISNUMBER(E72),AND(Z72=1,OR(C72=RESULTADOS!C72,E72=RESULTADOS!E72))),1,0)</f>
        <v>0</v>
      </c>
      <c r="AB72" s="6" t="str">
        <f>IF(
  AND(
    ISNUMBER(RESULTADOS!C72),
    ISNUMBER(RESULTADOS!E72),
    ISNUMBER(C72),
    ISNUMBER(E72),
    AND(Z72=1,AA72=0,(RESULTADOS!C72-RESULTADOS!E72)=(C72-E72))
  ),
  1,
  0
)</f>
        <v>0</v>
      </c>
      <c r="AC72" s="6" t="s">
        <v>183</v>
      </c>
      <c r="AD72" s="6" t="s">
        <v>184</v>
      </c>
      <c r="AE72" s="6" t="s">
        <v>185</v>
      </c>
      <c r="AF72" s="6" t="str">
        <f t="shared" ref="AF72:AH72" si="116">IF(ISNUMBER(FIND("C", AC72, 1)), SUBSTITUTE(AC72, "C", "E"), SUBSTITUTE(AC72, "E", "C"))</f>
        <v>C70</v>
      </c>
      <c r="AG72" s="6" t="str">
        <f t="shared" si="116"/>
        <v>E72</v>
      </c>
      <c r="AH72" s="6" t="str">
        <f t="shared" si="116"/>
        <v>E74</v>
      </c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</row>
    <row r="73" ht="12.75" customHeight="1">
      <c r="A73" s="136"/>
      <c r="B73" s="21" t="s">
        <v>174</v>
      </c>
      <c r="C73" s="22">
        <v>3.0</v>
      </c>
      <c r="D73" s="19" t="s">
        <v>31</v>
      </c>
      <c r="E73" s="23">
        <v>0.0</v>
      </c>
      <c r="F73" s="34" t="s">
        <v>175</v>
      </c>
      <c r="G73" s="59"/>
      <c r="H73" s="25">
        <v>46199.0</v>
      </c>
      <c r="I73" s="26">
        <v>0.666666666666667</v>
      </c>
      <c r="J73" s="27"/>
      <c r="K73" s="50" t="s">
        <v>174</v>
      </c>
      <c r="L73" s="38" t="str">
        <f t="shared" si="108"/>
        <v>6</v>
      </c>
      <c r="M73" s="38" t="str">
        <f t="shared" si="109"/>
        <v>2</v>
      </c>
      <c r="N73" s="38" t="str">
        <f t="shared" si="110"/>
        <v>6</v>
      </c>
      <c r="O73" s="38" t="str">
        <f t="shared" si="111"/>
        <v>4</v>
      </c>
      <c r="P73" s="38" t="str">
        <f t="shared" si="112"/>
        <v>2</v>
      </c>
      <c r="Q73" s="38" t="str">
        <f t="shared" si="113"/>
        <v>0</v>
      </c>
      <c r="R73" s="39" t="str">
        <f t="shared" si="114"/>
        <v>1</v>
      </c>
      <c r="S73" s="59"/>
      <c r="T73" s="32" t="str">
        <f t="shared" si="105"/>
        <v/>
      </c>
      <c r="U73" s="19" t="str">
        <f t="shared" si="106"/>
        <v>0</v>
      </c>
      <c r="Y73" s="33" t="str">
        <f>IF(AND(ISNUMBER(RESULTADOS!C73),ISNUMBER(RESULTADOS!E73),ISNUMBER(C73),ISNUMBER(E73),C73=RESULTADOS!C73,E73=RESULTADOS!E73),2,0)</f>
        <v>0</v>
      </c>
      <c r="Z73" s="33" t="str">
        <f>IF(AND(ISNUMBER(RESULTADOS!C73),ISNUMBER(RESULTADOS!E73),ISNUMBER(C73),ISNUMBER(E73)),IF(OR(AND(C73&gt;E73,RESULTADOS!C73&gt;RESULTADOS!E73),AND(C73&lt;E73,RESULTADOS!C73&lt;RESULTADOS!E73)),1,IF(AND(C73=E73,RESULTADOS!C73=RESULTADOS!E73),2,0)),0)</f>
        <v>0</v>
      </c>
      <c r="AA73" s="33" t="str">
        <f>IF(AND(ISNUMBER(RESULTADOS!C73),ISNUMBER(RESULTADOS!E73),ISNUMBER(C73),ISNUMBER(E73),AND(Z73=1,OR(C73=RESULTADOS!C73,E73=RESULTADOS!E73))),1,0)</f>
        <v>0</v>
      </c>
      <c r="AB73" s="6" t="str">
        <f>IF(
  AND(
    ISNUMBER(RESULTADOS!C73),
    ISNUMBER(RESULTADOS!E73),
    ISNUMBER(C73),
    ISNUMBER(E73),
    AND(Z73=1,AA73=0,(RESULTADOS!C73-RESULTADOS!E73)=(C73-E73))
  ),
  1,
  0
)</f>
        <v>0</v>
      </c>
      <c r="AC73" s="6" t="s">
        <v>186</v>
      </c>
      <c r="AD73" s="6" t="s">
        <v>187</v>
      </c>
      <c r="AE73" s="6" t="s">
        <v>188</v>
      </c>
      <c r="AF73" s="6" t="str">
        <f t="shared" ref="AF73:AH73" si="117">IF(ISNUMBER(FIND("C", AC73, 1)), SUBSTITUTE(AC73, "C", "E"), SUBSTITUTE(AC73, "E", "C"))</f>
        <v>C69</v>
      </c>
      <c r="AG73" s="6" t="str">
        <f t="shared" si="117"/>
        <v>C72</v>
      </c>
      <c r="AH73" s="6" t="str">
        <f t="shared" si="117"/>
        <v>E73</v>
      </c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</row>
    <row r="74" ht="12.75" customHeight="1">
      <c r="A74" s="136"/>
      <c r="B74" s="40" t="s">
        <v>176</v>
      </c>
      <c r="C74" s="41">
        <v>0.0</v>
      </c>
      <c r="D74" s="38" t="s">
        <v>31</v>
      </c>
      <c r="E74" s="42">
        <v>3.0</v>
      </c>
      <c r="F74" s="43" t="s">
        <v>173</v>
      </c>
      <c r="G74" s="59"/>
      <c r="H74" s="44">
        <v>46199.0</v>
      </c>
      <c r="I74" s="45">
        <v>0.666666666666667</v>
      </c>
      <c r="J74" s="27"/>
      <c r="K74" s="46"/>
      <c r="L74" s="136"/>
      <c r="M74" s="136"/>
      <c r="N74" s="136"/>
      <c r="O74" s="136"/>
      <c r="P74" s="136"/>
      <c r="Q74" s="136"/>
      <c r="R74" s="136"/>
      <c r="S74" s="59"/>
      <c r="T74" s="32" t="str">
        <f t="shared" si="105"/>
        <v/>
      </c>
      <c r="U74" s="19" t="str">
        <f t="shared" si="106"/>
        <v>0</v>
      </c>
      <c r="Y74" s="33" t="str">
        <f>IF(AND(ISNUMBER(RESULTADOS!C74),ISNUMBER(RESULTADOS!E74),ISNUMBER(C74),ISNUMBER(E74),C74=RESULTADOS!C74,E74=RESULTADOS!E74),2,0)</f>
        <v>0</v>
      </c>
      <c r="Z74" s="33" t="str">
        <f>IF(AND(ISNUMBER(RESULTADOS!C74),ISNUMBER(RESULTADOS!E74),ISNUMBER(C74),ISNUMBER(E74)),IF(OR(AND(C74&gt;E74,RESULTADOS!C74&gt;RESULTADOS!E74),AND(C74&lt;E74,RESULTADOS!C74&lt;RESULTADOS!E74)),1,IF(AND(C74=E74,RESULTADOS!C74=RESULTADOS!E74),2,0)),0)</f>
        <v>0</v>
      </c>
      <c r="AA74" s="33" t="str">
        <f>IF(AND(ISNUMBER(RESULTADOS!C74),ISNUMBER(RESULTADOS!E74),ISNUMBER(C74),ISNUMBER(E74),AND(Z74=1,OR(C74=RESULTADOS!C74,E74=RESULTADOS!E74))),1,0)</f>
        <v>0</v>
      </c>
      <c r="AB74" s="6" t="str">
        <f>IF(
  AND(
    ISNUMBER(RESULTADOS!C74),
    ISNUMBER(RESULTADOS!E74),
    ISNUMBER(C74),
    ISNUMBER(E74),
    AND(Z74=1,AA74=0,(RESULTADOS!C74-RESULTADOS!E74)=(C74-E74))
  ),
  1,
  0
)</f>
        <v>0</v>
      </c>
      <c r="AC74" s="6"/>
      <c r="AD74" s="6"/>
      <c r="AE74" s="6"/>
      <c r="AF74" s="6"/>
      <c r="AG74" s="6"/>
      <c r="AH74" s="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</row>
    <row r="75" ht="12.75" customHeight="1">
      <c r="A75" s="136"/>
      <c r="B75" s="4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136"/>
      <c r="U75" s="2"/>
      <c r="V75" s="2"/>
      <c r="W75" s="2"/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</row>
    <row r="76" ht="12.75" customHeight="1">
      <c r="A76" s="136"/>
      <c r="B76" s="15" t="s">
        <v>189</v>
      </c>
      <c r="C76" s="9"/>
      <c r="D76" s="9"/>
      <c r="E76" s="9"/>
      <c r="F76" s="10"/>
      <c r="G76" s="59"/>
      <c r="H76" s="16" t="s">
        <v>28</v>
      </c>
      <c r="I76" s="17" t="s">
        <v>29</v>
      </c>
      <c r="J76" s="18"/>
      <c r="K76" s="59"/>
      <c r="L76" s="59"/>
      <c r="M76" s="59"/>
      <c r="N76" s="59"/>
      <c r="O76" s="59"/>
      <c r="P76" s="59"/>
      <c r="Q76" s="59"/>
      <c r="R76" s="59"/>
      <c r="S76" s="59"/>
      <c r="T76" s="136"/>
      <c r="U76" s="19"/>
      <c r="V76" s="19"/>
      <c r="W76" s="19"/>
      <c r="X76" s="20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</row>
    <row r="77" ht="12.75" customHeight="1">
      <c r="A77" s="136"/>
      <c r="B77" s="21" t="s">
        <v>190</v>
      </c>
      <c r="C77" s="22">
        <v>2.0</v>
      </c>
      <c r="D77" s="19" t="s">
        <v>31</v>
      </c>
      <c r="E77" s="23">
        <v>1.0</v>
      </c>
      <c r="F77" s="34" t="s">
        <v>191</v>
      </c>
      <c r="G77" s="59"/>
      <c r="H77" s="25">
        <v>46189.0</v>
      </c>
      <c r="I77" s="26">
        <v>0.916666666666667</v>
      </c>
      <c r="J77" s="27"/>
      <c r="K77" s="28"/>
      <c r="L77" s="29" t="s">
        <v>33</v>
      </c>
      <c r="M77" s="29" t="s">
        <v>34</v>
      </c>
      <c r="N77" s="29" t="s">
        <v>35</v>
      </c>
      <c r="O77" s="29" t="s">
        <v>36</v>
      </c>
      <c r="P77" s="29" t="s">
        <v>37</v>
      </c>
      <c r="Q77" s="29" t="s">
        <v>38</v>
      </c>
      <c r="R77" s="30" t="s">
        <v>39</v>
      </c>
      <c r="S77" s="31"/>
      <c r="T77" s="32" t="str">
        <f t="shared" ref="T77:T82" si="118">IF(NOT(AND(ISNUMBER(C77),ISNUMBER(E77))),"XXX","")</f>
        <v/>
      </c>
      <c r="U77" s="19" t="str">
        <f t="shared" ref="U77:U82" si="119">SUM(Y77,Z77,AA77, AB77)</f>
        <v>1</v>
      </c>
      <c r="Y77" s="33" t="str">
        <f>IF(AND(ISNUMBER(RESULTADOS!C77),ISNUMBER(RESULTADOS!E77),ISNUMBER(C77),ISNUMBER(E77),C77=RESULTADOS!C77,E77=RESULTADOS!E77),2,0)</f>
        <v>0</v>
      </c>
      <c r="Z77" s="33" t="str">
        <f>IF(AND(ISNUMBER(RESULTADOS!C77),ISNUMBER(RESULTADOS!E77),ISNUMBER(C77),ISNUMBER(E77)),IF(OR(AND(C77&gt;E77,RESULTADOS!C77&gt;RESULTADOS!E77),AND(C77&lt;E77,RESULTADOS!C77&lt;RESULTADOS!E77)),1,IF(AND(C77=E77,RESULTADOS!C77=RESULTADOS!E77),2,0)),0)</f>
        <v>1</v>
      </c>
      <c r="AA77" s="33" t="str">
        <f>IF(AND(ISNUMBER(RESULTADOS!C77),ISNUMBER(RESULTADOS!E77),ISNUMBER(C77),ISNUMBER(E77),AND(Z77=1,OR(C77=RESULTADOS!C77,E77=RESULTADOS!E77))),1,0)</f>
        <v>0</v>
      </c>
      <c r="AB77" s="6" t="str">
        <f>IF(
  AND(
    ISNUMBER(RESULTADOS!C77),
    ISNUMBER(RESULTADOS!E77),
    ISNUMBER(C77),
    ISNUMBER(E77),
    AND(Z77=1,AA77=0,(RESULTADOS!C77-RESULTADOS!E77)=(C77-E77))
  ),
  1,
  0
)</f>
        <v>0</v>
      </c>
      <c r="AC77" s="6"/>
      <c r="AD77" s="6"/>
      <c r="AE77" s="6"/>
      <c r="AF77" s="6"/>
      <c r="AG77" s="6"/>
      <c r="AH77" s="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</row>
    <row r="78" ht="12.75" customHeight="1">
      <c r="A78" s="136"/>
      <c r="B78" s="21" t="s">
        <v>192</v>
      </c>
      <c r="C78" s="22">
        <v>2.0</v>
      </c>
      <c r="D78" s="19" t="s">
        <v>31</v>
      </c>
      <c r="E78" s="23">
        <v>0.0</v>
      </c>
      <c r="F78" s="34" t="s">
        <v>193</v>
      </c>
      <c r="G78" s="59"/>
      <c r="H78" s="25">
        <v>46190.0</v>
      </c>
      <c r="I78" s="26">
        <v>0.0416666666666667</v>
      </c>
      <c r="J78" s="27"/>
      <c r="K78" s="49" t="s">
        <v>190</v>
      </c>
      <c r="L78" s="19" t="str">
        <f t="shared" ref="L78:L81" si="121">SUM(IF(AND(ISNUMBER(INDIRECT($AC78)),INDIRECT($AC78)&gt;INDIRECT($AF78)),3,IF(AND(ISNUMBER(INDIRECT($AC78)),INDIRECT($AC78)=INDIRECT($AF78)),1,0)),IF(AND(ISNUMBER(INDIRECT($AD78)),INDIRECT($AD78)&gt;INDIRECT($AG78)),3,IF(AND(ISNUMBER(INDIRECT($AD78)),INDIRECT($AD78)=INDIRECT($AG78)),1,0)),IF(AND(ISNUMBER(INDIRECT($AE78)),INDIRECT($AE78)&gt;INDIRECT($AH78)),3,IF(AND(ISNUMBER(INDIRECT($AE78)),INDIRECT($AE78)=INDIRECT($AH78)),1,0)))</f>
        <v>9</v>
      </c>
      <c r="M78" s="19" t="str">
        <f t="shared" ref="M78:M81" si="122">N78-O78</f>
        <v>6</v>
      </c>
      <c r="N78" s="19" t="str">
        <f t="shared" ref="N78:N81" si="123">SUM(INDIRECT($AC78),INDIRECT($AD78),INDIRECT($AE78))</f>
        <v>7</v>
      </c>
      <c r="O78" s="19" t="str">
        <f t="shared" ref="O78:O81" si="124">SUM(INDIRECT($AF78),INDIRECT($AG78),INDIRECT($AH78))</f>
        <v>1</v>
      </c>
      <c r="P78" s="19" t="str">
        <f t="shared" ref="P78:P81" si="125">SUM(IF(AND(ISNUMBER(INDIRECT($AC78)),INDIRECT($AC78)&gt;INDIRECT($AF78)),1,0),IF(AND(ISNUMBER(INDIRECT($AD78)),INDIRECT($AD78)&gt;INDIRECT($AG78)),1,0),IF(AND(ISNUMBER(INDIRECT($AE78)),INDIRECT($AE78)&gt;INDIRECT($AH78)),1,0))</f>
        <v>3</v>
      </c>
      <c r="Q78" s="19" t="str">
        <f t="shared" ref="Q78:Q81" si="126">SUM(IF(AND(ISNUMBER(INDIRECT($AC78)),INDIRECT($AC78)=INDIRECT($AF78)),1,0),IF(AND(ISNUMBER(INDIRECT($AD78)),INDIRECT($AD78)=INDIRECT($AG78)),1,0),IF(AND(ISNUMBER(INDIRECT($AE78)),INDIRECT($AE78)=INDIRECT($AH78)),1,0))</f>
        <v>0</v>
      </c>
      <c r="R78" s="36" t="str">
        <f t="shared" ref="R78:R81" si="127">SUM(IF(AND(ISNUMBER(INDIRECT($AC78)),INDIRECT($AC78)&lt;INDIRECT($AF78)),1,0),IF(AND(ISNUMBER(INDIRECT($AD78)),INDIRECT($AD78)&lt;INDIRECT($AG78)),1,0),IF(AND(ISNUMBER(INDIRECT($AE78)),INDIRECT($AE78)&lt;INDIRECT($AH78)),1,0))</f>
        <v>0</v>
      </c>
      <c r="S78" s="31"/>
      <c r="T78" s="32" t="str">
        <f t="shared" si="118"/>
        <v/>
      </c>
      <c r="U78" s="19" t="str">
        <f t="shared" si="119"/>
        <v>2</v>
      </c>
      <c r="Y78" s="33" t="str">
        <f>IF(AND(ISNUMBER(RESULTADOS!C78),ISNUMBER(RESULTADOS!E78),ISNUMBER(C78),ISNUMBER(E78),C78=RESULTADOS!C78,E78=RESULTADOS!E78),2,0)</f>
        <v>0</v>
      </c>
      <c r="Z78" s="33" t="str">
        <f>IF(AND(ISNUMBER(RESULTADOS!C78),ISNUMBER(RESULTADOS!E78),ISNUMBER(C78),ISNUMBER(E78)),IF(OR(AND(C78&gt;E78,RESULTADOS!C78&gt;RESULTADOS!E78),AND(C78&lt;E78,RESULTADOS!C78&lt;RESULTADOS!E78)),1,IF(AND(C78=E78,RESULTADOS!C78=RESULTADOS!E78),2,0)),0)</f>
        <v>1</v>
      </c>
      <c r="AA78" s="33" t="str">
        <f>IF(AND(ISNUMBER(RESULTADOS!C78),ISNUMBER(RESULTADOS!E78),ISNUMBER(C78),ISNUMBER(E78),AND(Z78=1,OR(C78=RESULTADOS!C78,E78=RESULTADOS!E78))),1,0)</f>
        <v>0</v>
      </c>
      <c r="AB78" s="6" t="str">
        <f>IF(
  AND(
    ISNUMBER(RESULTADOS!C78),
    ISNUMBER(RESULTADOS!E78),
    ISNUMBER(C78),
    ISNUMBER(E78),
    AND(Z78=1,AA78=0,(RESULTADOS!C78-RESULTADOS!E78)=(C78-E78))
  ),
  1,
  0
)</f>
        <v>1</v>
      </c>
      <c r="AC78" s="6" t="s">
        <v>194</v>
      </c>
      <c r="AD78" s="6" t="s">
        <v>195</v>
      </c>
      <c r="AE78" s="6" t="s">
        <v>196</v>
      </c>
      <c r="AF78" s="6" t="str">
        <f t="shared" ref="AF78:AH78" si="120">IF(ISNUMBER(FIND("C", AC78, 1)), SUBSTITUTE(AC78, "C", "E"), SUBSTITUTE(AC78, "E", "C"))</f>
        <v>E77</v>
      </c>
      <c r="AG78" s="6" t="str">
        <f t="shared" si="120"/>
        <v>E79</v>
      </c>
      <c r="AH78" s="6" t="str">
        <f t="shared" si="120"/>
        <v>C81</v>
      </c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</row>
    <row r="79" ht="12.75" customHeight="1">
      <c r="A79" s="136"/>
      <c r="B79" s="21" t="s">
        <v>190</v>
      </c>
      <c r="C79" s="22">
        <v>3.0</v>
      </c>
      <c r="D79" s="19" t="s">
        <v>31</v>
      </c>
      <c r="E79" s="23">
        <v>0.0</v>
      </c>
      <c r="F79" s="34" t="s">
        <v>192</v>
      </c>
      <c r="G79" s="59"/>
      <c r="H79" s="25">
        <v>46195.0</v>
      </c>
      <c r="I79" s="26">
        <v>0.583333333333333</v>
      </c>
      <c r="J79" s="27"/>
      <c r="K79" s="49" t="s">
        <v>191</v>
      </c>
      <c r="L79" s="19" t="str">
        <f t="shared" si="121"/>
        <v>6</v>
      </c>
      <c r="M79" s="19" t="str">
        <f t="shared" si="122"/>
        <v>3</v>
      </c>
      <c r="N79" s="19" t="str">
        <f t="shared" si="123"/>
        <v>6</v>
      </c>
      <c r="O79" s="19" t="str">
        <f t="shared" si="124"/>
        <v>3</v>
      </c>
      <c r="P79" s="19" t="str">
        <f t="shared" si="125"/>
        <v>2</v>
      </c>
      <c r="Q79" s="19" t="str">
        <f t="shared" si="126"/>
        <v>0</v>
      </c>
      <c r="R79" s="36" t="str">
        <f t="shared" si="127"/>
        <v>1</v>
      </c>
      <c r="S79" s="59"/>
      <c r="T79" s="32" t="str">
        <f t="shared" si="118"/>
        <v/>
      </c>
      <c r="U79" s="19" t="str">
        <f t="shared" si="119"/>
        <v>0</v>
      </c>
      <c r="Y79" s="33" t="str">
        <f>IF(AND(ISNUMBER(RESULTADOS!C79),ISNUMBER(RESULTADOS!E79),ISNUMBER(C79),ISNUMBER(E79),C79=RESULTADOS!C79,E79=RESULTADOS!E79),2,0)</f>
        <v>0</v>
      </c>
      <c r="Z79" s="33" t="str">
        <f>IF(AND(ISNUMBER(RESULTADOS!C79),ISNUMBER(RESULTADOS!E79),ISNUMBER(C79),ISNUMBER(E79)),IF(OR(AND(C79&gt;E79,RESULTADOS!C79&gt;RESULTADOS!E79),AND(C79&lt;E79,RESULTADOS!C79&lt;RESULTADOS!E79)),1,IF(AND(C79=E79,RESULTADOS!C79=RESULTADOS!E79),2,0)),0)</f>
        <v>0</v>
      </c>
      <c r="AA79" s="33" t="str">
        <f>IF(AND(ISNUMBER(RESULTADOS!C79),ISNUMBER(RESULTADOS!E79),ISNUMBER(C79),ISNUMBER(E79),AND(Z79=1,OR(C79=RESULTADOS!C79,E79=RESULTADOS!E79))),1,0)</f>
        <v>0</v>
      </c>
      <c r="AB79" s="6" t="str">
        <f>IF(
  AND(
    ISNUMBER(RESULTADOS!C79),
    ISNUMBER(RESULTADOS!E79),
    ISNUMBER(C79),
    ISNUMBER(E79),
    AND(Z79=1,AA79=0,(RESULTADOS!C79-RESULTADOS!E79)=(C79-E79))
  ),
  1,
  0
)</f>
        <v>0</v>
      </c>
      <c r="AC79" s="6" t="s">
        <v>197</v>
      </c>
      <c r="AD79" s="6" t="s">
        <v>198</v>
      </c>
      <c r="AE79" s="6" t="s">
        <v>199</v>
      </c>
      <c r="AF79" s="6" t="str">
        <f t="shared" ref="AF79:AH79" si="128">IF(ISNUMBER(FIND("C", AC79, 1)), SUBSTITUTE(AC79, "C", "E"), SUBSTITUTE(AC79, "E", "C"))</f>
        <v>C77</v>
      </c>
      <c r="AG79" s="6" t="str">
        <f t="shared" si="128"/>
        <v>C80</v>
      </c>
      <c r="AH79" s="6" t="str">
        <f t="shared" si="128"/>
        <v>E82</v>
      </c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</row>
    <row r="80" ht="12.75" customHeight="1">
      <c r="A80" s="136"/>
      <c r="B80" s="21" t="s">
        <v>193</v>
      </c>
      <c r="C80" s="22">
        <v>1.0</v>
      </c>
      <c r="D80" s="19" t="s">
        <v>31</v>
      </c>
      <c r="E80" s="23">
        <v>3.0</v>
      </c>
      <c r="F80" s="34" t="s">
        <v>191</v>
      </c>
      <c r="G80" s="59"/>
      <c r="H80" s="25">
        <v>46196.0</v>
      </c>
      <c r="I80" s="26">
        <v>0.0</v>
      </c>
      <c r="J80" s="27"/>
      <c r="K80" s="49" t="s">
        <v>193</v>
      </c>
      <c r="L80" s="19" t="str">
        <f t="shared" si="121"/>
        <v>0</v>
      </c>
      <c r="M80" s="19" t="str">
        <f t="shared" si="122"/>
        <v>-6</v>
      </c>
      <c r="N80" s="19" t="str">
        <f t="shared" si="123"/>
        <v>1</v>
      </c>
      <c r="O80" s="19" t="str">
        <f t="shared" si="124"/>
        <v>7</v>
      </c>
      <c r="P80" s="19" t="str">
        <f t="shared" si="125"/>
        <v>0</v>
      </c>
      <c r="Q80" s="19" t="str">
        <f t="shared" si="126"/>
        <v>0</v>
      </c>
      <c r="R80" s="36" t="str">
        <f t="shared" si="127"/>
        <v>3</v>
      </c>
      <c r="S80" s="59"/>
      <c r="T80" s="32" t="str">
        <f t="shared" si="118"/>
        <v/>
      </c>
      <c r="U80" s="19" t="str">
        <f t="shared" si="119"/>
        <v>0</v>
      </c>
      <c r="Y80" s="33" t="str">
        <f>IF(AND(ISNUMBER(RESULTADOS!C80),ISNUMBER(RESULTADOS!E80),ISNUMBER(C80),ISNUMBER(E80),C80=RESULTADOS!C80,E80=RESULTADOS!E80),2,0)</f>
        <v>0</v>
      </c>
      <c r="Z80" s="33" t="str">
        <f>IF(AND(ISNUMBER(RESULTADOS!C80),ISNUMBER(RESULTADOS!E80),ISNUMBER(C80),ISNUMBER(E80)),IF(OR(AND(C80&gt;E80,RESULTADOS!C80&gt;RESULTADOS!E80),AND(C80&lt;E80,RESULTADOS!C80&lt;RESULTADOS!E80)),1,IF(AND(C80=E80,RESULTADOS!C80=RESULTADOS!E80),2,0)),0)</f>
        <v>0</v>
      </c>
      <c r="AA80" s="33" t="str">
        <f>IF(AND(ISNUMBER(RESULTADOS!C80),ISNUMBER(RESULTADOS!E80),ISNUMBER(C80),ISNUMBER(E80),AND(Z80=1,OR(C80=RESULTADOS!C80,E80=RESULTADOS!E80))),1,0)</f>
        <v>0</v>
      </c>
      <c r="AB80" s="6" t="str">
        <f>IF(
  AND(
    ISNUMBER(RESULTADOS!C80),
    ISNUMBER(RESULTADOS!E80),
    ISNUMBER(C80),
    ISNUMBER(E80),
    AND(Z80=1,AA80=0,(RESULTADOS!C80-RESULTADOS!E80)=(C80-E80))
  ),
  1,
  0
)</f>
        <v>0</v>
      </c>
      <c r="AC80" s="6" t="s">
        <v>200</v>
      </c>
      <c r="AD80" s="6" t="s">
        <v>201</v>
      </c>
      <c r="AE80" s="6" t="s">
        <v>202</v>
      </c>
      <c r="AF80" s="6" t="str">
        <f t="shared" ref="AF80:AH80" si="129">IF(ISNUMBER(FIND("C", AC80, 1)), SUBSTITUTE(AC80, "C", "E"), SUBSTITUTE(AC80, "E", "C"))</f>
        <v>C78</v>
      </c>
      <c r="AG80" s="6" t="str">
        <f t="shared" si="129"/>
        <v>E80</v>
      </c>
      <c r="AH80" s="6" t="str">
        <f t="shared" si="129"/>
        <v>E81</v>
      </c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</row>
    <row r="81" ht="12.75" customHeight="1">
      <c r="A81" s="136"/>
      <c r="B81" s="21" t="s">
        <v>193</v>
      </c>
      <c r="C81" s="22">
        <v>0.0</v>
      </c>
      <c r="D81" s="19" t="s">
        <v>31</v>
      </c>
      <c r="E81" s="23">
        <v>2.0</v>
      </c>
      <c r="F81" s="34" t="s">
        <v>190</v>
      </c>
      <c r="G81" s="59"/>
      <c r="H81" s="25">
        <v>46200.0</v>
      </c>
      <c r="I81" s="26">
        <v>0.958333333333333</v>
      </c>
      <c r="J81" s="27"/>
      <c r="K81" s="50" t="s">
        <v>192</v>
      </c>
      <c r="L81" s="38" t="str">
        <f t="shared" si="121"/>
        <v>3</v>
      </c>
      <c r="M81" s="38" t="str">
        <f t="shared" si="122"/>
        <v>-3</v>
      </c>
      <c r="N81" s="38" t="str">
        <f t="shared" si="123"/>
        <v>2</v>
      </c>
      <c r="O81" s="38" t="str">
        <f t="shared" si="124"/>
        <v>5</v>
      </c>
      <c r="P81" s="38" t="str">
        <f t="shared" si="125"/>
        <v>1</v>
      </c>
      <c r="Q81" s="38" t="str">
        <f t="shared" si="126"/>
        <v>0</v>
      </c>
      <c r="R81" s="39" t="str">
        <f t="shared" si="127"/>
        <v>2</v>
      </c>
      <c r="S81" s="59"/>
      <c r="T81" s="32" t="str">
        <f t="shared" si="118"/>
        <v/>
      </c>
      <c r="U81" s="19" t="str">
        <f t="shared" si="119"/>
        <v>0</v>
      </c>
      <c r="Y81" s="33" t="str">
        <f>IF(AND(ISNUMBER(RESULTADOS!C81),ISNUMBER(RESULTADOS!E81),ISNUMBER(C81),ISNUMBER(E81),C81=RESULTADOS!C81,E81=RESULTADOS!E81),2,0)</f>
        <v>0</v>
      </c>
      <c r="Z81" s="33" t="str">
        <f>IF(AND(ISNUMBER(RESULTADOS!C81),ISNUMBER(RESULTADOS!E81),ISNUMBER(C81),ISNUMBER(E81)),IF(OR(AND(C81&gt;E81,RESULTADOS!C81&gt;RESULTADOS!E81),AND(C81&lt;E81,RESULTADOS!C81&lt;RESULTADOS!E81)),1,IF(AND(C81=E81,RESULTADOS!C81=RESULTADOS!E81),2,0)),0)</f>
        <v>0</v>
      </c>
      <c r="AA81" s="33" t="str">
        <f>IF(AND(ISNUMBER(RESULTADOS!C81),ISNUMBER(RESULTADOS!E81),ISNUMBER(C81),ISNUMBER(E81),AND(Z81=1,OR(C81=RESULTADOS!C81,E81=RESULTADOS!E81))),1,0)</f>
        <v>0</v>
      </c>
      <c r="AB81" s="6" t="str">
        <f>IF(
  AND(
    ISNUMBER(RESULTADOS!C81),
    ISNUMBER(RESULTADOS!E81),
    ISNUMBER(C81),
    ISNUMBER(E81),
    AND(Z81=1,AA81=0,(RESULTADOS!C81-RESULTADOS!E81)=(C81-E81))
  ),
  1,
  0
)</f>
        <v>0</v>
      </c>
      <c r="AC81" s="6" t="s">
        <v>203</v>
      </c>
      <c r="AD81" s="6" t="s">
        <v>204</v>
      </c>
      <c r="AE81" s="6" t="s">
        <v>205</v>
      </c>
      <c r="AF81" s="6" t="str">
        <f t="shared" ref="AF81:AH81" si="130">IF(ISNUMBER(FIND("C", AC81, 1)), SUBSTITUTE(AC81, "C", "E"), SUBSTITUTE(AC81, "E", "C"))</f>
        <v>E78</v>
      </c>
      <c r="AG81" s="6" t="str">
        <f t="shared" si="130"/>
        <v>C79</v>
      </c>
      <c r="AH81" s="6" t="str">
        <f t="shared" si="130"/>
        <v>C82</v>
      </c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</row>
    <row r="82" ht="12.75" customHeight="1">
      <c r="A82" s="136"/>
      <c r="B82" s="40" t="s">
        <v>191</v>
      </c>
      <c r="C82" s="41">
        <v>2.0</v>
      </c>
      <c r="D82" s="38" t="s">
        <v>31</v>
      </c>
      <c r="E82" s="42">
        <v>0.0</v>
      </c>
      <c r="F82" s="43" t="s">
        <v>192</v>
      </c>
      <c r="G82" s="59"/>
      <c r="H82" s="44">
        <v>46200.0</v>
      </c>
      <c r="I82" s="45">
        <v>0.958333333333333</v>
      </c>
      <c r="J82" s="27"/>
      <c r="K82" s="46"/>
      <c r="L82" s="136"/>
      <c r="M82" s="136"/>
      <c r="N82" s="136"/>
      <c r="O82" s="136"/>
      <c r="P82" s="136"/>
      <c r="Q82" s="136"/>
      <c r="R82" s="136"/>
      <c r="S82" s="59"/>
      <c r="T82" s="32" t="str">
        <f t="shared" si="118"/>
        <v/>
      </c>
      <c r="U82" s="19" t="str">
        <f t="shared" si="119"/>
        <v>0</v>
      </c>
      <c r="Y82" s="33" t="str">
        <f>IF(AND(ISNUMBER(RESULTADOS!C82),ISNUMBER(RESULTADOS!E82),ISNUMBER(C82),ISNUMBER(E82),C82=RESULTADOS!C82,E82=RESULTADOS!E82),2,0)</f>
        <v>0</v>
      </c>
      <c r="Z82" s="33" t="str">
        <f>IF(AND(ISNUMBER(RESULTADOS!C82),ISNUMBER(RESULTADOS!E82),ISNUMBER(C82),ISNUMBER(E82)),IF(OR(AND(C82&gt;E82,RESULTADOS!C82&gt;RESULTADOS!E82),AND(C82&lt;E82,RESULTADOS!C82&lt;RESULTADOS!E82)),1,IF(AND(C82=E82,RESULTADOS!C82=RESULTADOS!E82),2,0)),0)</f>
        <v>0</v>
      </c>
      <c r="AA82" s="33" t="str">
        <f>IF(AND(ISNUMBER(RESULTADOS!C82),ISNUMBER(RESULTADOS!E82),ISNUMBER(C82),ISNUMBER(E82),AND(Z82=1,OR(C82=RESULTADOS!C82,E82=RESULTADOS!E82))),1,0)</f>
        <v>0</v>
      </c>
      <c r="AB82" s="6" t="str">
        <f>IF(
  AND(
    ISNUMBER(RESULTADOS!C82),
    ISNUMBER(RESULTADOS!E82),
    ISNUMBER(C82),
    ISNUMBER(E82),
    AND(Z82=1,AA82=0,(RESULTADOS!C82-RESULTADOS!E82)=(C82-E82))
  ),
  1,
  0
)</f>
        <v>0</v>
      </c>
      <c r="AC82" s="6"/>
      <c r="AD82" s="6"/>
      <c r="AE82" s="6"/>
      <c r="AF82" s="6"/>
      <c r="AG82" s="6"/>
      <c r="AH82" s="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</row>
    <row r="83" ht="12.75" customHeight="1">
      <c r="A83" s="136"/>
      <c r="B83" s="4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136"/>
      <c r="U83" s="2"/>
      <c r="V83" s="2"/>
      <c r="W83" s="2"/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</row>
    <row r="84" ht="12.75" customHeight="1">
      <c r="A84" s="136"/>
      <c r="B84" s="15" t="s">
        <v>206</v>
      </c>
      <c r="C84" s="9"/>
      <c r="D84" s="9"/>
      <c r="E84" s="9"/>
      <c r="F84" s="10"/>
      <c r="G84" s="59"/>
      <c r="H84" s="16" t="s">
        <v>28</v>
      </c>
      <c r="I84" s="17" t="s">
        <v>29</v>
      </c>
      <c r="J84" s="18"/>
      <c r="K84" s="59"/>
      <c r="L84" s="59"/>
      <c r="M84" s="59"/>
      <c r="N84" s="59"/>
      <c r="O84" s="59"/>
      <c r="P84" s="59"/>
      <c r="Q84" s="59"/>
      <c r="R84" s="59"/>
      <c r="S84" s="59"/>
      <c r="T84" s="136"/>
      <c r="U84" s="19"/>
      <c r="V84" s="19"/>
      <c r="W84" s="19"/>
      <c r="X84" s="20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</row>
    <row r="85" ht="12.75" customHeight="1">
      <c r="A85" s="136"/>
      <c r="B85" s="21" t="s">
        <v>207</v>
      </c>
      <c r="C85" s="22">
        <v>3.0</v>
      </c>
      <c r="D85" s="19" t="s">
        <v>31</v>
      </c>
      <c r="E85" s="23">
        <v>1.0</v>
      </c>
      <c r="F85" s="34" t="s">
        <v>208</v>
      </c>
      <c r="G85" s="59"/>
      <c r="H85" s="25">
        <v>46190.0</v>
      </c>
      <c r="I85" s="26">
        <v>0.583333333333333</v>
      </c>
      <c r="J85" s="27"/>
      <c r="K85" s="28"/>
      <c r="L85" s="29" t="s">
        <v>33</v>
      </c>
      <c r="M85" s="29" t="s">
        <v>34</v>
      </c>
      <c r="N85" s="29" t="s">
        <v>35</v>
      </c>
      <c r="O85" s="29" t="s">
        <v>36</v>
      </c>
      <c r="P85" s="29" t="s">
        <v>37</v>
      </c>
      <c r="Q85" s="29" t="s">
        <v>38</v>
      </c>
      <c r="R85" s="30" t="s">
        <v>39</v>
      </c>
      <c r="S85" s="31"/>
      <c r="T85" s="32" t="str">
        <f t="shared" ref="T85:T90" si="131">IF(NOT(AND(ISNUMBER(C85),ISNUMBER(E85))),"XXX","")</f>
        <v/>
      </c>
      <c r="U85" s="19" t="str">
        <f t="shared" ref="U85:U90" si="132">SUM(Y85,Z85,AA85, AB85)</f>
        <v>0</v>
      </c>
      <c r="Y85" s="33" t="str">
        <f>IF(AND(ISNUMBER(RESULTADOS!C85),ISNUMBER(RESULTADOS!E85),ISNUMBER(C85),ISNUMBER(E85),C85=RESULTADOS!C85,E85=RESULTADOS!E85),2,0)</f>
        <v>0</v>
      </c>
      <c r="Z85" s="33" t="str">
        <f>IF(AND(ISNUMBER(RESULTADOS!C85),ISNUMBER(RESULTADOS!E85),ISNUMBER(C85),ISNUMBER(E85)),IF(OR(AND(C85&gt;E85,RESULTADOS!C85&gt;RESULTADOS!E85),AND(C85&lt;E85,RESULTADOS!C85&lt;RESULTADOS!E85)),1,IF(AND(C85=E85,RESULTADOS!C85=RESULTADOS!E85),2,0)),0)</f>
        <v>0</v>
      </c>
      <c r="AA85" s="33" t="str">
        <f>IF(AND(ISNUMBER(RESULTADOS!C85),ISNUMBER(RESULTADOS!E85),ISNUMBER(C85),ISNUMBER(E85),AND(Z85=1,OR(C85=RESULTADOS!C85,E85=RESULTADOS!E85))),1,0)</f>
        <v>0</v>
      </c>
      <c r="AB85" s="6" t="str">
        <f>IF(
  AND(
    ISNUMBER(RESULTADOS!C85),
    ISNUMBER(RESULTADOS!E85),
    ISNUMBER(C85),
    ISNUMBER(E85),
    AND(Z85=1,AA85=0,(RESULTADOS!C85-RESULTADOS!E85)=(C85-E85))
  ),
  1,
  0
)</f>
        <v>0</v>
      </c>
      <c r="AC85" s="6"/>
      <c r="AD85" s="6"/>
      <c r="AE85" s="6"/>
      <c r="AF85" s="6"/>
      <c r="AG85" s="6"/>
      <c r="AH85" s="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</row>
    <row r="86" ht="12.75" customHeight="1">
      <c r="A86" s="136"/>
      <c r="B86" s="21" t="s">
        <v>209</v>
      </c>
      <c r="C86" s="22">
        <v>0.0</v>
      </c>
      <c r="D86" s="19" t="s">
        <v>31</v>
      </c>
      <c r="E86" s="23">
        <v>2.0</v>
      </c>
      <c r="F86" s="34" t="s">
        <v>210</v>
      </c>
      <c r="G86" s="59"/>
      <c r="H86" s="25">
        <v>46190.0</v>
      </c>
      <c r="I86" s="26">
        <v>0.958333333333333</v>
      </c>
      <c r="J86" s="27"/>
      <c r="K86" s="49" t="s">
        <v>210</v>
      </c>
      <c r="L86" s="19" t="str">
        <f t="shared" ref="L86:L89" si="134">SUM(IF(AND(ISNUMBER(INDIRECT($AC86)),INDIRECT($AC86)&gt;INDIRECT($AF86)),3,IF(AND(ISNUMBER(INDIRECT($AC86)),INDIRECT($AC86)=INDIRECT($AF86)),1,0)),IF(AND(ISNUMBER(INDIRECT($AD86)),INDIRECT($AD86)&gt;INDIRECT($AG86)),3,IF(AND(ISNUMBER(INDIRECT($AD86)),INDIRECT($AD86)=INDIRECT($AG86)),1,0)),IF(AND(ISNUMBER(INDIRECT($AE86)),INDIRECT($AE86)&gt;INDIRECT($AH86)),3,IF(AND(ISNUMBER(INDIRECT($AE86)),INDIRECT($AE86)=INDIRECT($AH86)),1,0)))</f>
        <v>7</v>
      </c>
      <c r="M86" s="19" t="str">
        <f t="shared" ref="M86:M89" si="135">N86-O86</f>
        <v>3</v>
      </c>
      <c r="N86" s="19" t="str">
        <f t="shared" ref="N86:N89" si="136">SUM(INDIRECT($AC86),INDIRECT($AD86),INDIRECT($AE86))</f>
        <v>6</v>
      </c>
      <c r="O86" s="19" t="str">
        <f t="shared" ref="O86:O89" si="137">SUM(INDIRECT($AF86),INDIRECT($AG86),INDIRECT($AH86))</f>
        <v>3</v>
      </c>
      <c r="P86" s="19" t="str">
        <f t="shared" ref="P86:P89" si="138">SUM(IF(AND(ISNUMBER(INDIRECT($AC86)),INDIRECT($AC86)&gt;INDIRECT($AF86)),1,0),IF(AND(ISNUMBER(INDIRECT($AD86)),INDIRECT($AD86)&gt;INDIRECT($AG86)),1,0),IF(AND(ISNUMBER(INDIRECT($AE86)),INDIRECT($AE86)&gt;INDIRECT($AH86)),1,0))</f>
        <v>2</v>
      </c>
      <c r="Q86" s="19" t="str">
        <f t="shared" ref="Q86:Q89" si="139">SUM(IF(AND(ISNUMBER(INDIRECT($AC86)),INDIRECT($AC86)=INDIRECT($AF86)),1,0),IF(AND(ISNUMBER(INDIRECT($AD86)),INDIRECT($AD86)=INDIRECT($AG86)),1,0),IF(AND(ISNUMBER(INDIRECT($AE86)),INDIRECT($AE86)=INDIRECT($AH86)),1,0))</f>
        <v>1</v>
      </c>
      <c r="R86" s="36" t="str">
        <f t="shared" ref="R86:R89" si="140">SUM(IF(AND(ISNUMBER(INDIRECT($AC86)),INDIRECT($AC86)&lt;INDIRECT($AF86)),1,0),IF(AND(ISNUMBER(INDIRECT($AD86)),INDIRECT($AD86)&lt;INDIRECT($AG86)),1,0),IF(AND(ISNUMBER(INDIRECT($AE86)),INDIRECT($AE86)&lt;INDIRECT($AH86)),1,0))</f>
        <v>0</v>
      </c>
      <c r="S86" s="31"/>
      <c r="T86" s="32" t="str">
        <f t="shared" si="131"/>
        <v/>
      </c>
      <c r="U86" s="19" t="str">
        <f t="shared" si="132"/>
        <v>2</v>
      </c>
      <c r="Y86" s="33" t="str">
        <f>IF(AND(ISNUMBER(RESULTADOS!C86),ISNUMBER(RESULTADOS!E86),ISNUMBER(C86),ISNUMBER(E86),C86=RESULTADOS!C86,E86=RESULTADOS!E86),2,0)</f>
        <v>0</v>
      </c>
      <c r="Z86" s="33" t="str">
        <f>IF(AND(ISNUMBER(RESULTADOS!C86),ISNUMBER(RESULTADOS!E86),ISNUMBER(C86),ISNUMBER(E86)),IF(OR(AND(C86&gt;E86,RESULTADOS!C86&gt;RESULTADOS!E86),AND(C86&lt;E86,RESULTADOS!C86&lt;RESULTADOS!E86)),1,IF(AND(C86=E86,RESULTADOS!C86=RESULTADOS!E86),2,0)),0)</f>
        <v>1</v>
      </c>
      <c r="AA86" s="33" t="str">
        <f>IF(AND(ISNUMBER(RESULTADOS!C86),ISNUMBER(RESULTADOS!E86),ISNUMBER(C86),ISNUMBER(E86),AND(Z86=1,OR(C86=RESULTADOS!C86,E86=RESULTADOS!E86))),1,0)</f>
        <v>0</v>
      </c>
      <c r="AB86" s="6" t="str">
        <f>IF(
  AND(
    ISNUMBER(RESULTADOS!C86),
    ISNUMBER(RESULTADOS!E86),
    ISNUMBER(C86),
    ISNUMBER(E86),
    AND(Z86=1,AA86=0,(RESULTADOS!C86-RESULTADOS!E86)=(C86-E86))
  ),
  1,
  0
)</f>
        <v>1</v>
      </c>
      <c r="AC86" s="6" t="s">
        <v>211</v>
      </c>
      <c r="AD86" s="6" t="s">
        <v>212</v>
      </c>
      <c r="AE86" s="6" t="s">
        <v>213</v>
      </c>
      <c r="AF86" s="6" t="str">
        <f t="shared" ref="AF86:AH86" si="133">IF(ISNUMBER(FIND("C", AC86, 1)), SUBSTITUTE(AC86, "C", "E"), SUBSTITUTE(AC86, "E", "C"))</f>
        <v>C86</v>
      </c>
      <c r="AG86" s="6" t="str">
        <f t="shared" si="133"/>
        <v>E88</v>
      </c>
      <c r="AH86" s="6" t="str">
        <f t="shared" si="133"/>
        <v>E90</v>
      </c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</row>
    <row r="87" ht="12.75" customHeight="1">
      <c r="A87" s="136"/>
      <c r="B87" s="21" t="s">
        <v>207</v>
      </c>
      <c r="C87" s="22">
        <v>4.0</v>
      </c>
      <c r="D87" s="19" t="s">
        <v>31</v>
      </c>
      <c r="E87" s="23">
        <v>0.0</v>
      </c>
      <c r="F87" s="34" t="s">
        <v>209</v>
      </c>
      <c r="G87" s="59"/>
      <c r="H87" s="25">
        <v>46196.0</v>
      </c>
      <c r="I87" s="26">
        <v>0.583333333333333</v>
      </c>
      <c r="J87" s="27"/>
      <c r="K87" s="49" t="s">
        <v>207</v>
      </c>
      <c r="L87" s="19" t="str">
        <f t="shared" si="134"/>
        <v>7</v>
      </c>
      <c r="M87" s="19" t="str">
        <f t="shared" si="135"/>
        <v>6</v>
      </c>
      <c r="N87" s="19" t="str">
        <f t="shared" si="136"/>
        <v>9</v>
      </c>
      <c r="O87" s="19" t="str">
        <f t="shared" si="137"/>
        <v>3</v>
      </c>
      <c r="P87" s="19" t="str">
        <f t="shared" si="138"/>
        <v>2</v>
      </c>
      <c r="Q87" s="19" t="str">
        <f t="shared" si="139"/>
        <v>1</v>
      </c>
      <c r="R87" s="36" t="str">
        <f t="shared" si="140"/>
        <v>0</v>
      </c>
      <c r="S87" s="59"/>
      <c r="T87" s="32" t="str">
        <f t="shared" si="131"/>
        <v/>
      </c>
      <c r="U87" s="19" t="str">
        <f t="shared" si="132"/>
        <v>0</v>
      </c>
      <c r="Y87" s="33" t="str">
        <f>IF(AND(ISNUMBER(RESULTADOS!C87),ISNUMBER(RESULTADOS!E87),ISNUMBER(C87),ISNUMBER(E87),C87=RESULTADOS!C87,E87=RESULTADOS!E87),2,0)</f>
        <v>0</v>
      </c>
      <c r="Z87" s="33" t="str">
        <f>IF(AND(ISNUMBER(RESULTADOS!C87),ISNUMBER(RESULTADOS!E87),ISNUMBER(C87),ISNUMBER(E87)),IF(OR(AND(C87&gt;E87,RESULTADOS!C87&gt;RESULTADOS!E87),AND(C87&lt;E87,RESULTADOS!C87&lt;RESULTADOS!E87)),1,IF(AND(C87=E87,RESULTADOS!C87=RESULTADOS!E87),2,0)),0)</f>
        <v>0</v>
      </c>
      <c r="AA87" s="33" t="str">
        <f>IF(AND(ISNUMBER(RESULTADOS!C87),ISNUMBER(RESULTADOS!E87),ISNUMBER(C87),ISNUMBER(E87),AND(Z87=1,OR(C87=RESULTADOS!C87,E87=RESULTADOS!E87))),1,0)</f>
        <v>0</v>
      </c>
      <c r="AB87" s="6" t="str">
        <f>IF(
  AND(
    ISNUMBER(RESULTADOS!C87),
    ISNUMBER(RESULTADOS!E87),
    ISNUMBER(C87),
    ISNUMBER(E87),
    AND(Z87=1,AA87=0,(RESULTADOS!C87-RESULTADOS!E87)=(C87-E87))
  ),
  1,
  0
)</f>
        <v>0</v>
      </c>
      <c r="AC87" s="6" t="s">
        <v>214</v>
      </c>
      <c r="AD87" s="6" t="s">
        <v>215</v>
      </c>
      <c r="AE87" s="6" t="s">
        <v>216</v>
      </c>
      <c r="AF87" s="6" t="str">
        <f t="shared" ref="AF87:AH87" si="141">IF(ISNUMBER(FIND("C", AC87, 1)), SUBSTITUTE(AC87, "C", "E"), SUBSTITUTE(AC87, "E", "C"))</f>
        <v>E85</v>
      </c>
      <c r="AG87" s="6" t="str">
        <f t="shared" si="141"/>
        <v>E87</v>
      </c>
      <c r="AH87" s="6" t="str">
        <f t="shared" si="141"/>
        <v>C90</v>
      </c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</row>
    <row r="88" ht="12.75" customHeight="1">
      <c r="A88" s="136"/>
      <c r="B88" s="21" t="s">
        <v>210</v>
      </c>
      <c r="C88" s="22">
        <v>2.0</v>
      </c>
      <c r="D88" s="19" t="s">
        <v>31</v>
      </c>
      <c r="E88" s="23">
        <v>1.0</v>
      </c>
      <c r="F88" s="34" t="s">
        <v>208</v>
      </c>
      <c r="G88" s="59"/>
      <c r="H88" s="25">
        <v>46196.0</v>
      </c>
      <c r="I88" s="26">
        <v>0.958333333333333</v>
      </c>
      <c r="J88" s="27"/>
      <c r="K88" s="49" t="s">
        <v>208</v>
      </c>
      <c r="L88" s="19" t="str">
        <f t="shared" si="134"/>
        <v>3</v>
      </c>
      <c r="M88" s="19" t="str">
        <f t="shared" si="135"/>
        <v>-1</v>
      </c>
      <c r="N88" s="19" t="str">
        <f t="shared" si="136"/>
        <v>4</v>
      </c>
      <c r="O88" s="19" t="str">
        <f t="shared" si="137"/>
        <v>5</v>
      </c>
      <c r="P88" s="19" t="str">
        <f t="shared" si="138"/>
        <v>1</v>
      </c>
      <c r="Q88" s="19" t="str">
        <f t="shared" si="139"/>
        <v>0</v>
      </c>
      <c r="R88" s="36" t="str">
        <f t="shared" si="140"/>
        <v>2</v>
      </c>
      <c r="S88" s="59"/>
      <c r="T88" s="32" t="str">
        <f t="shared" si="131"/>
        <v/>
      </c>
      <c r="U88" s="19" t="str">
        <f t="shared" si="132"/>
        <v>0</v>
      </c>
      <c r="Y88" s="33" t="str">
        <f>IF(AND(ISNUMBER(RESULTADOS!C88),ISNUMBER(RESULTADOS!E88),ISNUMBER(C88),ISNUMBER(E88),C88=RESULTADOS!C88,E88=RESULTADOS!E88),2,0)</f>
        <v>0</v>
      </c>
      <c r="Z88" s="33" t="str">
        <f>IF(AND(ISNUMBER(RESULTADOS!C88),ISNUMBER(RESULTADOS!E88),ISNUMBER(C88),ISNUMBER(E88)),IF(OR(AND(C88&gt;E88,RESULTADOS!C88&gt;RESULTADOS!E88),AND(C88&lt;E88,RESULTADOS!C88&lt;RESULTADOS!E88)),1,IF(AND(C88=E88,RESULTADOS!C88=RESULTADOS!E88),2,0)),0)</f>
        <v>0</v>
      </c>
      <c r="AA88" s="33" t="str">
        <f>IF(AND(ISNUMBER(RESULTADOS!C88),ISNUMBER(RESULTADOS!E88),ISNUMBER(C88),ISNUMBER(E88),AND(Z88=1,OR(C88=RESULTADOS!C88,E88=RESULTADOS!E88))),1,0)</f>
        <v>0</v>
      </c>
      <c r="AB88" s="6" t="str">
        <f>IF(
  AND(
    ISNUMBER(RESULTADOS!C88),
    ISNUMBER(RESULTADOS!E88),
    ISNUMBER(C88),
    ISNUMBER(E88),
    AND(Z88=1,AA88=0,(RESULTADOS!C88-RESULTADOS!E88)=(C88-E88))
  ),
  1,
  0
)</f>
        <v>0</v>
      </c>
      <c r="AC88" s="6" t="s">
        <v>217</v>
      </c>
      <c r="AD88" s="6" t="s">
        <v>218</v>
      </c>
      <c r="AE88" s="6" t="s">
        <v>219</v>
      </c>
      <c r="AF88" s="6" t="str">
        <f t="shared" ref="AF88:AH88" si="142">IF(ISNUMBER(FIND("C", AC88, 1)), SUBSTITUTE(AC88, "C", "E"), SUBSTITUTE(AC88, "E", "C"))</f>
        <v>C85</v>
      </c>
      <c r="AG88" s="6" t="str">
        <f t="shared" si="142"/>
        <v>C88</v>
      </c>
      <c r="AH88" s="6" t="str">
        <f t="shared" si="142"/>
        <v>E89</v>
      </c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</row>
    <row r="89" ht="12.75" customHeight="1">
      <c r="A89" s="136"/>
      <c r="B89" s="21" t="s">
        <v>208</v>
      </c>
      <c r="C89" s="22">
        <v>2.0</v>
      </c>
      <c r="D89" s="19" t="s">
        <v>31</v>
      </c>
      <c r="E89" s="23">
        <v>0.0</v>
      </c>
      <c r="F89" s="34" t="s">
        <v>209</v>
      </c>
      <c r="G89" s="59"/>
      <c r="H89" s="25">
        <v>46200.0</v>
      </c>
      <c r="I89" s="26">
        <v>0.854166666666667</v>
      </c>
      <c r="J89" s="27"/>
      <c r="K89" s="50" t="s">
        <v>209</v>
      </c>
      <c r="L89" s="38" t="str">
        <f t="shared" si="134"/>
        <v>0</v>
      </c>
      <c r="M89" s="38" t="str">
        <f t="shared" si="135"/>
        <v>-8</v>
      </c>
      <c r="N89" s="38" t="str">
        <f t="shared" si="136"/>
        <v>0</v>
      </c>
      <c r="O89" s="38" t="str">
        <f t="shared" si="137"/>
        <v>8</v>
      </c>
      <c r="P89" s="38" t="str">
        <f t="shared" si="138"/>
        <v>0</v>
      </c>
      <c r="Q89" s="38" t="str">
        <f t="shared" si="139"/>
        <v>0</v>
      </c>
      <c r="R89" s="39" t="str">
        <f t="shared" si="140"/>
        <v>3</v>
      </c>
      <c r="S89" s="59"/>
      <c r="T89" s="32" t="str">
        <f t="shared" si="131"/>
        <v/>
      </c>
      <c r="U89" s="19" t="str">
        <f t="shared" si="132"/>
        <v>0</v>
      </c>
      <c r="Y89" s="33" t="str">
        <f>IF(AND(ISNUMBER(RESULTADOS!C89),ISNUMBER(RESULTADOS!E89),ISNUMBER(C89),ISNUMBER(E89),C89=RESULTADOS!C89,E89=RESULTADOS!E89),2,0)</f>
        <v>0</v>
      </c>
      <c r="Z89" s="33" t="str">
        <f>IF(AND(ISNUMBER(RESULTADOS!C89),ISNUMBER(RESULTADOS!E89),ISNUMBER(C89),ISNUMBER(E89)),IF(OR(AND(C89&gt;E89,RESULTADOS!C89&gt;RESULTADOS!E89),AND(C89&lt;E89,RESULTADOS!C89&lt;RESULTADOS!E89)),1,IF(AND(C89=E89,RESULTADOS!C89=RESULTADOS!E89),2,0)),0)</f>
        <v>0</v>
      </c>
      <c r="AA89" s="33" t="str">
        <f>IF(AND(ISNUMBER(RESULTADOS!C89),ISNUMBER(RESULTADOS!E89),ISNUMBER(C89),ISNUMBER(E89),AND(Z89=1,OR(C89=RESULTADOS!C89,E89=RESULTADOS!E89))),1,0)</f>
        <v>0</v>
      </c>
      <c r="AB89" s="6" t="str">
        <f>IF(
  AND(
    ISNUMBER(RESULTADOS!C89),
    ISNUMBER(RESULTADOS!E89),
    ISNUMBER(C89),
    ISNUMBER(E89),
    AND(Z89=1,AA89=0,(RESULTADOS!C89-RESULTADOS!E89)=(C89-E89))
  ),
  1,
  0
)</f>
        <v>0</v>
      </c>
      <c r="AC89" s="6" t="s">
        <v>220</v>
      </c>
      <c r="AD89" s="6" t="s">
        <v>221</v>
      </c>
      <c r="AE89" s="6" t="s">
        <v>222</v>
      </c>
      <c r="AF89" s="6" t="str">
        <f t="shared" ref="AF89:AH89" si="143">IF(ISNUMBER(FIND("C", AC89, 1)), SUBSTITUTE(AC89, "C", "E"), SUBSTITUTE(AC89, "E", "C"))</f>
        <v>E86</v>
      </c>
      <c r="AG89" s="6" t="str">
        <f t="shared" si="143"/>
        <v>C87</v>
      </c>
      <c r="AH89" s="6" t="str">
        <f t="shared" si="143"/>
        <v>C89</v>
      </c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</row>
    <row r="90" ht="12.75" customHeight="1">
      <c r="A90" s="136"/>
      <c r="B90" s="40" t="s">
        <v>210</v>
      </c>
      <c r="C90" s="41">
        <v>2.0</v>
      </c>
      <c r="D90" s="38" t="s">
        <v>31</v>
      </c>
      <c r="E90" s="42">
        <v>2.0</v>
      </c>
      <c r="F90" s="43" t="s">
        <v>207</v>
      </c>
      <c r="G90" s="59"/>
      <c r="H90" s="44">
        <v>46200.0</v>
      </c>
      <c r="I90" s="45">
        <v>0.854166666666667</v>
      </c>
      <c r="J90" s="27"/>
      <c r="K90" s="46"/>
      <c r="L90" s="136"/>
      <c r="M90" s="136"/>
      <c r="N90" s="136"/>
      <c r="O90" s="136"/>
      <c r="P90" s="136"/>
      <c r="Q90" s="136"/>
      <c r="R90" s="136"/>
      <c r="S90" s="59"/>
      <c r="T90" s="32" t="str">
        <f t="shared" si="131"/>
        <v/>
      </c>
      <c r="U90" s="19" t="str">
        <f t="shared" si="132"/>
        <v>0</v>
      </c>
      <c r="Y90" s="33" t="str">
        <f>IF(AND(ISNUMBER(RESULTADOS!C90),ISNUMBER(RESULTADOS!E90),ISNUMBER(C90),ISNUMBER(E90),C90=RESULTADOS!C90,E90=RESULTADOS!E90),2,0)</f>
        <v>0</v>
      </c>
      <c r="Z90" s="33" t="str">
        <f>IF(AND(ISNUMBER(RESULTADOS!C90),ISNUMBER(RESULTADOS!E90),ISNUMBER(C90),ISNUMBER(E90)),IF(OR(AND(C90&gt;E90,RESULTADOS!C90&gt;RESULTADOS!E90),AND(C90&lt;E90,RESULTADOS!C90&lt;RESULTADOS!E90)),1,IF(AND(C90=E90,RESULTADOS!C90=RESULTADOS!E90),2,0)),0)</f>
        <v>0</v>
      </c>
      <c r="AA90" s="33" t="str">
        <f>IF(AND(ISNUMBER(RESULTADOS!C90),ISNUMBER(RESULTADOS!E90),ISNUMBER(C90),ISNUMBER(E90),AND(Z90=1,OR(C90=RESULTADOS!C90,E90=RESULTADOS!E90))),1,0)</f>
        <v>0</v>
      </c>
      <c r="AB90" s="6" t="str">
        <f>IF(
  AND(
    ISNUMBER(RESULTADOS!C90),
    ISNUMBER(RESULTADOS!E90),
    ISNUMBER(C90),
    ISNUMBER(E90),
    AND(Z90=1,AA90=0,(RESULTADOS!C90-RESULTADOS!E90)=(C90-E90))
  ),
  1,
  0
)</f>
        <v>0</v>
      </c>
      <c r="AC90" s="6"/>
      <c r="AD90" s="6"/>
      <c r="AE90" s="6"/>
      <c r="AF90" s="6"/>
      <c r="AG90" s="6"/>
      <c r="AH90" s="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</row>
    <row r="91" ht="12.75" customHeight="1">
      <c r="A91" s="136"/>
      <c r="B91" s="4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136"/>
      <c r="U91" s="2"/>
      <c r="V91" s="2"/>
      <c r="W91" s="2"/>
      <c r="X91" s="5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</row>
    <row r="92" ht="12.75" customHeight="1">
      <c r="A92" s="136"/>
      <c r="B92" s="15" t="s">
        <v>223</v>
      </c>
      <c r="C92" s="9"/>
      <c r="D92" s="9"/>
      <c r="E92" s="9"/>
      <c r="F92" s="10"/>
      <c r="G92" s="59"/>
      <c r="H92" s="16" t="s">
        <v>28</v>
      </c>
      <c r="I92" s="17" t="s">
        <v>29</v>
      </c>
      <c r="J92" s="18"/>
      <c r="K92" s="59"/>
      <c r="L92" s="59"/>
      <c r="M92" s="59"/>
      <c r="N92" s="59"/>
      <c r="O92" s="59"/>
      <c r="P92" s="59"/>
      <c r="Q92" s="59"/>
      <c r="R92" s="59"/>
      <c r="S92" s="59"/>
      <c r="T92" s="136"/>
      <c r="U92" s="19"/>
      <c r="V92" s="19"/>
      <c r="W92" s="19"/>
      <c r="X92" s="20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</row>
    <row r="93" ht="12.75" customHeight="1">
      <c r="A93" s="136"/>
      <c r="B93" s="21" t="s">
        <v>224</v>
      </c>
      <c r="C93" s="22">
        <v>1.0</v>
      </c>
      <c r="D93" s="19" t="s">
        <v>31</v>
      </c>
      <c r="E93" s="23">
        <v>1.0</v>
      </c>
      <c r="F93" s="34" t="s">
        <v>225</v>
      </c>
      <c r="G93" s="59"/>
      <c r="H93" s="25">
        <v>46190.0</v>
      </c>
      <c r="I93" s="26">
        <v>0.708333333333333</v>
      </c>
      <c r="J93" s="27"/>
      <c r="K93" s="28"/>
      <c r="L93" s="29" t="s">
        <v>33</v>
      </c>
      <c r="M93" s="29" t="s">
        <v>34</v>
      </c>
      <c r="N93" s="29" t="s">
        <v>35</v>
      </c>
      <c r="O93" s="29" t="s">
        <v>36</v>
      </c>
      <c r="P93" s="29" t="s">
        <v>37</v>
      </c>
      <c r="Q93" s="29" t="s">
        <v>38</v>
      </c>
      <c r="R93" s="30" t="s">
        <v>39</v>
      </c>
      <c r="S93" s="31"/>
      <c r="T93" s="32" t="str">
        <f t="shared" ref="T93:T98" si="144">IF(NOT(AND(ISNUMBER(C93),ISNUMBER(E93))),"XXX","")</f>
        <v/>
      </c>
      <c r="U93" s="19" t="str">
        <f t="shared" ref="U93:U98" si="145">SUM(Y93,Z93,AA93, AB93)</f>
        <v>0</v>
      </c>
      <c r="Y93" s="33" t="str">
        <f>IF(AND(ISNUMBER(RESULTADOS!C93),ISNUMBER(RESULTADOS!E93),ISNUMBER(C93),ISNUMBER(E93),C93=RESULTADOS!C93,E93=RESULTADOS!E93),2,0)</f>
        <v>0</v>
      </c>
      <c r="Z93" s="33" t="str">
        <f>IF(AND(ISNUMBER(RESULTADOS!C93),ISNUMBER(RESULTADOS!E93),ISNUMBER(C93),ISNUMBER(E93)),IF(OR(AND(C93&gt;E93,RESULTADOS!C93&gt;RESULTADOS!E93),AND(C93&lt;E93,RESULTADOS!C93&lt;RESULTADOS!E93)),1,IF(AND(C93=E93,RESULTADOS!C93=RESULTADOS!E93),2,0)),0)</f>
        <v>0</v>
      </c>
      <c r="AA93" s="33" t="str">
        <f>IF(AND(ISNUMBER(RESULTADOS!C93),ISNUMBER(RESULTADOS!E93),ISNUMBER(C93),ISNUMBER(E93),AND(Z93=1,OR(C93=RESULTADOS!C93,E93=RESULTADOS!E93))),1,0)</f>
        <v>0</v>
      </c>
      <c r="AB93" s="6" t="str">
        <f>IF(
  AND(
    ISNUMBER(RESULTADOS!C93),
    ISNUMBER(RESULTADOS!E93),
    ISNUMBER(C93),
    ISNUMBER(E93),
    AND(Z93=1,AA93=0,(RESULTADOS!C93-RESULTADOS!E93)=(C93-E93))
  ),
  1,
  0
)</f>
        <v>0</v>
      </c>
      <c r="AC93" s="6"/>
      <c r="AD93" s="6"/>
      <c r="AE93" s="6"/>
      <c r="AF93" s="6"/>
      <c r="AG93" s="6"/>
      <c r="AH93" s="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</row>
    <row r="94" ht="12.75" customHeight="1">
      <c r="A94" s="136"/>
      <c r="B94" s="21" t="s">
        <v>226</v>
      </c>
      <c r="C94" s="22">
        <v>3.0</v>
      </c>
      <c r="D94" s="19" t="s">
        <v>31</v>
      </c>
      <c r="E94" s="23">
        <v>0.0</v>
      </c>
      <c r="F94" s="34" t="s">
        <v>227</v>
      </c>
      <c r="G94" s="59"/>
      <c r="H94" s="25">
        <v>46190.0</v>
      </c>
      <c r="I94" s="26">
        <v>0.833333333333333</v>
      </c>
      <c r="J94" s="27"/>
      <c r="K94" s="49" t="s">
        <v>225</v>
      </c>
      <c r="L94" s="19" t="str">
        <f t="shared" ref="L94:L97" si="147">SUM(IF(AND(ISNUMBER(INDIRECT($AC94)),INDIRECT($AC94)&gt;INDIRECT($AF94)),3,IF(AND(ISNUMBER(INDIRECT($AC94)),INDIRECT($AC94)=INDIRECT($AF94)),1,0)),IF(AND(ISNUMBER(INDIRECT($AD94)),INDIRECT($AD94)&gt;INDIRECT($AG94)),3,IF(AND(ISNUMBER(INDIRECT($AD94)),INDIRECT($AD94)=INDIRECT($AG94)),1,0)),IF(AND(ISNUMBER(INDIRECT($AE94)),INDIRECT($AE94)&gt;INDIRECT($AH94)),3,IF(AND(ISNUMBER(INDIRECT($AE94)),INDIRECT($AE94)=INDIRECT($AH94)),1,0)))</f>
        <v>7</v>
      </c>
      <c r="M94" s="19" t="str">
        <f t="shared" ref="M94:M97" si="148">N94-O94</f>
        <v>3</v>
      </c>
      <c r="N94" s="19" t="str">
        <f t="shared" ref="N94:N97" si="149">SUM(INDIRECT($AC94),INDIRECT($AD94),INDIRECT($AE94))</f>
        <v>5</v>
      </c>
      <c r="O94" s="19" t="str">
        <f t="shared" ref="O94:O97" si="150">SUM(INDIRECT($AF94),INDIRECT($AG94),INDIRECT($AH94))</f>
        <v>2</v>
      </c>
      <c r="P94" s="19" t="str">
        <f t="shared" ref="P94:P97" si="151">SUM(IF(AND(ISNUMBER(INDIRECT($AC94)),INDIRECT($AC94)&gt;INDIRECT($AF94)),1,0),IF(AND(ISNUMBER(INDIRECT($AD94)),INDIRECT($AD94)&gt;INDIRECT($AG94)),1,0),IF(AND(ISNUMBER(INDIRECT($AE94)),INDIRECT($AE94)&gt;INDIRECT($AH94)),1,0))</f>
        <v>2</v>
      </c>
      <c r="Q94" s="19" t="str">
        <f t="shared" ref="Q94:Q97" si="152">SUM(IF(AND(ISNUMBER(INDIRECT($AC94)),INDIRECT($AC94)=INDIRECT($AF94)),1,0),IF(AND(ISNUMBER(INDIRECT($AD94)),INDIRECT($AD94)=INDIRECT($AG94)),1,0),IF(AND(ISNUMBER(INDIRECT($AE94)),INDIRECT($AE94)=INDIRECT($AH94)),1,0))</f>
        <v>1</v>
      </c>
      <c r="R94" s="36" t="str">
        <f t="shared" ref="R94:R97" si="153">SUM(IF(AND(ISNUMBER(INDIRECT($AC94)),INDIRECT($AC94)&lt;INDIRECT($AF94)),1,0),IF(AND(ISNUMBER(INDIRECT($AD94)),INDIRECT($AD94)&lt;INDIRECT($AG94)),1,0),IF(AND(ISNUMBER(INDIRECT($AE94)),INDIRECT($AE94)&lt;INDIRECT($AH94)),1,0))</f>
        <v>0</v>
      </c>
      <c r="S94" s="31"/>
      <c r="T94" s="32" t="str">
        <f t="shared" si="144"/>
        <v/>
      </c>
      <c r="U94" s="19" t="str">
        <f t="shared" si="145"/>
        <v>2</v>
      </c>
      <c r="Y94" s="33" t="str">
        <f>IF(AND(ISNUMBER(RESULTADOS!C94),ISNUMBER(RESULTADOS!E94),ISNUMBER(C94),ISNUMBER(E94),C94=RESULTADOS!C94,E94=RESULTADOS!E94),2,0)</f>
        <v>0</v>
      </c>
      <c r="Z94" s="33" t="str">
        <f>IF(AND(ISNUMBER(RESULTADOS!C94),ISNUMBER(RESULTADOS!E94),ISNUMBER(C94),ISNUMBER(E94)),IF(OR(AND(C94&gt;E94,RESULTADOS!C94&gt;RESULTADOS!E94),AND(C94&lt;E94,RESULTADOS!C94&lt;RESULTADOS!E94)),1,IF(AND(C94=E94,RESULTADOS!C94=RESULTADOS!E94),2,0)),0)</f>
        <v>1</v>
      </c>
      <c r="AA94" s="33" t="str">
        <f>IF(AND(ISNUMBER(RESULTADOS!C94),ISNUMBER(RESULTADOS!E94),ISNUMBER(C94),ISNUMBER(E94),AND(Z94=1,OR(C94=RESULTADOS!C94,E94=RESULTADOS!E94))),1,0)</f>
        <v>1</v>
      </c>
      <c r="AB94" s="6" t="str">
        <f>IF(
  AND(
    ISNUMBER(RESULTADOS!C94),
    ISNUMBER(RESULTADOS!E94),
    ISNUMBER(C94),
    ISNUMBER(E94),
    AND(Z94=1,AA94=0,(RESULTADOS!C94-RESULTADOS!E94)=(C94-E94))
  ),
  1,
  0
)</f>
        <v>0</v>
      </c>
      <c r="AC94" s="6" t="s">
        <v>228</v>
      </c>
      <c r="AD94" s="6" t="s">
        <v>229</v>
      </c>
      <c r="AE94" s="6" t="s">
        <v>230</v>
      </c>
      <c r="AF94" s="6" t="str">
        <f t="shared" ref="AF94:AH94" si="146">IF(ISNUMBER(FIND("C", AC94, 1)), SUBSTITUTE(AC94, "C", "E"), SUBSTITUTE(AC94, "E", "C"))</f>
        <v>C93</v>
      </c>
      <c r="AG94" s="6" t="str">
        <f t="shared" si="146"/>
        <v>C96</v>
      </c>
      <c r="AH94" s="6" t="str">
        <f t="shared" si="146"/>
        <v>E97</v>
      </c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</row>
    <row r="95" ht="12.75" customHeight="1">
      <c r="A95" s="136"/>
      <c r="B95" s="21" t="s">
        <v>224</v>
      </c>
      <c r="C95" s="22">
        <v>1.0</v>
      </c>
      <c r="D95" s="19" t="s">
        <v>31</v>
      </c>
      <c r="E95" s="23">
        <v>0.0</v>
      </c>
      <c r="F95" s="34" t="s">
        <v>226</v>
      </c>
      <c r="G95" s="59"/>
      <c r="H95" s="25">
        <v>46196.0</v>
      </c>
      <c r="I95" s="26">
        <v>0.708333333333333</v>
      </c>
      <c r="J95" s="27"/>
      <c r="K95" s="49" t="s">
        <v>226</v>
      </c>
      <c r="L95" s="19" t="str">
        <f t="shared" si="147"/>
        <v>3</v>
      </c>
      <c r="M95" s="19" t="str">
        <f t="shared" si="148"/>
        <v>1</v>
      </c>
      <c r="N95" s="19" t="str">
        <f t="shared" si="149"/>
        <v>4</v>
      </c>
      <c r="O95" s="19" t="str">
        <f t="shared" si="150"/>
        <v>3</v>
      </c>
      <c r="P95" s="19" t="str">
        <f t="shared" si="151"/>
        <v>1</v>
      </c>
      <c r="Q95" s="19" t="str">
        <f t="shared" si="152"/>
        <v>0</v>
      </c>
      <c r="R95" s="36" t="str">
        <f t="shared" si="153"/>
        <v>2</v>
      </c>
      <c r="S95" s="59"/>
      <c r="T95" s="32" t="str">
        <f t="shared" si="144"/>
        <v/>
      </c>
      <c r="U95" s="19" t="str">
        <f t="shared" si="145"/>
        <v>0</v>
      </c>
      <c r="Y95" s="33" t="str">
        <f>IF(AND(ISNUMBER(RESULTADOS!C95),ISNUMBER(RESULTADOS!E95),ISNUMBER(C95),ISNUMBER(E95),C95=RESULTADOS!C95,E95=RESULTADOS!E95),2,0)</f>
        <v>0</v>
      </c>
      <c r="Z95" s="33" t="str">
        <f>IF(AND(ISNUMBER(RESULTADOS!C95),ISNUMBER(RESULTADOS!E95),ISNUMBER(C95),ISNUMBER(E95)),IF(OR(AND(C95&gt;E95,RESULTADOS!C95&gt;RESULTADOS!E95),AND(C95&lt;E95,RESULTADOS!C95&lt;RESULTADOS!E95)),1,IF(AND(C95=E95,RESULTADOS!C95=RESULTADOS!E95),2,0)),0)</f>
        <v>0</v>
      </c>
      <c r="AA95" s="33" t="str">
        <f>IF(AND(ISNUMBER(RESULTADOS!C95),ISNUMBER(RESULTADOS!E95),ISNUMBER(C95),ISNUMBER(E95),AND(Z95=1,OR(C95=RESULTADOS!C95,E95=RESULTADOS!E95))),1,0)</f>
        <v>0</v>
      </c>
      <c r="AB95" s="6" t="str">
        <f>IF(
  AND(
    ISNUMBER(RESULTADOS!C95),
    ISNUMBER(RESULTADOS!E95),
    ISNUMBER(C95),
    ISNUMBER(E95),
    AND(Z95=1,AA95=0,(RESULTADOS!C95-RESULTADOS!E95)=(C95-E95))
  ),
  1,
  0
)</f>
        <v>0</v>
      </c>
      <c r="AC95" s="6" t="s">
        <v>231</v>
      </c>
      <c r="AD95" s="6" t="s">
        <v>232</v>
      </c>
      <c r="AE95" s="6" t="s">
        <v>233</v>
      </c>
      <c r="AF95" s="6" t="str">
        <f t="shared" ref="AF95:AH95" si="154">IF(ISNUMBER(FIND("C", AC95, 1)), SUBSTITUTE(AC95, "C", "E"), SUBSTITUTE(AC95, "E", "C"))</f>
        <v>E94</v>
      </c>
      <c r="AG95" s="6" t="str">
        <f t="shared" si="154"/>
        <v>C95</v>
      </c>
      <c r="AH95" s="6" t="str">
        <f t="shared" si="154"/>
        <v>C97</v>
      </c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</row>
    <row r="96" ht="12.75" customHeight="1">
      <c r="A96" s="136"/>
      <c r="B96" s="21" t="s">
        <v>227</v>
      </c>
      <c r="C96" s="22">
        <v>0.0</v>
      </c>
      <c r="D96" s="19" t="s">
        <v>31</v>
      </c>
      <c r="E96" s="23">
        <v>2.0</v>
      </c>
      <c r="F96" s="34" t="s">
        <v>225</v>
      </c>
      <c r="G96" s="59"/>
      <c r="H96" s="25">
        <v>46196.0</v>
      </c>
      <c r="I96" s="26">
        <v>0.833333333333333</v>
      </c>
      <c r="J96" s="27"/>
      <c r="K96" s="49" t="s">
        <v>224</v>
      </c>
      <c r="L96" s="19" t="str">
        <f t="shared" si="147"/>
        <v>7</v>
      </c>
      <c r="M96" s="19" t="str">
        <f t="shared" si="148"/>
        <v>4</v>
      </c>
      <c r="N96" s="19" t="str">
        <f t="shared" si="149"/>
        <v>5</v>
      </c>
      <c r="O96" s="19" t="str">
        <f t="shared" si="150"/>
        <v>1</v>
      </c>
      <c r="P96" s="19" t="str">
        <f t="shared" si="151"/>
        <v>2</v>
      </c>
      <c r="Q96" s="19" t="str">
        <f t="shared" si="152"/>
        <v>1</v>
      </c>
      <c r="R96" s="36" t="str">
        <f t="shared" si="153"/>
        <v>0</v>
      </c>
      <c r="S96" s="59"/>
      <c r="T96" s="32" t="str">
        <f t="shared" si="144"/>
        <v/>
      </c>
      <c r="U96" s="19" t="str">
        <f t="shared" si="145"/>
        <v>0</v>
      </c>
      <c r="Y96" s="33" t="str">
        <f>IF(AND(ISNUMBER(RESULTADOS!C96),ISNUMBER(RESULTADOS!E96),ISNUMBER(C96),ISNUMBER(E96),C96=RESULTADOS!C96,E96=RESULTADOS!E96),2,0)</f>
        <v>0</v>
      </c>
      <c r="Z96" s="33" t="str">
        <f>IF(AND(ISNUMBER(RESULTADOS!C96),ISNUMBER(RESULTADOS!E96),ISNUMBER(C96),ISNUMBER(E96)),IF(OR(AND(C96&gt;E96,RESULTADOS!C96&gt;RESULTADOS!E96),AND(C96&lt;E96,RESULTADOS!C96&lt;RESULTADOS!E96)),1,IF(AND(C96=E96,RESULTADOS!C96=RESULTADOS!E96),2,0)),0)</f>
        <v>0</v>
      </c>
      <c r="AA96" s="33" t="str">
        <f>IF(AND(ISNUMBER(RESULTADOS!C96),ISNUMBER(RESULTADOS!E96),ISNUMBER(C96),ISNUMBER(E96),AND(Z96=1,OR(C96=RESULTADOS!C96,E96=RESULTADOS!E96))),1,0)</f>
        <v>0</v>
      </c>
      <c r="AB96" s="6" t="str">
        <f>IF(
  AND(
    ISNUMBER(RESULTADOS!C96),
    ISNUMBER(RESULTADOS!E96),
    ISNUMBER(C96),
    ISNUMBER(E96),
    AND(Z96=1,AA96=0,(RESULTADOS!C96-RESULTADOS!E96)=(C96-E96))
  ),
  1,
  0
)</f>
        <v>0</v>
      </c>
      <c r="AC96" s="6" t="s">
        <v>234</v>
      </c>
      <c r="AD96" s="6" t="s">
        <v>235</v>
      </c>
      <c r="AE96" s="6" t="s">
        <v>236</v>
      </c>
      <c r="AF96" s="6" t="str">
        <f t="shared" ref="AF96:AH96" si="155">IF(ISNUMBER(FIND("C", AC96, 1)), SUBSTITUTE(AC96, "C", "E"), SUBSTITUTE(AC96, "E", "C"))</f>
        <v>E93</v>
      </c>
      <c r="AG96" s="6" t="str">
        <f t="shared" si="155"/>
        <v>E95</v>
      </c>
      <c r="AH96" s="6" t="str">
        <f t="shared" si="155"/>
        <v>C98</v>
      </c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</row>
    <row r="97" ht="12.75" customHeight="1">
      <c r="A97" s="136"/>
      <c r="B97" s="21" t="s">
        <v>225</v>
      </c>
      <c r="C97" s="22">
        <v>2.0</v>
      </c>
      <c r="D97" s="19" t="s">
        <v>31</v>
      </c>
      <c r="E97" s="23">
        <v>1.0</v>
      </c>
      <c r="F97" s="34" t="s">
        <v>226</v>
      </c>
      <c r="G97" s="59"/>
      <c r="H97" s="25">
        <v>46200.0</v>
      </c>
      <c r="I97" s="26">
        <v>0.75</v>
      </c>
      <c r="J97" s="27"/>
      <c r="K97" s="50" t="s">
        <v>227</v>
      </c>
      <c r="L97" s="38" t="str">
        <f t="shared" si="147"/>
        <v>0</v>
      </c>
      <c r="M97" s="38" t="str">
        <f t="shared" si="148"/>
        <v>-8</v>
      </c>
      <c r="N97" s="38" t="str">
        <f t="shared" si="149"/>
        <v>0</v>
      </c>
      <c r="O97" s="38" t="str">
        <f t="shared" si="150"/>
        <v>8</v>
      </c>
      <c r="P97" s="38" t="str">
        <f t="shared" si="151"/>
        <v>0</v>
      </c>
      <c r="Q97" s="38" t="str">
        <f t="shared" si="152"/>
        <v>0</v>
      </c>
      <c r="R97" s="39" t="str">
        <f t="shared" si="153"/>
        <v>3</v>
      </c>
      <c r="S97" s="59"/>
      <c r="T97" s="32" t="str">
        <f t="shared" si="144"/>
        <v/>
      </c>
      <c r="U97" s="19" t="str">
        <f t="shared" si="145"/>
        <v>0</v>
      </c>
      <c r="Y97" s="33" t="str">
        <f>IF(AND(ISNUMBER(RESULTADOS!C97),ISNUMBER(RESULTADOS!E97),ISNUMBER(C97),ISNUMBER(E97),C97=RESULTADOS!C97,E97=RESULTADOS!E97),2,0)</f>
        <v>0</v>
      </c>
      <c r="Z97" s="33" t="str">
        <f>IF(AND(ISNUMBER(RESULTADOS!C97),ISNUMBER(RESULTADOS!E97),ISNUMBER(C97),ISNUMBER(E97)),IF(OR(AND(C97&gt;E97,RESULTADOS!C97&gt;RESULTADOS!E97),AND(C97&lt;E97,RESULTADOS!C97&lt;RESULTADOS!E97)),1,IF(AND(C97=E97,RESULTADOS!C97=RESULTADOS!E97),2,0)),0)</f>
        <v>0</v>
      </c>
      <c r="AA97" s="33" t="str">
        <f>IF(AND(ISNUMBER(RESULTADOS!C97),ISNUMBER(RESULTADOS!E97),ISNUMBER(C97),ISNUMBER(E97),AND(Z97=1,OR(C97=RESULTADOS!C97,E97=RESULTADOS!E97))),1,0)</f>
        <v>0</v>
      </c>
      <c r="AB97" s="6" t="str">
        <f>IF(
  AND(
    ISNUMBER(RESULTADOS!C97),
    ISNUMBER(RESULTADOS!E97),
    ISNUMBER(C97),
    ISNUMBER(E97),
    AND(Z97=1,AA97=0,(RESULTADOS!C97-RESULTADOS!E97)=(C97-E97))
  ),
  1,
  0
)</f>
        <v>0</v>
      </c>
      <c r="AC97" s="6" t="s">
        <v>237</v>
      </c>
      <c r="AD97" s="6" t="s">
        <v>238</v>
      </c>
      <c r="AE97" s="6" t="s">
        <v>239</v>
      </c>
      <c r="AF97" s="6" t="str">
        <f t="shared" ref="AF97:AH97" si="156">IF(ISNUMBER(FIND("C", AC97, 1)), SUBSTITUTE(AC97, "C", "E"), SUBSTITUTE(AC97, "E", "C"))</f>
        <v>C94</v>
      </c>
      <c r="AG97" s="6" t="str">
        <f t="shared" si="156"/>
        <v>E96</v>
      </c>
      <c r="AH97" s="6" t="str">
        <f t="shared" si="156"/>
        <v>E98</v>
      </c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</row>
    <row r="98" ht="12.75" customHeight="1">
      <c r="A98" s="136"/>
      <c r="B98" s="40" t="s">
        <v>227</v>
      </c>
      <c r="C98" s="41">
        <v>0.0</v>
      </c>
      <c r="D98" s="38" t="s">
        <v>31</v>
      </c>
      <c r="E98" s="42">
        <v>3.0</v>
      </c>
      <c r="F98" s="43" t="s">
        <v>224</v>
      </c>
      <c r="G98" s="59"/>
      <c r="H98" s="44">
        <v>46200.0</v>
      </c>
      <c r="I98" s="45">
        <v>0.75</v>
      </c>
      <c r="J98" s="27"/>
      <c r="K98" s="46"/>
      <c r="L98" s="136"/>
      <c r="M98" s="136"/>
      <c r="N98" s="136"/>
      <c r="O98" s="136"/>
      <c r="P98" s="136"/>
      <c r="Q98" s="136"/>
      <c r="R98" s="136"/>
      <c r="S98" s="59"/>
      <c r="T98" s="32" t="str">
        <f t="shared" si="144"/>
        <v/>
      </c>
      <c r="U98" s="19" t="str">
        <f t="shared" si="145"/>
        <v>0</v>
      </c>
      <c r="Y98" s="33" t="str">
        <f>IF(AND(ISNUMBER(RESULTADOS!C98),ISNUMBER(RESULTADOS!E98),ISNUMBER(C98),ISNUMBER(E98),C98=RESULTADOS!C98,E98=RESULTADOS!E98),2,0)</f>
        <v>0</v>
      </c>
      <c r="Z98" s="33" t="str">
        <f>IF(AND(ISNUMBER(RESULTADOS!C98),ISNUMBER(RESULTADOS!E98),ISNUMBER(C98),ISNUMBER(E98)),IF(OR(AND(C98&gt;E98,RESULTADOS!C98&gt;RESULTADOS!E98),AND(C98&lt;E98,RESULTADOS!C98&lt;RESULTADOS!E98)),1,IF(AND(C98=E98,RESULTADOS!C98=RESULTADOS!E98),2,0)),0)</f>
        <v>0</v>
      </c>
      <c r="AA98" s="33" t="str">
        <f>IF(AND(ISNUMBER(RESULTADOS!C98),ISNUMBER(RESULTADOS!E98),ISNUMBER(C98),ISNUMBER(E98),AND(Z98=1,OR(C98=RESULTADOS!C98,E98=RESULTADOS!E98))),1,0)</f>
        <v>0</v>
      </c>
      <c r="AB98" s="6" t="str">
        <f>IF(
  AND(
    ISNUMBER(RESULTADOS!C98),
    ISNUMBER(RESULTADOS!E98),
    ISNUMBER(C98),
    ISNUMBER(E98),
    AND(Z98=1,AA98=0,(RESULTADOS!C98-RESULTADOS!E98)=(C98-E98))
  ),
  1,
  0
)</f>
        <v>0</v>
      </c>
      <c r="AC98" s="6"/>
      <c r="AD98" s="6"/>
      <c r="AE98" s="6"/>
      <c r="AF98" s="6"/>
      <c r="AG98" s="6"/>
      <c r="AH98" s="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</row>
    <row r="99" ht="12.75" customHeight="1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</row>
    <row r="100" ht="12.75" customHeight="1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</row>
    <row r="101" ht="13.5" customHeight="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</row>
    <row r="102" ht="12.75" customHeight="1">
      <c r="A102" s="136"/>
      <c r="B102" s="136"/>
      <c r="C102" s="136"/>
      <c r="D102" s="136"/>
      <c r="E102" s="136"/>
      <c r="F102" s="136"/>
      <c r="G102" s="136"/>
      <c r="H102" s="52"/>
      <c r="I102" s="52"/>
      <c r="J102" s="52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</row>
    <row r="103" ht="12.75" customHeight="1">
      <c r="A103" s="136"/>
      <c r="B103" s="136"/>
      <c r="C103" s="136"/>
      <c r="D103" s="136"/>
      <c r="E103" s="136"/>
      <c r="F103" s="136"/>
      <c r="G103" s="136"/>
      <c r="H103" s="52"/>
      <c r="I103" s="52"/>
      <c r="J103" s="52"/>
      <c r="K103" s="136"/>
      <c r="L103" s="53"/>
      <c r="M103" s="53"/>
      <c r="N103" s="53"/>
      <c r="O103" s="53"/>
      <c r="P103" s="53"/>
      <c r="Q103" s="53"/>
      <c r="R103" s="53"/>
      <c r="S103" s="136"/>
      <c r="T103" s="136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</row>
    <row r="104" ht="12.75" customHeight="1">
      <c r="A104" s="136"/>
      <c r="B104" s="136"/>
      <c r="C104" s="136"/>
      <c r="D104" s="136"/>
      <c r="E104" s="136"/>
      <c r="F104" s="136"/>
      <c r="G104" s="136"/>
      <c r="H104" s="52"/>
      <c r="I104" s="52"/>
      <c r="J104" s="52"/>
      <c r="K104" s="136"/>
      <c r="L104" s="53"/>
      <c r="M104" s="53"/>
      <c r="N104" s="53"/>
      <c r="O104" s="53"/>
      <c r="P104" s="53"/>
      <c r="Q104" s="53"/>
      <c r="R104" s="53"/>
      <c r="S104" s="136"/>
      <c r="T104" s="136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</row>
    <row r="105" ht="12.75" customHeight="1">
      <c r="A105" s="136"/>
      <c r="B105" s="136"/>
      <c r="C105" s="136"/>
      <c r="D105" s="136"/>
      <c r="E105" s="136"/>
      <c r="F105" s="136"/>
      <c r="G105" s="136"/>
      <c r="H105" s="52"/>
      <c r="I105" s="52"/>
      <c r="J105" s="52"/>
      <c r="K105" s="136"/>
      <c r="L105" s="53"/>
      <c r="M105" s="53"/>
      <c r="N105" s="53"/>
      <c r="O105" s="53"/>
      <c r="P105" s="53"/>
      <c r="Q105" s="53"/>
      <c r="R105" s="53"/>
      <c r="S105" s="136"/>
      <c r="T105" s="136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</row>
    <row r="106" ht="12.75" customHeight="1">
      <c r="A106" s="136"/>
      <c r="B106" s="136"/>
      <c r="C106" s="136"/>
      <c r="D106" s="136"/>
      <c r="E106" s="136"/>
      <c r="F106" s="136"/>
      <c r="G106" s="136"/>
      <c r="H106" s="52"/>
      <c r="I106" s="52"/>
      <c r="J106" s="52"/>
      <c r="K106" s="136"/>
      <c r="L106" s="53"/>
      <c r="M106" s="53"/>
      <c r="N106" s="53"/>
      <c r="O106" s="53"/>
      <c r="P106" s="53"/>
      <c r="Q106" s="53"/>
      <c r="R106" s="53"/>
      <c r="S106" s="136"/>
      <c r="T106" s="136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</row>
    <row r="107" ht="12.75" customHeight="1">
      <c r="A107" s="136"/>
      <c r="B107" s="136"/>
      <c r="C107" s="136"/>
      <c r="D107" s="136"/>
      <c r="E107" s="136"/>
      <c r="F107" s="136"/>
      <c r="G107" s="136"/>
      <c r="H107" s="52"/>
      <c r="I107" s="52"/>
      <c r="J107" s="52"/>
      <c r="K107" s="136"/>
      <c r="L107" s="53"/>
      <c r="M107" s="53"/>
      <c r="N107" s="53"/>
      <c r="O107" s="53"/>
      <c r="P107" s="53"/>
      <c r="Q107" s="53"/>
      <c r="R107" s="53"/>
      <c r="S107" s="136"/>
      <c r="T107" s="136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</row>
    <row r="108" ht="12.75" customHeight="1">
      <c r="A108" s="136"/>
      <c r="B108" s="136"/>
      <c r="C108" s="136"/>
      <c r="D108" s="136"/>
      <c r="E108" s="136"/>
      <c r="F108" s="136"/>
      <c r="G108" s="136"/>
      <c r="H108" s="52"/>
      <c r="I108" s="52"/>
      <c r="J108" s="52"/>
      <c r="K108" s="136"/>
      <c r="L108" s="53"/>
      <c r="M108" s="53"/>
      <c r="N108" s="53"/>
      <c r="O108" s="53"/>
      <c r="P108" s="53"/>
      <c r="Q108" s="53"/>
      <c r="R108" s="53"/>
      <c r="S108" s="136"/>
      <c r="T108" s="136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</row>
    <row r="109" ht="12.75" customHeight="1">
      <c r="A109" s="136"/>
      <c r="B109" s="136"/>
      <c r="C109" s="136"/>
      <c r="D109" s="136"/>
      <c r="E109" s="136"/>
      <c r="F109" s="136"/>
      <c r="G109" s="136"/>
      <c r="H109" s="52"/>
      <c r="I109" s="52"/>
      <c r="J109" s="52"/>
      <c r="K109" s="136"/>
      <c r="L109" s="53"/>
      <c r="M109" s="53"/>
      <c r="N109" s="53"/>
      <c r="O109" s="53"/>
      <c r="P109" s="53"/>
      <c r="Q109" s="53"/>
      <c r="R109" s="53"/>
      <c r="S109" s="136"/>
      <c r="T109" s="136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</row>
    <row r="110" ht="12.75" customHeight="1">
      <c r="A110" s="136"/>
      <c r="B110" s="136"/>
      <c r="C110" s="136"/>
      <c r="D110" s="136"/>
      <c r="E110" s="136"/>
      <c r="F110" s="136"/>
      <c r="G110" s="136"/>
      <c r="H110" s="52"/>
      <c r="I110" s="52"/>
      <c r="J110" s="52"/>
      <c r="K110" s="136"/>
      <c r="L110" s="53"/>
      <c r="M110" s="53"/>
      <c r="N110" s="53"/>
      <c r="O110" s="53"/>
      <c r="P110" s="53"/>
      <c r="Q110" s="53"/>
      <c r="R110" s="53"/>
      <c r="S110" s="136"/>
      <c r="T110" s="136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</row>
    <row r="111" ht="12.75" customHeight="1">
      <c r="A111" s="136"/>
      <c r="B111" s="136"/>
      <c r="C111" s="136"/>
      <c r="D111" s="136"/>
      <c r="E111" s="136"/>
      <c r="F111" s="136"/>
      <c r="G111" s="136"/>
      <c r="H111" s="52"/>
      <c r="I111" s="52"/>
      <c r="J111" s="52"/>
      <c r="K111" s="136"/>
      <c r="L111" s="53"/>
      <c r="M111" s="53"/>
      <c r="N111" s="53"/>
      <c r="O111" s="53"/>
      <c r="P111" s="53"/>
      <c r="Q111" s="53"/>
      <c r="R111" s="53"/>
      <c r="S111" s="136"/>
      <c r="T111" s="136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</row>
    <row r="112" ht="12.75" customHeight="1">
      <c r="A112" s="136"/>
      <c r="B112" s="136"/>
      <c r="C112" s="136"/>
      <c r="D112" s="136"/>
      <c r="E112" s="136"/>
      <c r="F112" s="136"/>
      <c r="G112" s="136"/>
      <c r="H112" s="52"/>
      <c r="I112" s="52"/>
      <c r="J112" s="52"/>
      <c r="K112" s="136"/>
      <c r="L112" s="53"/>
      <c r="M112" s="53"/>
      <c r="N112" s="53"/>
      <c r="O112" s="53"/>
      <c r="P112" s="53"/>
      <c r="Q112" s="53"/>
      <c r="R112" s="53"/>
      <c r="S112" s="136"/>
      <c r="T112" s="136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</row>
    <row r="113" ht="12.75" customHeight="1">
      <c r="A113" s="136"/>
      <c r="B113" s="136"/>
      <c r="C113" s="136"/>
      <c r="D113" s="136"/>
      <c r="E113" s="136"/>
      <c r="F113" s="136"/>
      <c r="G113" s="136"/>
      <c r="H113" s="52"/>
      <c r="I113" s="52"/>
      <c r="J113" s="52"/>
      <c r="K113" s="136"/>
      <c r="L113" s="53"/>
      <c r="M113" s="53"/>
      <c r="N113" s="53"/>
      <c r="O113" s="53"/>
      <c r="P113" s="53"/>
      <c r="Q113" s="53"/>
      <c r="R113" s="53"/>
      <c r="S113" s="136"/>
      <c r="T113" s="136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</row>
    <row r="114" ht="12.75" customHeight="1">
      <c r="A114" s="136"/>
      <c r="B114" s="136"/>
      <c r="C114" s="136"/>
      <c r="D114" s="136"/>
      <c r="E114" s="136"/>
      <c r="F114" s="136"/>
      <c r="G114" s="136"/>
      <c r="H114" s="52"/>
      <c r="I114" s="52"/>
      <c r="J114" s="52"/>
      <c r="K114" s="136"/>
      <c r="L114" s="53"/>
      <c r="M114" s="53"/>
      <c r="N114" s="53"/>
      <c r="O114" s="53"/>
      <c r="P114" s="53"/>
      <c r="Q114" s="53"/>
      <c r="R114" s="53"/>
      <c r="S114" s="136"/>
      <c r="T114" s="136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</row>
    <row r="115" ht="12.75" customHeight="1">
      <c r="A115" s="136"/>
      <c r="B115" s="136"/>
      <c r="C115" s="136"/>
      <c r="D115" s="136"/>
      <c r="E115" s="136"/>
      <c r="F115" s="136"/>
      <c r="G115" s="136"/>
      <c r="H115" s="52"/>
      <c r="I115" s="52"/>
      <c r="J115" s="52"/>
      <c r="K115" s="136"/>
      <c r="L115" s="53"/>
      <c r="M115" s="53"/>
      <c r="N115" s="53"/>
      <c r="O115" s="53"/>
      <c r="P115" s="53"/>
      <c r="Q115" s="53"/>
      <c r="R115" s="53"/>
      <c r="S115" s="136"/>
      <c r="T115" s="136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</row>
    <row r="116" ht="12.75" customHeight="1">
      <c r="A116" s="136"/>
      <c r="B116" s="136"/>
      <c r="C116" s="136"/>
      <c r="D116" s="136"/>
      <c r="E116" s="136"/>
      <c r="F116" s="136"/>
      <c r="G116" s="136"/>
      <c r="H116" s="52"/>
      <c r="I116" s="52"/>
      <c r="J116" s="52"/>
      <c r="K116" s="136"/>
      <c r="L116" s="53"/>
      <c r="M116" s="53"/>
      <c r="N116" s="53"/>
      <c r="O116" s="53"/>
      <c r="P116" s="53"/>
      <c r="Q116" s="53"/>
      <c r="R116" s="53"/>
      <c r="S116" s="136"/>
      <c r="T116" s="136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</row>
    <row r="117" ht="12.75" customHeight="1">
      <c r="A117" s="136"/>
      <c r="B117" s="136"/>
      <c r="C117" s="136"/>
      <c r="D117" s="136"/>
      <c r="E117" s="136"/>
      <c r="F117" s="136"/>
      <c r="G117" s="136"/>
      <c r="H117" s="52"/>
      <c r="I117" s="52"/>
      <c r="J117" s="52"/>
      <c r="K117" s="136"/>
      <c r="L117" s="53"/>
      <c r="M117" s="53"/>
      <c r="N117" s="53"/>
      <c r="O117" s="53"/>
      <c r="P117" s="53"/>
      <c r="Q117" s="53"/>
      <c r="R117" s="53"/>
      <c r="S117" s="136"/>
      <c r="T117" s="136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</row>
    <row r="118" ht="12.75" customHeight="1">
      <c r="A118" s="136"/>
      <c r="B118" s="136"/>
      <c r="C118" s="136"/>
      <c r="D118" s="136"/>
      <c r="E118" s="136"/>
      <c r="F118" s="136"/>
      <c r="G118" s="136"/>
      <c r="H118" s="52"/>
      <c r="I118" s="52"/>
      <c r="J118" s="52"/>
      <c r="K118" s="136"/>
      <c r="L118" s="53"/>
      <c r="M118" s="53"/>
      <c r="N118" s="53"/>
      <c r="O118" s="53"/>
      <c r="P118" s="53"/>
      <c r="Q118" s="53"/>
      <c r="R118" s="53"/>
      <c r="S118" s="136"/>
      <c r="T118" s="136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</row>
    <row r="119" ht="12.75" customHeight="1">
      <c r="A119" s="136"/>
      <c r="B119" s="136"/>
      <c r="C119" s="136"/>
      <c r="D119" s="136"/>
      <c r="E119" s="136"/>
      <c r="F119" s="136"/>
      <c r="G119" s="136"/>
      <c r="H119" s="52"/>
      <c r="I119" s="52"/>
      <c r="J119" s="52"/>
      <c r="K119" s="136"/>
      <c r="L119" s="53"/>
      <c r="M119" s="53"/>
      <c r="N119" s="53"/>
      <c r="O119" s="53"/>
      <c r="P119" s="53"/>
      <c r="Q119" s="53"/>
      <c r="R119" s="53"/>
      <c r="S119" s="136"/>
      <c r="T119" s="136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</row>
    <row r="120" ht="12.75" customHeight="1">
      <c r="A120" s="136"/>
      <c r="B120" s="136"/>
      <c r="C120" s="136"/>
      <c r="D120" s="136"/>
      <c r="E120" s="136"/>
      <c r="F120" s="136"/>
      <c r="G120" s="136"/>
      <c r="H120" s="52"/>
      <c r="I120" s="52"/>
      <c r="J120" s="52"/>
      <c r="K120" s="136"/>
      <c r="L120" s="53"/>
      <c r="M120" s="53"/>
      <c r="N120" s="53"/>
      <c r="O120" s="53"/>
      <c r="P120" s="53"/>
      <c r="Q120" s="53"/>
      <c r="R120" s="53"/>
      <c r="S120" s="136"/>
      <c r="T120" s="136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</row>
    <row r="121" ht="12.75" customHeight="1">
      <c r="A121" s="136"/>
      <c r="B121" s="136"/>
      <c r="C121" s="136"/>
      <c r="D121" s="136"/>
      <c r="E121" s="136"/>
      <c r="F121" s="136"/>
      <c r="G121" s="136"/>
      <c r="H121" s="52"/>
      <c r="I121" s="52"/>
      <c r="J121" s="52"/>
      <c r="K121" s="136"/>
      <c r="L121" s="53"/>
      <c r="M121" s="53"/>
      <c r="N121" s="53"/>
      <c r="O121" s="53"/>
      <c r="P121" s="53"/>
      <c r="Q121" s="53"/>
      <c r="R121" s="53"/>
      <c r="S121" s="136"/>
      <c r="T121" s="136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</row>
    <row r="122" ht="12.75" customHeight="1">
      <c r="A122" s="136"/>
      <c r="B122" s="136"/>
      <c r="C122" s="136"/>
      <c r="D122" s="136"/>
      <c r="E122" s="136"/>
      <c r="F122" s="136"/>
      <c r="G122" s="136"/>
      <c r="H122" s="52"/>
      <c r="I122" s="52"/>
      <c r="J122" s="52"/>
      <c r="K122" s="136"/>
      <c r="L122" s="53"/>
      <c r="M122" s="53"/>
      <c r="N122" s="53"/>
      <c r="O122" s="53"/>
      <c r="P122" s="53"/>
      <c r="Q122" s="53"/>
      <c r="R122" s="53"/>
      <c r="S122" s="136"/>
      <c r="T122" s="136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</row>
    <row r="123" ht="12.75" customHeight="1">
      <c r="A123" s="136"/>
      <c r="B123" s="136"/>
      <c r="C123" s="136"/>
      <c r="D123" s="136"/>
      <c r="E123" s="136"/>
      <c r="F123" s="136"/>
      <c r="G123" s="136"/>
      <c r="H123" s="52"/>
      <c r="I123" s="52"/>
      <c r="J123" s="52"/>
      <c r="K123" s="136"/>
      <c r="L123" s="53"/>
      <c r="M123" s="53"/>
      <c r="N123" s="53"/>
      <c r="O123" s="53"/>
      <c r="P123" s="53"/>
      <c r="Q123" s="53"/>
      <c r="R123" s="53"/>
      <c r="S123" s="136"/>
      <c r="T123" s="136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</row>
    <row r="124" ht="12.75" customHeight="1">
      <c r="A124" s="136"/>
      <c r="B124" s="136"/>
      <c r="C124" s="136"/>
      <c r="D124" s="136"/>
      <c r="E124" s="136"/>
      <c r="F124" s="136"/>
      <c r="G124" s="136"/>
      <c r="H124" s="52"/>
      <c r="I124" s="52"/>
      <c r="J124" s="52"/>
      <c r="K124" s="136"/>
      <c r="L124" s="53"/>
      <c r="M124" s="53"/>
      <c r="N124" s="53"/>
      <c r="O124" s="53"/>
      <c r="P124" s="53"/>
      <c r="Q124" s="53"/>
      <c r="R124" s="53"/>
      <c r="S124" s="136"/>
      <c r="T124" s="136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</row>
    <row r="125" ht="12.75" customHeight="1">
      <c r="A125" s="136"/>
      <c r="B125" s="136"/>
      <c r="C125" s="136"/>
      <c r="D125" s="136"/>
      <c r="E125" s="136"/>
      <c r="F125" s="136"/>
      <c r="G125" s="136"/>
      <c r="H125" s="52"/>
      <c r="I125" s="52"/>
      <c r="J125" s="52"/>
      <c r="K125" s="136"/>
      <c r="L125" s="53"/>
      <c r="M125" s="53"/>
      <c r="N125" s="53"/>
      <c r="O125" s="53"/>
      <c r="P125" s="53"/>
      <c r="Q125" s="53"/>
      <c r="R125" s="53"/>
      <c r="S125" s="136"/>
      <c r="T125" s="136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</row>
    <row r="126" ht="12.75" customHeight="1">
      <c r="A126" s="136"/>
      <c r="B126" s="136"/>
      <c r="C126" s="136"/>
      <c r="D126" s="136"/>
      <c r="E126" s="136"/>
      <c r="F126" s="136"/>
      <c r="G126" s="136"/>
      <c r="H126" s="52"/>
      <c r="I126" s="52"/>
      <c r="J126" s="52"/>
      <c r="K126" s="136"/>
      <c r="L126" s="53"/>
      <c r="M126" s="53"/>
      <c r="N126" s="53"/>
      <c r="O126" s="53"/>
      <c r="P126" s="53"/>
      <c r="Q126" s="53"/>
      <c r="R126" s="53"/>
      <c r="S126" s="136"/>
      <c r="T126" s="136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</row>
    <row r="127" ht="12.75" customHeight="1">
      <c r="A127" s="136"/>
      <c r="B127" s="136"/>
      <c r="C127" s="136"/>
      <c r="D127" s="136"/>
      <c r="E127" s="136"/>
      <c r="F127" s="136"/>
      <c r="G127" s="136"/>
      <c r="H127" s="52"/>
      <c r="I127" s="52"/>
      <c r="J127" s="52"/>
      <c r="K127" s="136"/>
      <c r="L127" s="53"/>
      <c r="M127" s="53"/>
      <c r="N127" s="53"/>
      <c r="O127" s="53"/>
      <c r="P127" s="53"/>
      <c r="Q127" s="53"/>
      <c r="R127" s="53"/>
      <c r="S127" s="136"/>
      <c r="T127" s="136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</row>
    <row r="128" ht="12.75" customHeight="1">
      <c r="A128" s="136"/>
      <c r="B128" s="136"/>
      <c r="C128" s="136"/>
      <c r="D128" s="136"/>
      <c r="E128" s="136"/>
      <c r="F128" s="136"/>
      <c r="G128" s="136"/>
      <c r="H128" s="52"/>
      <c r="I128" s="52"/>
      <c r="J128" s="52"/>
      <c r="K128" s="136"/>
      <c r="L128" s="53"/>
      <c r="M128" s="53"/>
      <c r="N128" s="53"/>
      <c r="O128" s="53"/>
      <c r="P128" s="53"/>
      <c r="Q128" s="53"/>
      <c r="R128" s="53"/>
      <c r="S128" s="136"/>
      <c r="T128" s="136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</row>
    <row r="129" ht="12.75" customHeight="1">
      <c r="A129" s="136"/>
      <c r="B129" s="136"/>
      <c r="C129" s="136"/>
      <c r="D129" s="136"/>
      <c r="E129" s="136"/>
      <c r="F129" s="136"/>
      <c r="G129" s="136"/>
      <c r="H129" s="52"/>
      <c r="I129" s="52"/>
      <c r="J129" s="52"/>
      <c r="K129" s="136"/>
      <c r="L129" s="53"/>
      <c r="M129" s="53"/>
      <c r="N129" s="53"/>
      <c r="O129" s="53"/>
      <c r="P129" s="53"/>
      <c r="Q129" s="53"/>
      <c r="R129" s="53"/>
      <c r="S129" s="136"/>
      <c r="T129" s="136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</row>
    <row r="130" ht="12.75" customHeight="1">
      <c r="A130" s="136"/>
      <c r="B130" s="136"/>
      <c r="C130" s="136"/>
      <c r="D130" s="136"/>
      <c r="E130" s="136"/>
      <c r="F130" s="136"/>
      <c r="G130" s="136"/>
      <c r="H130" s="52"/>
      <c r="I130" s="52"/>
      <c r="J130" s="52"/>
      <c r="K130" s="136"/>
      <c r="L130" s="53"/>
      <c r="M130" s="53"/>
      <c r="N130" s="53"/>
      <c r="O130" s="53"/>
      <c r="P130" s="53"/>
      <c r="Q130" s="53"/>
      <c r="R130" s="53"/>
      <c r="S130" s="136"/>
      <c r="T130" s="136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</row>
    <row r="131" ht="12.75" customHeight="1">
      <c r="A131" s="136"/>
      <c r="B131" s="136"/>
      <c r="C131" s="136"/>
      <c r="D131" s="136"/>
      <c r="E131" s="136"/>
      <c r="F131" s="136"/>
      <c r="G131" s="136"/>
      <c r="H131" s="52"/>
      <c r="I131" s="52"/>
      <c r="J131" s="52"/>
      <c r="K131" s="136"/>
      <c r="L131" s="53"/>
      <c r="M131" s="53"/>
      <c r="N131" s="53"/>
      <c r="O131" s="53"/>
      <c r="P131" s="53"/>
      <c r="Q131" s="53"/>
      <c r="R131" s="53"/>
      <c r="S131" s="136"/>
      <c r="T131" s="136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</row>
    <row r="132" ht="12.75" customHeight="1">
      <c r="A132" s="136"/>
      <c r="B132" s="136"/>
      <c r="C132" s="136"/>
      <c r="D132" s="136"/>
      <c r="E132" s="136"/>
      <c r="F132" s="136"/>
      <c r="G132" s="136"/>
      <c r="H132" s="52"/>
      <c r="I132" s="52"/>
      <c r="J132" s="52"/>
      <c r="K132" s="136"/>
      <c r="L132" s="53"/>
      <c r="M132" s="53"/>
      <c r="N132" s="53"/>
      <c r="O132" s="53"/>
      <c r="P132" s="53"/>
      <c r="Q132" s="53"/>
      <c r="R132" s="53"/>
      <c r="S132" s="136"/>
      <c r="T132" s="136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</row>
    <row r="133" ht="12.75" customHeight="1">
      <c r="A133" s="136"/>
      <c r="B133" s="136"/>
      <c r="C133" s="136"/>
      <c r="D133" s="136"/>
      <c r="E133" s="136"/>
      <c r="F133" s="136"/>
      <c r="G133" s="136"/>
      <c r="H133" s="52"/>
      <c r="I133" s="52"/>
      <c r="J133" s="52"/>
      <c r="K133" s="136"/>
      <c r="L133" s="53"/>
      <c r="M133" s="53"/>
      <c r="N133" s="53"/>
      <c r="O133" s="53"/>
      <c r="P133" s="53"/>
      <c r="Q133" s="53"/>
      <c r="R133" s="53"/>
      <c r="S133" s="136"/>
      <c r="T133" s="136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</row>
    <row r="134" ht="12.75" customHeight="1">
      <c r="A134" s="136"/>
      <c r="B134" s="136"/>
      <c r="C134" s="136"/>
      <c r="D134" s="136"/>
      <c r="E134" s="136"/>
      <c r="F134" s="136"/>
      <c r="G134" s="136"/>
      <c r="H134" s="52"/>
      <c r="I134" s="52"/>
      <c r="J134" s="52"/>
      <c r="K134" s="136"/>
      <c r="L134" s="53"/>
      <c r="M134" s="53"/>
      <c r="N134" s="53"/>
      <c r="O134" s="53"/>
      <c r="P134" s="53"/>
      <c r="Q134" s="53"/>
      <c r="R134" s="53"/>
      <c r="S134" s="136"/>
      <c r="T134" s="136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</row>
    <row r="135" ht="12.75" customHeight="1">
      <c r="A135" s="136"/>
      <c r="B135" s="136"/>
      <c r="C135" s="136"/>
      <c r="D135" s="136"/>
      <c r="E135" s="136"/>
      <c r="F135" s="136"/>
      <c r="G135" s="136"/>
      <c r="H135" s="52"/>
      <c r="I135" s="52"/>
      <c r="J135" s="52"/>
      <c r="K135" s="136"/>
      <c r="L135" s="53"/>
      <c r="M135" s="53"/>
      <c r="N135" s="53"/>
      <c r="O135" s="53"/>
      <c r="P135" s="53"/>
      <c r="Q135" s="53"/>
      <c r="R135" s="53"/>
      <c r="S135" s="136"/>
      <c r="T135" s="136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</row>
    <row r="136" ht="12.75" customHeight="1">
      <c r="A136" s="136"/>
      <c r="B136" s="136"/>
      <c r="C136" s="136"/>
      <c r="D136" s="136"/>
      <c r="E136" s="136"/>
      <c r="F136" s="136"/>
      <c r="G136" s="136"/>
      <c r="H136" s="52"/>
      <c r="I136" s="52"/>
      <c r="J136" s="52"/>
      <c r="K136" s="136"/>
      <c r="L136" s="53"/>
      <c r="M136" s="53"/>
      <c r="N136" s="53"/>
      <c r="O136" s="53"/>
      <c r="P136" s="53"/>
      <c r="Q136" s="53"/>
      <c r="R136" s="53"/>
      <c r="S136" s="136"/>
      <c r="T136" s="136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</row>
    <row r="137" ht="12.75" customHeight="1">
      <c r="A137" s="136"/>
      <c r="B137" s="136"/>
      <c r="C137" s="136"/>
      <c r="D137" s="136"/>
      <c r="E137" s="136"/>
      <c r="F137" s="136"/>
      <c r="G137" s="136"/>
      <c r="H137" s="52"/>
      <c r="I137" s="52"/>
      <c r="J137" s="52"/>
      <c r="K137" s="136"/>
      <c r="L137" s="53"/>
      <c r="M137" s="53"/>
      <c r="N137" s="53"/>
      <c r="O137" s="53"/>
      <c r="P137" s="53"/>
      <c r="Q137" s="53"/>
      <c r="R137" s="53"/>
      <c r="S137" s="136"/>
      <c r="T137" s="136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</row>
    <row r="138" ht="12.75" customHeight="1">
      <c r="A138" s="136"/>
      <c r="B138" s="136"/>
      <c r="C138" s="136"/>
      <c r="D138" s="136"/>
      <c r="E138" s="136"/>
      <c r="F138" s="136"/>
      <c r="G138" s="136"/>
      <c r="H138" s="52"/>
      <c r="I138" s="52"/>
      <c r="J138" s="52"/>
      <c r="K138" s="136"/>
      <c r="L138" s="53"/>
      <c r="M138" s="53"/>
      <c r="N138" s="53"/>
      <c r="O138" s="53"/>
      <c r="P138" s="53"/>
      <c r="Q138" s="53"/>
      <c r="R138" s="53"/>
      <c r="S138" s="136"/>
      <c r="T138" s="136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</row>
    <row r="139" ht="12.75" customHeight="1">
      <c r="A139" s="136"/>
      <c r="B139" s="136"/>
      <c r="C139" s="136"/>
      <c r="D139" s="136"/>
      <c r="E139" s="136"/>
      <c r="F139" s="136"/>
      <c r="G139" s="136"/>
      <c r="H139" s="52"/>
      <c r="I139" s="52"/>
      <c r="J139" s="52"/>
      <c r="K139" s="136"/>
      <c r="L139" s="53"/>
      <c r="M139" s="53"/>
      <c r="N139" s="53"/>
      <c r="O139" s="53"/>
      <c r="P139" s="53"/>
      <c r="Q139" s="53"/>
      <c r="R139" s="53"/>
      <c r="S139" s="136"/>
      <c r="T139" s="136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</row>
    <row r="140" ht="12.75" customHeight="1">
      <c r="A140" s="136"/>
      <c r="B140" s="136"/>
      <c r="C140" s="136"/>
      <c r="D140" s="136"/>
      <c r="E140" s="136"/>
      <c r="F140" s="136"/>
      <c r="G140" s="136"/>
      <c r="H140" s="52"/>
      <c r="I140" s="52"/>
      <c r="J140" s="52"/>
      <c r="K140" s="136"/>
      <c r="L140" s="53"/>
      <c r="M140" s="53"/>
      <c r="N140" s="53"/>
      <c r="O140" s="53"/>
      <c r="P140" s="53"/>
      <c r="Q140" s="53"/>
      <c r="R140" s="53"/>
      <c r="S140" s="136"/>
      <c r="T140" s="136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</row>
    <row r="141" ht="12.75" customHeight="1">
      <c r="A141" s="136"/>
      <c r="B141" s="136"/>
      <c r="C141" s="136"/>
      <c r="D141" s="136"/>
      <c r="E141" s="136"/>
      <c r="F141" s="136"/>
      <c r="G141" s="136"/>
      <c r="H141" s="52"/>
      <c r="I141" s="52"/>
      <c r="J141" s="52"/>
      <c r="K141" s="136"/>
      <c r="L141" s="53"/>
      <c r="M141" s="53"/>
      <c r="N141" s="53"/>
      <c r="O141" s="53"/>
      <c r="P141" s="53"/>
      <c r="Q141" s="53"/>
      <c r="R141" s="53"/>
      <c r="S141" s="136"/>
      <c r="T141" s="136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</row>
    <row r="142" ht="12.75" customHeight="1">
      <c r="A142" s="136"/>
      <c r="B142" s="136"/>
      <c r="C142" s="136"/>
      <c r="D142" s="136"/>
      <c r="E142" s="136"/>
      <c r="F142" s="136"/>
      <c r="G142" s="136"/>
      <c r="H142" s="52"/>
      <c r="I142" s="52"/>
      <c r="J142" s="52"/>
      <c r="K142" s="136"/>
      <c r="L142" s="53"/>
      <c r="M142" s="53"/>
      <c r="N142" s="53"/>
      <c r="O142" s="53"/>
      <c r="P142" s="53"/>
      <c r="Q142" s="53"/>
      <c r="R142" s="53"/>
      <c r="S142" s="136"/>
      <c r="T142" s="136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</row>
    <row r="143" ht="12.75" customHeight="1">
      <c r="A143" s="136"/>
      <c r="B143" s="136"/>
      <c r="C143" s="136"/>
      <c r="D143" s="136"/>
      <c r="E143" s="136"/>
      <c r="F143" s="136"/>
      <c r="G143" s="136"/>
      <c r="H143" s="52"/>
      <c r="I143" s="52"/>
      <c r="J143" s="52"/>
      <c r="K143" s="136"/>
      <c r="L143" s="53"/>
      <c r="M143" s="53"/>
      <c r="N143" s="53"/>
      <c r="O143" s="53"/>
      <c r="P143" s="53"/>
      <c r="Q143" s="53"/>
      <c r="R143" s="53"/>
      <c r="S143" s="136"/>
      <c r="T143" s="136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</row>
    <row r="144" ht="12.75" customHeight="1">
      <c r="A144" s="136"/>
      <c r="B144" s="136"/>
      <c r="C144" s="136"/>
      <c r="D144" s="136"/>
      <c r="E144" s="136"/>
      <c r="F144" s="136"/>
      <c r="G144" s="136"/>
      <c r="H144" s="52"/>
      <c r="I144" s="52"/>
      <c r="J144" s="52"/>
      <c r="K144" s="136"/>
      <c r="L144" s="53"/>
      <c r="M144" s="53"/>
      <c r="N144" s="53"/>
      <c r="O144" s="53"/>
      <c r="P144" s="53"/>
      <c r="Q144" s="53"/>
      <c r="R144" s="53"/>
      <c r="S144" s="136"/>
      <c r="T144" s="136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</row>
    <row r="145" ht="12.75" customHeight="1">
      <c r="A145" s="136"/>
      <c r="B145" s="136"/>
      <c r="C145" s="136"/>
      <c r="D145" s="136"/>
      <c r="E145" s="136"/>
      <c r="F145" s="136"/>
      <c r="G145" s="136"/>
      <c r="H145" s="52"/>
      <c r="I145" s="52"/>
      <c r="J145" s="52"/>
      <c r="K145" s="136"/>
      <c r="L145" s="53"/>
      <c r="M145" s="53"/>
      <c r="N145" s="53"/>
      <c r="O145" s="53"/>
      <c r="P145" s="53"/>
      <c r="Q145" s="53"/>
      <c r="R145" s="53"/>
      <c r="S145" s="136"/>
      <c r="T145" s="136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</row>
    <row r="146" ht="12.75" customHeight="1">
      <c r="A146" s="136"/>
      <c r="B146" s="136"/>
      <c r="C146" s="136"/>
      <c r="D146" s="136"/>
      <c r="E146" s="136"/>
      <c r="F146" s="136"/>
      <c r="G146" s="136"/>
      <c r="H146" s="52"/>
      <c r="I146" s="52"/>
      <c r="J146" s="52"/>
      <c r="K146" s="136"/>
      <c r="L146" s="53"/>
      <c r="M146" s="53"/>
      <c r="N146" s="53"/>
      <c r="O146" s="53"/>
      <c r="P146" s="53"/>
      <c r="Q146" s="53"/>
      <c r="R146" s="53"/>
      <c r="S146" s="136"/>
      <c r="T146" s="136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</row>
    <row r="147" ht="12.75" customHeight="1">
      <c r="A147" s="136"/>
      <c r="B147" s="136"/>
      <c r="C147" s="136"/>
      <c r="D147" s="136"/>
      <c r="E147" s="136"/>
      <c r="F147" s="136"/>
      <c r="G147" s="136"/>
      <c r="H147" s="52"/>
      <c r="I147" s="52"/>
      <c r="J147" s="52"/>
      <c r="K147" s="136"/>
      <c r="L147" s="53"/>
      <c r="M147" s="53"/>
      <c r="N147" s="53"/>
      <c r="O147" s="53"/>
      <c r="P147" s="53"/>
      <c r="Q147" s="53"/>
      <c r="R147" s="53"/>
      <c r="S147" s="136"/>
      <c r="T147" s="136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</row>
    <row r="148" ht="12.75" customHeight="1">
      <c r="A148" s="136"/>
      <c r="B148" s="136"/>
      <c r="C148" s="136"/>
      <c r="D148" s="136"/>
      <c r="E148" s="136"/>
      <c r="F148" s="136"/>
      <c r="G148" s="136"/>
      <c r="H148" s="52"/>
      <c r="I148" s="52"/>
      <c r="J148" s="52"/>
      <c r="K148" s="136"/>
      <c r="L148" s="53"/>
      <c r="M148" s="53"/>
      <c r="N148" s="53"/>
      <c r="O148" s="53"/>
      <c r="P148" s="53"/>
      <c r="Q148" s="53"/>
      <c r="R148" s="53"/>
      <c r="S148" s="136"/>
      <c r="T148" s="136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</row>
    <row r="149" ht="12.75" customHeight="1">
      <c r="A149" s="136"/>
      <c r="B149" s="136"/>
      <c r="C149" s="136"/>
      <c r="D149" s="136"/>
      <c r="E149" s="136"/>
      <c r="F149" s="136"/>
      <c r="G149" s="136"/>
      <c r="H149" s="52"/>
      <c r="I149" s="52"/>
      <c r="J149" s="52"/>
      <c r="K149" s="136"/>
      <c r="L149" s="53"/>
      <c r="M149" s="53"/>
      <c r="N149" s="53"/>
      <c r="O149" s="53"/>
      <c r="P149" s="53"/>
      <c r="Q149" s="53"/>
      <c r="R149" s="53"/>
      <c r="S149" s="136"/>
      <c r="T149" s="136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</row>
    <row r="150" ht="12.75" customHeight="1">
      <c r="A150" s="136"/>
      <c r="B150" s="136"/>
      <c r="C150" s="136"/>
      <c r="D150" s="136"/>
      <c r="E150" s="136"/>
      <c r="F150" s="136"/>
      <c r="G150" s="136"/>
      <c r="H150" s="52"/>
      <c r="I150" s="52"/>
      <c r="J150" s="52"/>
      <c r="K150" s="136"/>
      <c r="L150" s="53"/>
      <c r="M150" s="53"/>
      <c r="N150" s="53"/>
      <c r="O150" s="53"/>
      <c r="P150" s="53"/>
      <c r="Q150" s="53"/>
      <c r="R150" s="53"/>
      <c r="S150" s="136"/>
      <c r="T150" s="136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</row>
    <row r="151" ht="12.75" customHeight="1">
      <c r="A151" s="136"/>
      <c r="B151" s="136"/>
      <c r="C151" s="136"/>
      <c r="D151" s="136"/>
      <c r="E151" s="136"/>
      <c r="F151" s="136"/>
      <c r="G151" s="136"/>
      <c r="H151" s="52"/>
      <c r="I151" s="52"/>
      <c r="J151" s="52"/>
      <c r="K151" s="136"/>
      <c r="L151" s="53"/>
      <c r="M151" s="53"/>
      <c r="N151" s="53"/>
      <c r="O151" s="53"/>
      <c r="P151" s="53"/>
      <c r="Q151" s="53"/>
      <c r="R151" s="53"/>
      <c r="S151" s="136"/>
      <c r="T151" s="136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</row>
    <row r="152" ht="12.75" customHeight="1">
      <c r="A152" s="136"/>
      <c r="B152" s="136"/>
      <c r="C152" s="136"/>
      <c r="D152" s="136"/>
      <c r="E152" s="136"/>
      <c r="F152" s="136"/>
      <c r="G152" s="136"/>
      <c r="H152" s="52"/>
      <c r="I152" s="52"/>
      <c r="J152" s="52"/>
      <c r="K152" s="136"/>
      <c r="L152" s="53"/>
      <c r="M152" s="53"/>
      <c r="N152" s="53"/>
      <c r="O152" s="53"/>
      <c r="P152" s="53"/>
      <c r="Q152" s="53"/>
      <c r="R152" s="53"/>
      <c r="S152" s="136"/>
      <c r="T152" s="136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</row>
    <row r="153" ht="12.75" customHeight="1">
      <c r="A153" s="136"/>
      <c r="B153" s="136"/>
      <c r="C153" s="136"/>
      <c r="D153" s="136"/>
      <c r="E153" s="136"/>
      <c r="F153" s="136"/>
      <c r="G153" s="136"/>
      <c r="H153" s="52"/>
      <c r="I153" s="52"/>
      <c r="J153" s="52"/>
      <c r="K153" s="136"/>
      <c r="L153" s="53"/>
      <c r="M153" s="53"/>
      <c r="N153" s="53"/>
      <c r="O153" s="53"/>
      <c r="P153" s="53"/>
      <c r="Q153" s="53"/>
      <c r="R153" s="53"/>
      <c r="S153" s="136"/>
      <c r="T153" s="136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</row>
    <row r="154" ht="12.75" customHeight="1">
      <c r="A154" s="136"/>
      <c r="B154" s="136"/>
      <c r="C154" s="136"/>
      <c r="D154" s="136"/>
      <c r="E154" s="136"/>
      <c r="F154" s="136"/>
      <c r="G154" s="136"/>
      <c r="H154" s="52"/>
      <c r="I154" s="52"/>
      <c r="J154" s="52"/>
      <c r="K154" s="136"/>
      <c r="L154" s="53"/>
      <c r="M154" s="53"/>
      <c r="N154" s="53"/>
      <c r="O154" s="53"/>
      <c r="P154" s="53"/>
      <c r="Q154" s="53"/>
      <c r="R154" s="53"/>
      <c r="S154" s="136"/>
      <c r="T154" s="136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</row>
    <row r="155" ht="12.75" customHeight="1">
      <c r="A155" s="136"/>
      <c r="B155" s="136"/>
      <c r="C155" s="136"/>
      <c r="D155" s="136"/>
      <c r="E155" s="136"/>
      <c r="F155" s="136"/>
      <c r="G155" s="136"/>
      <c r="H155" s="52"/>
      <c r="I155" s="52"/>
      <c r="J155" s="52"/>
      <c r="K155" s="136"/>
      <c r="L155" s="53"/>
      <c r="M155" s="53"/>
      <c r="N155" s="53"/>
      <c r="O155" s="53"/>
      <c r="P155" s="53"/>
      <c r="Q155" s="53"/>
      <c r="R155" s="53"/>
      <c r="S155" s="136"/>
      <c r="T155" s="136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</row>
    <row r="156" ht="12.75" customHeight="1">
      <c r="A156" s="136"/>
      <c r="B156" s="136"/>
      <c r="C156" s="136"/>
      <c r="D156" s="136"/>
      <c r="E156" s="136"/>
      <c r="F156" s="136"/>
      <c r="G156" s="136"/>
      <c r="H156" s="52"/>
      <c r="I156" s="52"/>
      <c r="J156" s="52"/>
      <c r="K156" s="136"/>
      <c r="L156" s="53"/>
      <c r="M156" s="53"/>
      <c r="N156" s="53"/>
      <c r="O156" s="53"/>
      <c r="P156" s="53"/>
      <c r="Q156" s="53"/>
      <c r="R156" s="53"/>
      <c r="S156" s="136"/>
      <c r="T156" s="136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</row>
    <row r="157" ht="12.75" customHeight="1">
      <c r="A157" s="136"/>
      <c r="B157" s="136"/>
      <c r="C157" s="136"/>
      <c r="D157" s="136"/>
      <c r="E157" s="136"/>
      <c r="F157" s="136"/>
      <c r="G157" s="136"/>
      <c r="H157" s="52"/>
      <c r="I157" s="52"/>
      <c r="J157" s="52"/>
      <c r="K157" s="136"/>
      <c r="L157" s="53"/>
      <c r="M157" s="53"/>
      <c r="N157" s="53"/>
      <c r="O157" s="53"/>
      <c r="P157" s="53"/>
      <c r="Q157" s="53"/>
      <c r="R157" s="53"/>
      <c r="S157" s="136"/>
      <c r="T157" s="136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</row>
    <row r="158" ht="12.75" customHeight="1">
      <c r="A158" s="136"/>
      <c r="B158" s="136"/>
      <c r="C158" s="136"/>
      <c r="D158" s="136"/>
      <c r="E158" s="136"/>
      <c r="F158" s="136"/>
      <c r="G158" s="136"/>
      <c r="H158" s="52"/>
      <c r="I158" s="52"/>
      <c r="J158" s="52"/>
      <c r="K158" s="136"/>
      <c r="L158" s="53"/>
      <c r="M158" s="53"/>
      <c r="N158" s="53"/>
      <c r="O158" s="53"/>
      <c r="P158" s="53"/>
      <c r="Q158" s="53"/>
      <c r="R158" s="53"/>
      <c r="S158" s="136"/>
      <c r="T158" s="136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</row>
    <row r="159" ht="12.75" customHeight="1">
      <c r="A159" s="136"/>
      <c r="B159" s="136"/>
      <c r="C159" s="136"/>
      <c r="D159" s="136"/>
      <c r="E159" s="136"/>
      <c r="F159" s="136"/>
      <c r="G159" s="136"/>
      <c r="H159" s="52"/>
      <c r="I159" s="52"/>
      <c r="J159" s="52"/>
      <c r="K159" s="136"/>
      <c r="L159" s="53"/>
      <c r="M159" s="53"/>
      <c r="N159" s="53"/>
      <c r="O159" s="53"/>
      <c r="P159" s="53"/>
      <c r="Q159" s="53"/>
      <c r="R159" s="53"/>
      <c r="S159" s="136"/>
      <c r="T159" s="136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</row>
    <row r="160" ht="12.75" customHeight="1">
      <c r="A160" s="136"/>
      <c r="B160" s="136"/>
      <c r="C160" s="136"/>
      <c r="D160" s="136"/>
      <c r="E160" s="136"/>
      <c r="F160" s="136"/>
      <c r="G160" s="136"/>
      <c r="H160" s="52"/>
      <c r="I160" s="52"/>
      <c r="J160" s="52"/>
      <c r="K160" s="136"/>
      <c r="L160" s="53"/>
      <c r="M160" s="53"/>
      <c r="N160" s="53"/>
      <c r="O160" s="53"/>
      <c r="P160" s="53"/>
      <c r="Q160" s="53"/>
      <c r="R160" s="53"/>
      <c r="S160" s="136"/>
      <c r="T160" s="136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</row>
    <row r="161" ht="12.75" customHeight="1">
      <c r="A161" s="136"/>
      <c r="B161" s="136"/>
      <c r="C161" s="136"/>
      <c r="D161" s="136"/>
      <c r="E161" s="136"/>
      <c r="F161" s="136"/>
      <c r="G161" s="136"/>
      <c r="H161" s="52"/>
      <c r="I161" s="52"/>
      <c r="J161" s="52"/>
      <c r="K161" s="136"/>
      <c r="L161" s="53"/>
      <c r="M161" s="53"/>
      <c r="N161" s="53"/>
      <c r="O161" s="53"/>
      <c r="P161" s="53"/>
      <c r="Q161" s="53"/>
      <c r="R161" s="53"/>
      <c r="S161" s="136"/>
      <c r="T161" s="136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</row>
    <row r="162" ht="12.75" customHeight="1">
      <c r="A162" s="136"/>
      <c r="B162" s="136"/>
      <c r="C162" s="136"/>
      <c r="D162" s="136"/>
      <c r="E162" s="136"/>
      <c r="F162" s="136"/>
      <c r="G162" s="136"/>
      <c r="H162" s="52"/>
      <c r="I162" s="52"/>
      <c r="J162" s="52"/>
      <c r="K162" s="136"/>
      <c r="L162" s="53"/>
      <c r="M162" s="53"/>
      <c r="N162" s="53"/>
      <c r="O162" s="53"/>
      <c r="P162" s="53"/>
      <c r="Q162" s="53"/>
      <c r="R162" s="53"/>
      <c r="S162" s="136"/>
      <c r="T162" s="136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</row>
    <row r="163" ht="12.75" customHeight="1">
      <c r="A163" s="136"/>
      <c r="B163" s="136"/>
      <c r="C163" s="136"/>
      <c r="D163" s="136"/>
      <c r="E163" s="136"/>
      <c r="F163" s="136"/>
      <c r="G163" s="136"/>
      <c r="H163" s="52"/>
      <c r="I163" s="52"/>
      <c r="J163" s="52"/>
      <c r="K163" s="136"/>
      <c r="L163" s="53"/>
      <c r="M163" s="53"/>
      <c r="N163" s="53"/>
      <c r="O163" s="53"/>
      <c r="P163" s="53"/>
      <c r="Q163" s="53"/>
      <c r="R163" s="53"/>
      <c r="S163" s="136"/>
      <c r="T163" s="136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</row>
    <row r="164" ht="12.75" customHeight="1">
      <c r="A164" s="136"/>
      <c r="B164" s="136"/>
      <c r="C164" s="136"/>
      <c r="D164" s="136"/>
      <c r="E164" s="136"/>
      <c r="F164" s="136"/>
      <c r="G164" s="136"/>
      <c r="H164" s="52"/>
      <c r="I164" s="52"/>
      <c r="J164" s="52"/>
      <c r="K164" s="136"/>
      <c r="L164" s="53"/>
      <c r="M164" s="53"/>
      <c r="N164" s="53"/>
      <c r="O164" s="53"/>
      <c r="P164" s="53"/>
      <c r="Q164" s="53"/>
      <c r="R164" s="53"/>
      <c r="S164" s="136"/>
      <c r="T164" s="136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</row>
    <row r="165" ht="12.75" customHeight="1">
      <c r="A165" s="136"/>
      <c r="B165" s="136"/>
      <c r="C165" s="136"/>
      <c r="D165" s="136"/>
      <c r="E165" s="136"/>
      <c r="F165" s="136"/>
      <c r="G165" s="136"/>
      <c r="H165" s="52"/>
      <c r="I165" s="52"/>
      <c r="J165" s="52"/>
      <c r="K165" s="136"/>
      <c r="L165" s="53"/>
      <c r="M165" s="53"/>
      <c r="N165" s="53"/>
      <c r="O165" s="53"/>
      <c r="P165" s="53"/>
      <c r="Q165" s="53"/>
      <c r="R165" s="53"/>
      <c r="S165" s="136"/>
      <c r="T165" s="136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</row>
    <row r="166" ht="12.75" customHeight="1">
      <c r="A166" s="136"/>
      <c r="B166" s="136"/>
      <c r="C166" s="136"/>
      <c r="D166" s="136"/>
      <c r="E166" s="136"/>
      <c r="F166" s="136"/>
      <c r="G166" s="136"/>
      <c r="H166" s="52"/>
      <c r="I166" s="52"/>
      <c r="J166" s="52"/>
      <c r="K166" s="136"/>
      <c r="L166" s="53"/>
      <c r="M166" s="53"/>
      <c r="N166" s="53"/>
      <c r="O166" s="53"/>
      <c r="P166" s="53"/>
      <c r="Q166" s="53"/>
      <c r="R166" s="53"/>
      <c r="S166" s="136"/>
      <c r="T166" s="136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</row>
    <row r="167" ht="12.75" customHeight="1">
      <c r="A167" s="136"/>
      <c r="B167" s="136"/>
      <c r="C167" s="136"/>
      <c r="D167" s="136"/>
      <c r="E167" s="136"/>
      <c r="F167" s="136"/>
      <c r="G167" s="136"/>
      <c r="H167" s="52"/>
      <c r="I167" s="52"/>
      <c r="J167" s="52"/>
      <c r="K167" s="136"/>
      <c r="L167" s="53"/>
      <c r="M167" s="53"/>
      <c r="N167" s="53"/>
      <c r="O167" s="53"/>
      <c r="P167" s="53"/>
      <c r="Q167" s="53"/>
      <c r="R167" s="53"/>
      <c r="S167" s="136"/>
      <c r="T167" s="136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</row>
    <row r="168" ht="12.75" customHeight="1">
      <c r="A168" s="136"/>
      <c r="B168" s="136"/>
      <c r="C168" s="136"/>
      <c r="D168" s="136"/>
      <c r="E168" s="136"/>
      <c r="F168" s="136"/>
      <c r="G168" s="136"/>
      <c r="H168" s="52"/>
      <c r="I168" s="52"/>
      <c r="J168" s="52"/>
      <c r="K168" s="136"/>
      <c r="L168" s="53"/>
      <c r="M168" s="53"/>
      <c r="N168" s="53"/>
      <c r="O168" s="53"/>
      <c r="P168" s="53"/>
      <c r="Q168" s="53"/>
      <c r="R168" s="53"/>
      <c r="S168" s="136"/>
      <c r="T168" s="136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</row>
    <row r="169" ht="12.75" customHeight="1">
      <c r="A169" s="136"/>
      <c r="B169" s="136"/>
      <c r="C169" s="136"/>
      <c r="D169" s="136"/>
      <c r="E169" s="136"/>
      <c r="F169" s="136"/>
      <c r="G169" s="136"/>
      <c r="H169" s="52"/>
      <c r="I169" s="52"/>
      <c r="J169" s="52"/>
      <c r="K169" s="136"/>
      <c r="L169" s="53"/>
      <c r="M169" s="53"/>
      <c r="N169" s="53"/>
      <c r="O169" s="53"/>
      <c r="P169" s="53"/>
      <c r="Q169" s="53"/>
      <c r="R169" s="53"/>
      <c r="S169" s="136"/>
      <c r="T169" s="136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</row>
    <row r="170" ht="12.75" customHeight="1">
      <c r="A170" s="136"/>
      <c r="B170" s="136"/>
      <c r="C170" s="136"/>
      <c r="D170" s="136"/>
      <c r="E170" s="136"/>
      <c r="F170" s="136"/>
      <c r="G170" s="136"/>
      <c r="H170" s="52"/>
      <c r="I170" s="52"/>
      <c r="J170" s="52"/>
      <c r="K170" s="136"/>
      <c r="L170" s="53"/>
      <c r="M170" s="53"/>
      <c r="N170" s="53"/>
      <c r="O170" s="53"/>
      <c r="P170" s="53"/>
      <c r="Q170" s="53"/>
      <c r="R170" s="53"/>
      <c r="S170" s="136"/>
      <c r="T170" s="136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</row>
    <row r="171" ht="12.75" customHeight="1">
      <c r="A171" s="136"/>
      <c r="B171" s="136"/>
      <c r="C171" s="136"/>
      <c r="D171" s="136"/>
      <c r="E171" s="136"/>
      <c r="F171" s="136"/>
      <c r="G171" s="136"/>
      <c r="H171" s="52"/>
      <c r="I171" s="52"/>
      <c r="J171" s="52"/>
      <c r="K171" s="136"/>
      <c r="L171" s="53"/>
      <c r="M171" s="53"/>
      <c r="N171" s="53"/>
      <c r="O171" s="53"/>
      <c r="P171" s="53"/>
      <c r="Q171" s="53"/>
      <c r="R171" s="53"/>
      <c r="S171" s="136"/>
      <c r="T171" s="136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</row>
    <row r="172" ht="12.75" customHeight="1">
      <c r="A172" s="136"/>
      <c r="B172" s="136"/>
      <c r="C172" s="136"/>
      <c r="D172" s="136"/>
      <c r="E172" s="136"/>
      <c r="F172" s="136"/>
      <c r="G172" s="136"/>
      <c r="H172" s="52"/>
      <c r="I172" s="52"/>
      <c r="J172" s="52"/>
      <c r="K172" s="136"/>
      <c r="L172" s="53"/>
      <c r="M172" s="53"/>
      <c r="N172" s="53"/>
      <c r="O172" s="53"/>
      <c r="P172" s="53"/>
      <c r="Q172" s="53"/>
      <c r="R172" s="53"/>
      <c r="S172" s="136"/>
      <c r="T172" s="136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</row>
    <row r="173" ht="12.75" customHeight="1">
      <c r="A173" s="136"/>
      <c r="B173" s="136"/>
      <c r="C173" s="136"/>
      <c r="D173" s="136"/>
      <c r="E173" s="136"/>
      <c r="F173" s="136"/>
      <c r="G173" s="136"/>
      <c r="H173" s="52"/>
      <c r="I173" s="52"/>
      <c r="J173" s="52"/>
      <c r="K173" s="136"/>
      <c r="L173" s="53"/>
      <c r="M173" s="53"/>
      <c r="N173" s="53"/>
      <c r="O173" s="53"/>
      <c r="P173" s="53"/>
      <c r="Q173" s="53"/>
      <c r="R173" s="53"/>
      <c r="S173" s="136"/>
      <c r="T173" s="136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</row>
    <row r="174" ht="12.75" customHeight="1">
      <c r="A174" s="136"/>
      <c r="B174" s="136"/>
      <c r="C174" s="136"/>
      <c r="D174" s="136"/>
      <c r="E174" s="136"/>
      <c r="F174" s="136"/>
      <c r="G174" s="136"/>
      <c r="H174" s="52"/>
      <c r="I174" s="52"/>
      <c r="J174" s="52"/>
      <c r="K174" s="136"/>
      <c r="L174" s="53"/>
      <c r="M174" s="53"/>
      <c r="N174" s="53"/>
      <c r="O174" s="53"/>
      <c r="P174" s="53"/>
      <c r="Q174" s="53"/>
      <c r="R174" s="53"/>
      <c r="S174" s="136"/>
      <c r="T174" s="136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</row>
    <row r="175" ht="12.75" customHeight="1">
      <c r="A175" s="136"/>
      <c r="B175" s="136"/>
      <c r="C175" s="136"/>
      <c r="D175" s="136"/>
      <c r="E175" s="136"/>
      <c r="F175" s="136"/>
      <c r="G175" s="136"/>
      <c r="H175" s="52"/>
      <c r="I175" s="52"/>
      <c r="J175" s="52"/>
      <c r="K175" s="136"/>
      <c r="L175" s="53"/>
      <c r="M175" s="53"/>
      <c r="N175" s="53"/>
      <c r="O175" s="53"/>
      <c r="P175" s="53"/>
      <c r="Q175" s="53"/>
      <c r="R175" s="53"/>
      <c r="S175" s="136"/>
      <c r="T175" s="136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</row>
    <row r="176" ht="12.75" customHeight="1">
      <c r="A176" s="136"/>
      <c r="B176" s="136"/>
      <c r="C176" s="136"/>
      <c r="D176" s="136"/>
      <c r="E176" s="136"/>
      <c r="F176" s="136"/>
      <c r="G176" s="136"/>
      <c r="H176" s="52"/>
      <c r="I176" s="52"/>
      <c r="J176" s="52"/>
      <c r="K176" s="136"/>
      <c r="L176" s="53"/>
      <c r="M176" s="53"/>
      <c r="N176" s="53"/>
      <c r="O176" s="53"/>
      <c r="P176" s="53"/>
      <c r="Q176" s="53"/>
      <c r="R176" s="53"/>
      <c r="S176" s="136"/>
      <c r="T176" s="136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</row>
    <row r="177" ht="12.75" customHeight="1">
      <c r="A177" s="136"/>
      <c r="B177" s="136"/>
      <c r="C177" s="136"/>
      <c r="D177" s="136"/>
      <c r="E177" s="136"/>
      <c r="F177" s="136"/>
      <c r="G177" s="136"/>
      <c r="H177" s="52"/>
      <c r="I177" s="52"/>
      <c r="J177" s="52"/>
      <c r="K177" s="136"/>
      <c r="L177" s="53"/>
      <c r="M177" s="53"/>
      <c r="N177" s="53"/>
      <c r="O177" s="53"/>
      <c r="P177" s="53"/>
      <c r="Q177" s="53"/>
      <c r="R177" s="53"/>
      <c r="S177" s="136"/>
      <c r="T177" s="136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</row>
    <row r="178" ht="12.75" customHeight="1">
      <c r="A178" s="136"/>
      <c r="B178" s="136"/>
      <c r="C178" s="136"/>
      <c r="D178" s="136"/>
      <c r="E178" s="136"/>
      <c r="F178" s="136"/>
      <c r="G178" s="136"/>
      <c r="H178" s="52"/>
      <c r="I178" s="52"/>
      <c r="J178" s="52"/>
      <c r="K178" s="136"/>
      <c r="L178" s="53"/>
      <c r="M178" s="53"/>
      <c r="N178" s="53"/>
      <c r="O178" s="53"/>
      <c r="P178" s="53"/>
      <c r="Q178" s="53"/>
      <c r="R178" s="53"/>
      <c r="S178" s="136"/>
      <c r="T178" s="136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</row>
    <row r="179" ht="12.75" customHeight="1">
      <c r="A179" s="136"/>
      <c r="B179" s="136"/>
      <c r="C179" s="136"/>
      <c r="D179" s="136"/>
      <c r="E179" s="136"/>
      <c r="F179" s="136"/>
      <c r="G179" s="136"/>
      <c r="H179" s="52"/>
      <c r="I179" s="52"/>
      <c r="J179" s="52"/>
      <c r="K179" s="136"/>
      <c r="L179" s="53"/>
      <c r="M179" s="53"/>
      <c r="N179" s="53"/>
      <c r="O179" s="53"/>
      <c r="P179" s="53"/>
      <c r="Q179" s="53"/>
      <c r="R179" s="53"/>
      <c r="S179" s="136"/>
      <c r="T179" s="136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</row>
    <row r="180" ht="12.75" customHeight="1">
      <c r="A180" s="136"/>
      <c r="B180" s="136"/>
      <c r="C180" s="136"/>
      <c r="D180" s="136"/>
      <c r="E180" s="136"/>
      <c r="F180" s="136"/>
      <c r="G180" s="136"/>
      <c r="H180" s="52"/>
      <c r="I180" s="52"/>
      <c r="J180" s="52"/>
      <c r="K180" s="136"/>
      <c r="L180" s="53"/>
      <c r="M180" s="53"/>
      <c r="N180" s="53"/>
      <c r="O180" s="53"/>
      <c r="P180" s="53"/>
      <c r="Q180" s="53"/>
      <c r="R180" s="53"/>
      <c r="S180" s="136"/>
      <c r="T180" s="136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</row>
    <row r="181" ht="12.75" customHeight="1">
      <c r="A181" s="136"/>
      <c r="B181" s="136"/>
      <c r="C181" s="136"/>
      <c r="D181" s="136"/>
      <c r="E181" s="136"/>
      <c r="F181" s="136"/>
      <c r="G181" s="136"/>
      <c r="H181" s="52"/>
      <c r="I181" s="52"/>
      <c r="J181" s="52"/>
      <c r="K181" s="136"/>
      <c r="L181" s="53"/>
      <c r="M181" s="53"/>
      <c r="N181" s="53"/>
      <c r="O181" s="53"/>
      <c r="P181" s="53"/>
      <c r="Q181" s="53"/>
      <c r="R181" s="53"/>
      <c r="S181" s="136"/>
      <c r="T181" s="136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</row>
    <row r="182" ht="12.75" customHeight="1">
      <c r="A182" s="136"/>
      <c r="B182" s="136"/>
      <c r="C182" s="136"/>
      <c r="D182" s="136"/>
      <c r="E182" s="136"/>
      <c r="F182" s="136"/>
      <c r="G182" s="136"/>
      <c r="H182" s="52"/>
      <c r="I182" s="52"/>
      <c r="J182" s="52"/>
      <c r="K182" s="136"/>
      <c r="L182" s="53"/>
      <c r="M182" s="53"/>
      <c r="N182" s="53"/>
      <c r="O182" s="53"/>
      <c r="P182" s="53"/>
      <c r="Q182" s="53"/>
      <c r="R182" s="53"/>
      <c r="S182" s="136"/>
      <c r="T182" s="136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</row>
    <row r="183" ht="12.75" customHeight="1">
      <c r="A183" s="136"/>
      <c r="B183" s="136"/>
      <c r="C183" s="136"/>
      <c r="D183" s="136"/>
      <c r="E183" s="136"/>
      <c r="F183" s="136"/>
      <c r="G183" s="136"/>
      <c r="H183" s="52"/>
      <c r="I183" s="52"/>
      <c r="J183" s="52"/>
      <c r="K183" s="136"/>
      <c r="L183" s="53"/>
      <c r="M183" s="53"/>
      <c r="N183" s="53"/>
      <c r="O183" s="53"/>
      <c r="P183" s="53"/>
      <c r="Q183" s="53"/>
      <c r="R183" s="53"/>
      <c r="S183" s="136"/>
      <c r="T183" s="136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</row>
    <row r="184" ht="12.75" customHeight="1">
      <c r="A184" s="136"/>
      <c r="B184" s="136"/>
      <c r="C184" s="136"/>
      <c r="D184" s="136"/>
      <c r="E184" s="136"/>
      <c r="F184" s="136"/>
      <c r="G184" s="136"/>
      <c r="H184" s="52"/>
      <c r="I184" s="52"/>
      <c r="J184" s="52"/>
      <c r="K184" s="136"/>
      <c r="L184" s="53"/>
      <c r="M184" s="53"/>
      <c r="N184" s="53"/>
      <c r="O184" s="53"/>
      <c r="P184" s="53"/>
      <c r="Q184" s="53"/>
      <c r="R184" s="53"/>
      <c r="S184" s="136"/>
      <c r="T184" s="136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</row>
    <row r="185" ht="12.75" customHeight="1">
      <c r="A185" s="136"/>
      <c r="B185" s="136"/>
      <c r="C185" s="136"/>
      <c r="D185" s="136"/>
      <c r="E185" s="136"/>
      <c r="F185" s="136"/>
      <c r="G185" s="136"/>
      <c r="H185" s="52"/>
      <c r="I185" s="52"/>
      <c r="J185" s="52"/>
      <c r="K185" s="136"/>
      <c r="L185" s="53"/>
      <c r="M185" s="53"/>
      <c r="N185" s="53"/>
      <c r="O185" s="53"/>
      <c r="P185" s="53"/>
      <c r="Q185" s="53"/>
      <c r="R185" s="53"/>
      <c r="S185" s="136"/>
      <c r="T185" s="136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</row>
    <row r="186" ht="12.75" customHeight="1">
      <c r="A186" s="136"/>
      <c r="B186" s="136"/>
      <c r="C186" s="136"/>
      <c r="D186" s="136"/>
      <c r="E186" s="136"/>
      <c r="F186" s="136"/>
      <c r="G186" s="136"/>
      <c r="H186" s="52"/>
      <c r="I186" s="52"/>
      <c r="J186" s="52"/>
      <c r="K186" s="136"/>
      <c r="L186" s="53"/>
      <c r="M186" s="53"/>
      <c r="N186" s="53"/>
      <c r="O186" s="53"/>
      <c r="P186" s="53"/>
      <c r="Q186" s="53"/>
      <c r="R186" s="53"/>
      <c r="S186" s="136"/>
      <c r="T186" s="136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</row>
    <row r="187" ht="12.75" customHeight="1">
      <c r="A187" s="136"/>
      <c r="B187" s="136"/>
      <c r="C187" s="136"/>
      <c r="D187" s="136"/>
      <c r="E187" s="136"/>
      <c r="F187" s="136"/>
      <c r="G187" s="136"/>
      <c r="H187" s="52"/>
      <c r="I187" s="52"/>
      <c r="J187" s="52"/>
      <c r="K187" s="136"/>
      <c r="L187" s="53"/>
      <c r="M187" s="53"/>
      <c r="N187" s="53"/>
      <c r="O187" s="53"/>
      <c r="P187" s="53"/>
      <c r="Q187" s="53"/>
      <c r="R187" s="53"/>
      <c r="S187" s="136"/>
      <c r="T187" s="136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</row>
    <row r="188" ht="12.75" customHeight="1">
      <c r="A188" s="136"/>
      <c r="B188" s="136"/>
      <c r="C188" s="136"/>
      <c r="D188" s="136"/>
      <c r="E188" s="136"/>
      <c r="F188" s="136"/>
      <c r="G188" s="136"/>
      <c r="H188" s="52"/>
      <c r="I188" s="52"/>
      <c r="J188" s="52"/>
      <c r="K188" s="136"/>
      <c r="L188" s="53"/>
      <c r="M188" s="53"/>
      <c r="N188" s="53"/>
      <c r="O188" s="53"/>
      <c r="P188" s="53"/>
      <c r="Q188" s="53"/>
      <c r="R188" s="53"/>
      <c r="S188" s="136"/>
      <c r="T188" s="136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</row>
    <row r="189" ht="12.75" customHeight="1">
      <c r="A189" s="136"/>
      <c r="B189" s="136"/>
      <c r="C189" s="136"/>
      <c r="D189" s="136"/>
      <c r="E189" s="136"/>
      <c r="F189" s="136"/>
      <c r="G189" s="136"/>
      <c r="H189" s="52"/>
      <c r="I189" s="52"/>
      <c r="J189" s="52"/>
      <c r="K189" s="136"/>
      <c r="L189" s="53"/>
      <c r="M189" s="53"/>
      <c r="N189" s="53"/>
      <c r="O189" s="53"/>
      <c r="P189" s="53"/>
      <c r="Q189" s="53"/>
      <c r="R189" s="53"/>
      <c r="S189" s="136"/>
      <c r="T189" s="136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</row>
    <row r="190" ht="12.75" customHeight="1">
      <c r="A190" s="136"/>
      <c r="B190" s="136"/>
      <c r="C190" s="136"/>
      <c r="D190" s="136"/>
      <c r="E190" s="136"/>
      <c r="F190" s="136"/>
      <c r="G190" s="136"/>
      <c r="H190" s="52"/>
      <c r="I190" s="52"/>
      <c r="J190" s="52"/>
      <c r="K190" s="136"/>
      <c r="L190" s="53"/>
      <c r="M190" s="53"/>
      <c r="N190" s="53"/>
      <c r="O190" s="53"/>
      <c r="P190" s="53"/>
      <c r="Q190" s="53"/>
      <c r="R190" s="53"/>
      <c r="S190" s="136"/>
      <c r="T190" s="136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</row>
    <row r="191" ht="12.75" customHeight="1">
      <c r="A191" s="136"/>
      <c r="B191" s="136"/>
      <c r="C191" s="136"/>
      <c r="D191" s="136"/>
      <c r="E191" s="136"/>
      <c r="F191" s="136"/>
      <c r="G191" s="136"/>
      <c r="H191" s="52"/>
      <c r="I191" s="52"/>
      <c r="J191" s="52"/>
      <c r="K191" s="136"/>
      <c r="L191" s="53"/>
      <c r="M191" s="53"/>
      <c r="N191" s="53"/>
      <c r="O191" s="53"/>
      <c r="P191" s="53"/>
      <c r="Q191" s="53"/>
      <c r="R191" s="53"/>
      <c r="S191" s="136"/>
      <c r="T191" s="136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</row>
    <row r="192" ht="12.75" customHeight="1">
      <c r="A192" s="136"/>
      <c r="B192" s="136"/>
      <c r="C192" s="136"/>
      <c r="D192" s="136"/>
      <c r="E192" s="136"/>
      <c r="F192" s="136"/>
      <c r="G192" s="136"/>
      <c r="H192" s="52"/>
      <c r="I192" s="52"/>
      <c r="J192" s="52"/>
      <c r="K192" s="136"/>
      <c r="L192" s="53"/>
      <c r="M192" s="53"/>
      <c r="N192" s="53"/>
      <c r="O192" s="53"/>
      <c r="P192" s="53"/>
      <c r="Q192" s="53"/>
      <c r="R192" s="53"/>
      <c r="S192" s="136"/>
      <c r="T192" s="136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</row>
    <row r="193" ht="12.75" customHeight="1">
      <c r="A193" s="136"/>
      <c r="B193" s="136"/>
      <c r="C193" s="136"/>
      <c r="D193" s="136"/>
      <c r="E193" s="136"/>
      <c r="F193" s="136"/>
      <c r="G193" s="136"/>
      <c r="H193" s="52"/>
      <c r="I193" s="52"/>
      <c r="J193" s="52"/>
      <c r="K193" s="136"/>
      <c r="L193" s="53"/>
      <c r="M193" s="53"/>
      <c r="N193" s="53"/>
      <c r="O193" s="53"/>
      <c r="P193" s="53"/>
      <c r="Q193" s="53"/>
      <c r="R193" s="53"/>
      <c r="S193" s="136"/>
      <c r="T193" s="136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</row>
    <row r="194" ht="12.75" customHeight="1">
      <c r="A194" s="136"/>
      <c r="B194" s="136"/>
      <c r="C194" s="136"/>
      <c r="D194" s="136"/>
      <c r="E194" s="136"/>
      <c r="F194" s="136"/>
      <c r="G194" s="136"/>
      <c r="H194" s="52"/>
      <c r="I194" s="52"/>
      <c r="J194" s="52"/>
      <c r="K194" s="136"/>
      <c r="L194" s="53"/>
      <c r="M194" s="53"/>
      <c r="N194" s="53"/>
      <c r="O194" s="53"/>
      <c r="P194" s="53"/>
      <c r="Q194" s="53"/>
      <c r="R194" s="53"/>
      <c r="S194" s="136"/>
      <c r="T194" s="136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</row>
    <row r="195" ht="12.75" customHeight="1">
      <c r="A195" s="136"/>
      <c r="B195" s="136"/>
      <c r="C195" s="136"/>
      <c r="D195" s="136"/>
      <c r="E195" s="136"/>
      <c r="F195" s="136"/>
      <c r="G195" s="136"/>
      <c r="H195" s="52"/>
      <c r="I195" s="52"/>
      <c r="J195" s="52"/>
      <c r="K195" s="136"/>
      <c r="L195" s="53"/>
      <c r="M195" s="53"/>
      <c r="N195" s="53"/>
      <c r="O195" s="53"/>
      <c r="P195" s="53"/>
      <c r="Q195" s="53"/>
      <c r="R195" s="53"/>
      <c r="S195" s="136"/>
      <c r="T195" s="136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</row>
    <row r="196" ht="12.75" customHeight="1">
      <c r="A196" s="136"/>
      <c r="B196" s="136"/>
      <c r="C196" s="136"/>
      <c r="D196" s="136"/>
      <c r="E196" s="136"/>
      <c r="F196" s="136"/>
      <c r="G196" s="136"/>
      <c r="H196" s="52"/>
      <c r="I196" s="52"/>
      <c r="J196" s="52"/>
      <c r="K196" s="136"/>
      <c r="L196" s="53"/>
      <c r="M196" s="53"/>
      <c r="N196" s="53"/>
      <c r="O196" s="53"/>
      <c r="P196" s="53"/>
      <c r="Q196" s="53"/>
      <c r="R196" s="53"/>
      <c r="S196" s="136"/>
      <c r="T196" s="136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</row>
    <row r="197" ht="12.75" customHeight="1">
      <c r="A197" s="136"/>
      <c r="B197" s="136"/>
      <c r="C197" s="136"/>
      <c r="D197" s="136"/>
      <c r="E197" s="136"/>
      <c r="F197" s="136"/>
      <c r="G197" s="136"/>
      <c r="H197" s="52"/>
      <c r="I197" s="52"/>
      <c r="J197" s="52"/>
      <c r="K197" s="136"/>
      <c r="L197" s="53"/>
      <c r="M197" s="53"/>
      <c r="N197" s="53"/>
      <c r="O197" s="53"/>
      <c r="P197" s="53"/>
      <c r="Q197" s="53"/>
      <c r="R197" s="53"/>
      <c r="S197" s="136"/>
      <c r="T197" s="136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</row>
    <row r="198" ht="12.75" customHeight="1">
      <c r="A198" s="136"/>
      <c r="B198" s="136"/>
      <c r="C198" s="136"/>
      <c r="D198" s="136"/>
      <c r="E198" s="136"/>
      <c r="F198" s="136"/>
      <c r="G198" s="136"/>
      <c r="H198" s="52"/>
      <c r="I198" s="52"/>
      <c r="J198" s="52"/>
      <c r="K198" s="136"/>
      <c r="L198" s="53"/>
      <c r="M198" s="53"/>
      <c r="N198" s="53"/>
      <c r="O198" s="53"/>
      <c r="P198" s="53"/>
      <c r="Q198" s="53"/>
      <c r="R198" s="53"/>
      <c r="S198" s="136"/>
      <c r="T198" s="136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</row>
    <row r="199" ht="12.75" customHeight="1">
      <c r="A199" s="136"/>
      <c r="B199" s="136"/>
      <c r="C199" s="136"/>
      <c r="D199" s="136"/>
      <c r="E199" s="136"/>
      <c r="F199" s="136"/>
      <c r="G199" s="136"/>
      <c r="H199" s="52"/>
      <c r="I199" s="52"/>
      <c r="J199" s="52"/>
      <c r="K199" s="136"/>
      <c r="L199" s="53"/>
      <c r="M199" s="53"/>
      <c r="N199" s="53"/>
      <c r="O199" s="53"/>
      <c r="P199" s="53"/>
      <c r="Q199" s="53"/>
      <c r="R199" s="53"/>
      <c r="S199" s="136"/>
      <c r="T199" s="136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</row>
    <row r="200" ht="12.75" customHeight="1">
      <c r="A200" s="136"/>
      <c r="B200" s="136"/>
      <c r="C200" s="136"/>
      <c r="D200" s="136"/>
      <c r="E200" s="136"/>
      <c r="F200" s="136"/>
      <c r="G200" s="136"/>
      <c r="H200" s="52"/>
      <c r="I200" s="52"/>
      <c r="J200" s="52"/>
      <c r="K200" s="136"/>
      <c r="L200" s="53"/>
      <c r="M200" s="53"/>
      <c r="N200" s="53"/>
      <c r="O200" s="53"/>
      <c r="P200" s="53"/>
      <c r="Q200" s="53"/>
      <c r="R200" s="53"/>
      <c r="S200" s="136"/>
      <c r="T200" s="136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</row>
    <row r="201" ht="12.75" customHeight="1">
      <c r="A201" s="136"/>
      <c r="B201" s="136"/>
      <c r="C201" s="136"/>
      <c r="D201" s="136"/>
      <c r="E201" s="136"/>
      <c r="F201" s="136"/>
      <c r="G201" s="136"/>
      <c r="H201" s="52"/>
      <c r="I201" s="52"/>
      <c r="J201" s="52"/>
      <c r="K201" s="136"/>
      <c r="L201" s="53"/>
      <c r="M201" s="53"/>
      <c r="N201" s="53"/>
      <c r="O201" s="53"/>
      <c r="P201" s="53"/>
      <c r="Q201" s="53"/>
      <c r="R201" s="53"/>
      <c r="S201" s="136"/>
      <c r="T201" s="136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</row>
    <row r="202" ht="12.75" customHeight="1">
      <c r="A202" s="136"/>
      <c r="B202" s="136"/>
      <c r="C202" s="136"/>
      <c r="D202" s="136"/>
      <c r="E202" s="136"/>
      <c r="F202" s="136"/>
      <c r="G202" s="136"/>
      <c r="H202" s="52"/>
      <c r="I202" s="52"/>
      <c r="J202" s="52"/>
      <c r="K202" s="136"/>
      <c r="L202" s="53"/>
      <c r="M202" s="53"/>
      <c r="N202" s="53"/>
      <c r="O202" s="53"/>
      <c r="P202" s="53"/>
      <c r="Q202" s="53"/>
      <c r="R202" s="53"/>
      <c r="S202" s="136"/>
      <c r="T202" s="136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</row>
    <row r="203" ht="12.75" customHeight="1">
      <c r="A203" s="136"/>
      <c r="B203" s="136"/>
      <c r="C203" s="136"/>
      <c r="D203" s="136"/>
      <c r="E203" s="136"/>
      <c r="F203" s="136"/>
      <c r="G203" s="136"/>
      <c r="H203" s="52"/>
      <c r="I203" s="52"/>
      <c r="J203" s="52"/>
      <c r="K203" s="136"/>
      <c r="L203" s="53"/>
      <c r="M203" s="53"/>
      <c r="N203" s="53"/>
      <c r="O203" s="53"/>
      <c r="P203" s="53"/>
      <c r="Q203" s="53"/>
      <c r="R203" s="53"/>
      <c r="S203" s="136"/>
      <c r="T203" s="136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</row>
    <row r="204" ht="12.75" customHeight="1">
      <c r="A204" s="136"/>
      <c r="B204" s="136"/>
      <c r="C204" s="136"/>
      <c r="D204" s="136"/>
      <c r="E204" s="136"/>
      <c r="F204" s="136"/>
      <c r="G204" s="136"/>
      <c r="H204" s="52"/>
      <c r="I204" s="52"/>
      <c r="J204" s="52"/>
      <c r="K204" s="136"/>
      <c r="L204" s="53"/>
      <c r="M204" s="53"/>
      <c r="N204" s="53"/>
      <c r="O204" s="53"/>
      <c r="P204" s="53"/>
      <c r="Q204" s="53"/>
      <c r="R204" s="53"/>
      <c r="S204" s="136"/>
      <c r="T204" s="136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</row>
    <row r="205" ht="12.75" customHeight="1">
      <c r="A205" s="136"/>
      <c r="B205" s="136"/>
      <c r="C205" s="136"/>
      <c r="D205" s="136"/>
      <c r="E205" s="136"/>
      <c r="F205" s="136"/>
      <c r="G205" s="136"/>
      <c r="H205" s="52"/>
      <c r="I205" s="52"/>
      <c r="J205" s="52"/>
      <c r="K205" s="136"/>
      <c r="L205" s="53"/>
      <c r="M205" s="53"/>
      <c r="N205" s="53"/>
      <c r="O205" s="53"/>
      <c r="P205" s="53"/>
      <c r="Q205" s="53"/>
      <c r="R205" s="53"/>
      <c r="S205" s="136"/>
      <c r="T205" s="136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</row>
    <row r="206" ht="12.75" customHeight="1">
      <c r="A206" s="136"/>
      <c r="B206" s="136"/>
      <c r="C206" s="136"/>
      <c r="D206" s="136"/>
      <c r="E206" s="136"/>
      <c r="F206" s="136"/>
      <c r="G206" s="136"/>
      <c r="H206" s="52"/>
      <c r="I206" s="52"/>
      <c r="J206" s="52"/>
      <c r="K206" s="136"/>
      <c r="L206" s="53"/>
      <c r="M206" s="53"/>
      <c r="N206" s="53"/>
      <c r="O206" s="53"/>
      <c r="P206" s="53"/>
      <c r="Q206" s="53"/>
      <c r="R206" s="53"/>
      <c r="S206" s="136"/>
      <c r="T206" s="136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</row>
    <row r="207" ht="12.75" customHeight="1">
      <c r="A207" s="136"/>
      <c r="B207" s="136"/>
      <c r="C207" s="136"/>
      <c r="D207" s="136"/>
      <c r="E207" s="136"/>
      <c r="F207" s="136"/>
      <c r="G207" s="136"/>
      <c r="H207" s="52"/>
      <c r="I207" s="52"/>
      <c r="J207" s="52"/>
      <c r="K207" s="136"/>
      <c r="L207" s="53"/>
      <c r="M207" s="53"/>
      <c r="N207" s="53"/>
      <c r="O207" s="53"/>
      <c r="P207" s="53"/>
      <c r="Q207" s="53"/>
      <c r="R207" s="53"/>
      <c r="S207" s="136"/>
      <c r="T207" s="136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</row>
    <row r="208" ht="12.75" customHeight="1">
      <c r="A208" s="136"/>
      <c r="B208" s="136"/>
      <c r="C208" s="136"/>
      <c r="D208" s="136"/>
      <c r="E208" s="136"/>
      <c r="F208" s="136"/>
      <c r="G208" s="136"/>
      <c r="H208" s="52"/>
      <c r="I208" s="52"/>
      <c r="J208" s="52"/>
      <c r="K208" s="136"/>
      <c r="L208" s="53"/>
      <c r="M208" s="53"/>
      <c r="N208" s="53"/>
      <c r="O208" s="53"/>
      <c r="P208" s="53"/>
      <c r="Q208" s="53"/>
      <c r="R208" s="53"/>
      <c r="S208" s="136"/>
      <c r="T208" s="136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</row>
    <row r="209" ht="12.75" customHeight="1">
      <c r="A209" s="136"/>
      <c r="B209" s="136"/>
      <c r="C209" s="136"/>
      <c r="D209" s="136"/>
      <c r="E209" s="136"/>
      <c r="F209" s="136"/>
      <c r="G209" s="136"/>
      <c r="H209" s="52"/>
      <c r="I209" s="52"/>
      <c r="J209" s="52"/>
      <c r="K209" s="136"/>
      <c r="L209" s="53"/>
      <c r="M209" s="53"/>
      <c r="N209" s="53"/>
      <c r="O209" s="53"/>
      <c r="P209" s="53"/>
      <c r="Q209" s="53"/>
      <c r="R209" s="53"/>
      <c r="S209" s="136"/>
      <c r="T209" s="136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</row>
    <row r="210" ht="12.75" customHeight="1">
      <c r="A210" s="136"/>
      <c r="B210" s="136"/>
      <c r="C210" s="136"/>
      <c r="D210" s="136"/>
      <c r="E210" s="136"/>
      <c r="F210" s="136"/>
      <c r="G210" s="136"/>
      <c r="H210" s="52"/>
      <c r="I210" s="52"/>
      <c r="J210" s="52"/>
      <c r="K210" s="136"/>
      <c r="L210" s="53"/>
      <c r="M210" s="53"/>
      <c r="N210" s="53"/>
      <c r="O210" s="53"/>
      <c r="P210" s="53"/>
      <c r="Q210" s="53"/>
      <c r="R210" s="53"/>
      <c r="S210" s="136"/>
      <c r="T210" s="136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</row>
    <row r="211" ht="12.75" customHeight="1">
      <c r="A211" s="136"/>
      <c r="B211" s="136"/>
      <c r="C211" s="136"/>
      <c r="D211" s="136"/>
      <c r="E211" s="136"/>
      <c r="F211" s="136"/>
      <c r="G211" s="136"/>
      <c r="H211" s="52"/>
      <c r="I211" s="52"/>
      <c r="J211" s="52"/>
      <c r="K211" s="136"/>
      <c r="L211" s="53"/>
      <c r="M211" s="53"/>
      <c r="N211" s="53"/>
      <c r="O211" s="53"/>
      <c r="P211" s="53"/>
      <c r="Q211" s="53"/>
      <c r="R211" s="53"/>
      <c r="S211" s="136"/>
      <c r="T211" s="136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</row>
    <row r="212" ht="12.75" customHeight="1">
      <c r="A212" s="136"/>
      <c r="B212" s="136"/>
      <c r="C212" s="136"/>
      <c r="D212" s="136"/>
      <c r="E212" s="136"/>
      <c r="F212" s="136"/>
      <c r="G212" s="136"/>
      <c r="H212" s="52"/>
      <c r="I212" s="52"/>
      <c r="J212" s="52"/>
      <c r="K212" s="136"/>
      <c r="L212" s="53"/>
      <c r="M212" s="53"/>
      <c r="N212" s="53"/>
      <c r="O212" s="53"/>
      <c r="P212" s="53"/>
      <c r="Q212" s="53"/>
      <c r="R212" s="53"/>
      <c r="S212" s="136"/>
      <c r="T212" s="136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</row>
    <row r="213" ht="12.75" customHeight="1">
      <c r="A213" s="136"/>
      <c r="B213" s="136"/>
      <c r="C213" s="136"/>
      <c r="D213" s="136"/>
      <c r="E213" s="136"/>
      <c r="F213" s="136"/>
      <c r="G213" s="136"/>
      <c r="H213" s="52"/>
      <c r="I213" s="52"/>
      <c r="J213" s="52"/>
      <c r="K213" s="136"/>
      <c r="L213" s="53"/>
      <c r="M213" s="53"/>
      <c r="N213" s="53"/>
      <c r="O213" s="53"/>
      <c r="P213" s="53"/>
      <c r="Q213" s="53"/>
      <c r="R213" s="53"/>
      <c r="S213" s="136"/>
      <c r="T213" s="136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</row>
    <row r="214" ht="12.75" customHeight="1">
      <c r="A214" s="136"/>
      <c r="B214" s="136"/>
      <c r="C214" s="136"/>
      <c r="D214" s="136"/>
      <c r="E214" s="136"/>
      <c r="F214" s="136"/>
      <c r="G214" s="136"/>
      <c r="H214" s="52"/>
      <c r="I214" s="52"/>
      <c r="J214" s="52"/>
      <c r="K214" s="136"/>
      <c r="L214" s="53"/>
      <c r="M214" s="53"/>
      <c r="N214" s="53"/>
      <c r="O214" s="53"/>
      <c r="P214" s="53"/>
      <c r="Q214" s="53"/>
      <c r="R214" s="53"/>
      <c r="S214" s="136"/>
      <c r="T214" s="136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</row>
    <row r="215" ht="12.75" customHeight="1">
      <c r="A215" s="136"/>
      <c r="B215" s="136"/>
      <c r="C215" s="136"/>
      <c r="D215" s="136"/>
      <c r="E215" s="136"/>
      <c r="F215" s="136"/>
      <c r="G215" s="136"/>
      <c r="H215" s="52"/>
      <c r="I215" s="52"/>
      <c r="J215" s="52"/>
      <c r="K215" s="136"/>
      <c r="L215" s="53"/>
      <c r="M215" s="53"/>
      <c r="N215" s="53"/>
      <c r="O215" s="53"/>
      <c r="P215" s="53"/>
      <c r="Q215" s="53"/>
      <c r="R215" s="53"/>
      <c r="S215" s="136"/>
      <c r="T215" s="136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</row>
    <row r="216" ht="12.75" customHeight="1">
      <c r="A216" s="136"/>
      <c r="B216" s="136"/>
      <c r="C216" s="136"/>
      <c r="D216" s="136"/>
      <c r="E216" s="136"/>
      <c r="F216" s="136"/>
      <c r="G216" s="136"/>
      <c r="H216" s="52"/>
      <c r="I216" s="52"/>
      <c r="J216" s="52"/>
      <c r="K216" s="136"/>
      <c r="L216" s="53"/>
      <c r="M216" s="53"/>
      <c r="N216" s="53"/>
      <c r="O216" s="53"/>
      <c r="P216" s="53"/>
      <c r="Q216" s="53"/>
      <c r="R216" s="53"/>
      <c r="S216" s="136"/>
      <c r="T216" s="136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</row>
    <row r="217" ht="12.75" customHeight="1">
      <c r="A217" s="136"/>
      <c r="B217" s="136"/>
      <c r="C217" s="136"/>
      <c r="D217" s="136"/>
      <c r="E217" s="136"/>
      <c r="F217" s="136"/>
      <c r="G217" s="136"/>
      <c r="H217" s="52"/>
      <c r="I217" s="52"/>
      <c r="J217" s="52"/>
      <c r="K217" s="136"/>
      <c r="L217" s="53"/>
      <c r="M217" s="53"/>
      <c r="N217" s="53"/>
      <c r="O217" s="53"/>
      <c r="P217" s="53"/>
      <c r="Q217" s="53"/>
      <c r="R217" s="53"/>
      <c r="S217" s="136"/>
      <c r="T217" s="136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</row>
    <row r="218" ht="12.75" customHeight="1">
      <c r="A218" s="136"/>
      <c r="B218" s="136"/>
      <c r="C218" s="136"/>
      <c r="D218" s="136"/>
      <c r="E218" s="136"/>
      <c r="F218" s="136"/>
      <c r="G218" s="136"/>
      <c r="H218" s="52"/>
      <c r="I218" s="52"/>
      <c r="J218" s="52"/>
      <c r="K218" s="136"/>
      <c r="L218" s="53"/>
      <c r="M218" s="53"/>
      <c r="N218" s="53"/>
      <c r="O218" s="53"/>
      <c r="P218" s="53"/>
      <c r="Q218" s="53"/>
      <c r="R218" s="53"/>
      <c r="S218" s="136"/>
      <c r="T218" s="136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</row>
    <row r="219" ht="12.75" customHeight="1">
      <c r="A219" s="136"/>
      <c r="B219" s="136"/>
      <c r="C219" s="136"/>
      <c r="D219" s="136"/>
      <c r="E219" s="136"/>
      <c r="F219" s="136"/>
      <c r="G219" s="136"/>
      <c r="H219" s="52"/>
      <c r="I219" s="52"/>
      <c r="J219" s="52"/>
      <c r="K219" s="136"/>
      <c r="L219" s="53"/>
      <c r="M219" s="53"/>
      <c r="N219" s="53"/>
      <c r="O219" s="53"/>
      <c r="P219" s="53"/>
      <c r="Q219" s="53"/>
      <c r="R219" s="53"/>
      <c r="S219" s="136"/>
      <c r="T219" s="136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</row>
    <row r="220" ht="12.75" customHeight="1">
      <c r="A220" s="136"/>
      <c r="B220" s="136"/>
      <c r="C220" s="136"/>
      <c r="D220" s="136"/>
      <c r="E220" s="136"/>
      <c r="F220" s="136"/>
      <c r="G220" s="136"/>
      <c r="H220" s="52"/>
      <c r="I220" s="52"/>
      <c r="J220" s="52"/>
      <c r="K220" s="136"/>
      <c r="L220" s="53"/>
      <c r="M220" s="53"/>
      <c r="N220" s="53"/>
      <c r="O220" s="53"/>
      <c r="P220" s="53"/>
      <c r="Q220" s="53"/>
      <c r="R220" s="53"/>
      <c r="S220" s="136"/>
      <c r="T220" s="136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</row>
    <row r="221" ht="12.75" customHeight="1">
      <c r="A221" s="136"/>
      <c r="B221" s="136"/>
      <c r="C221" s="136"/>
      <c r="D221" s="136"/>
      <c r="E221" s="136"/>
      <c r="F221" s="136"/>
      <c r="G221" s="136"/>
      <c r="H221" s="52"/>
      <c r="I221" s="52"/>
      <c r="J221" s="52"/>
      <c r="K221" s="136"/>
      <c r="L221" s="53"/>
      <c r="M221" s="53"/>
      <c r="N221" s="53"/>
      <c r="O221" s="53"/>
      <c r="P221" s="53"/>
      <c r="Q221" s="53"/>
      <c r="R221" s="53"/>
      <c r="S221" s="136"/>
      <c r="T221" s="136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</row>
    <row r="222" ht="12.75" customHeight="1">
      <c r="A222" s="136"/>
      <c r="B222" s="136"/>
      <c r="C222" s="136"/>
      <c r="D222" s="136"/>
      <c r="E222" s="136"/>
      <c r="F222" s="136"/>
      <c r="G222" s="136"/>
      <c r="H222" s="52"/>
      <c r="I222" s="52"/>
      <c r="J222" s="52"/>
      <c r="K222" s="136"/>
      <c r="L222" s="53"/>
      <c r="M222" s="53"/>
      <c r="N222" s="53"/>
      <c r="O222" s="53"/>
      <c r="P222" s="53"/>
      <c r="Q222" s="53"/>
      <c r="R222" s="53"/>
      <c r="S222" s="136"/>
      <c r="T222" s="136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</row>
    <row r="223" ht="12.75" customHeight="1">
      <c r="A223" s="136"/>
      <c r="B223" s="136"/>
      <c r="C223" s="136"/>
      <c r="D223" s="136"/>
      <c r="E223" s="136"/>
      <c r="F223" s="136"/>
      <c r="G223" s="136"/>
      <c r="H223" s="52"/>
      <c r="I223" s="52"/>
      <c r="J223" s="52"/>
      <c r="K223" s="136"/>
      <c r="L223" s="53"/>
      <c r="M223" s="53"/>
      <c r="N223" s="53"/>
      <c r="O223" s="53"/>
      <c r="P223" s="53"/>
      <c r="Q223" s="53"/>
      <c r="R223" s="53"/>
      <c r="S223" s="136"/>
      <c r="T223" s="136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</row>
    <row r="224" ht="12.75" customHeight="1">
      <c r="A224" s="136"/>
      <c r="B224" s="136"/>
      <c r="C224" s="136"/>
      <c r="D224" s="136"/>
      <c r="E224" s="136"/>
      <c r="F224" s="136"/>
      <c r="G224" s="136"/>
      <c r="H224" s="52"/>
      <c r="I224" s="52"/>
      <c r="J224" s="52"/>
      <c r="K224" s="136"/>
      <c r="L224" s="53"/>
      <c r="M224" s="53"/>
      <c r="N224" s="53"/>
      <c r="O224" s="53"/>
      <c r="P224" s="53"/>
      <c r="Q224" s="53"/>
      <c r="R224" s="53"/>
      <c r="S224" s="136"/>
      <c r="T224" s="136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</row>
    <row r="225" ht="12.75" customHeight="1">
      <c r="A225" s="136"/>
      <c r="B225" s="136"/>
      <c r="C225" s="136"/>
      <c r="D225" s="136"/>
      <c r="E225" s="136"/>
      <c r="F225" s="136"/>
      <c r="G225" s="136"/>
      <c r="H225" s="52"/>
      <c r="I225" s="52"/>
      <c r="J225" s="52"/>
      <c r="K225" s="136"/>
      <c r="L225" s="53"/>
      <c r="M225" s="53"/>
      <c r="N225" s="53"/>
      <c r="O225" s="53"/>
      <c r="P225" s="53"/>
      <c r="Q225" s="53"/>
      <c r="R225" s="53"/>
      <c r="S225" s="136"/>
      <c r="T225" s="136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</row>
    <row r="226" ht="12.75" customHeight="1">
      <c r="A226" s="136"/>
      <c r="B226" s="136"/>
      <c r="C226" s="136"/>
      <c r="D226" s="136"/>
      <c r="E226" s="136"/>
      <c r="F226" s="136"/>
      <c r="G226" s="136"/>
      <c r="H226" s="52"/>
      <c r="I226" s="52"/>
      <c r="J226" s="52"/>
      <c r="K226" s="136"/>
      <c r="L226" s="53"/>
      <c r="M226" s="53"/>
      <c r="N226" s="53"/>
      <c r="O226" s="53"/>
      <c r="P226" s="53"/>
      <c r="Q226" s="53"/>
      <c r="R226" s="53"/>
      <c r="S226" s="136"/>
      <c r="T226" s="136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</row>
    <row r="227" ht="12.75" customHeight="1">
      <c r="A227" s="136"/>
      <c r="B227" s="136"/>
      <c r="C227" s="136"/>
      <c r="D227" s="136"/>
      <c r="E227" s="136"/>
      <c r="F227" s="136"/>
      <c r="G227" s="136"/>
      <c r="H227" s="52"/>
      <c r="I227" s="52"/>
      <c r="J227" s="52"/>
      <c r="K227" s="136"/>
      <c r="L227" s="53"/>
      <c r="M227" s="53"/>
      <c r="N227" s="53"/>
      <c r="O227" s="53"/>
      <c r="P227" s="53"/>
      <c r="Q227" s="53"/>
      <c r="R227" s="53"/>
      <c r="S227" s="136"/>
      <c r="T227" s="136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</row>
    <row r="228" ht="12.75" customHeight="1">
      <c r="A228" s="136"/>
      <c r="B228" s="136"/>
      <c r="C228" s="136"/>
      <c r="D228" s="136"/>
      <c r="E228" s="136"/>
      <c r="F228" s="136"/>
      <c r="G228" s="136"/>
      <c r="H228" s="52"/>
      <c r="I228" s="52"/>
      <c r="J228" s="52"/>
      <c r="K228" s="136"/>
      <c r="L228" s="53"/>
      <c r="M228" s="53"/>
      <c r="N228" s="53"/>
      <c r="O228" s="53"/>
      <c r="P228" s="53"/>
      <c r="Q228" s="53"/>
      <c r="R228" s="53"/>
      <c r="S228" s="136"/>
      <c r="T228" s="136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</row>
    <row r="229" ht="12.75" customHeight="1">
      <c r="A229" s="136"/>
      <c r="B229" s="136"/>
      <c r="C229" s="136"/>
      <c r="D229" s="136"/>
      <c r="E229" s="136"/>
      <c r="F229" s="136"/>
      <c r="G229" s="136"/>
      <c r="H229" s="52"/>
      <c r="I229" s="52"/>
      <c r="J229" s="52"/>
      <c r="K229" s="136"/>
      <c r="L229" s="53"/>
      <c r="M229" s="53"/>
      <c r="N229" s="53"/>
      <c r="O229" s="53"/>
      <c r="P229" s="53"/>
      <c r="Q229" s="53"/>
      <c r="R229" s="53"/>
      <c r="S229" s="136"/>
      <c r="T229" s="136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</row>
    <row r="230" ht="12.75" customHeight="1">
      <c r="A230" s="136"/>
      <c r="B230" s="136"/>
      <c r="C230" s="136"/>
      <c r="D230" s="136"/>
      <c r="E230" s="136"/>
      <c r="F230" s="136"/>
      <c r="G230" s="136"/>
      <c r="H230" s="52"/>
      <c r="I230" s="52"/>
      <c r="J230" s="52"/>
      <c r="K230" s="136"/>
      <c r="L230" s="53"/>
      <c r="M230" s="53"/>
      <c r="N230" s="53"/>
      <c r="O230" s="53"/>
      <c r="P230" s="53"/>
      <c r="Q230" s="53"/>
      <c r="R230" s="53"/>
      <c r="S230" s="136"/>
      <c r="T230" s="136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</row>
    <row r="231" ht="12.75" customHeight="1">
      <c r="A231" s="136"/>
      <c r="B231" s="136"/>
      <c r="C231" s="136"/>
      <c r="D231" s="136"/>
      <c r="E231" s="136"/>
      <c r="F231" s="136"/>
      <c r="G231" s="136"/>
      <c r="H231" s="52"/>
      <c r="I231" s="52"/>
      <c r="J231" s="52"/>
      <c r="K231" s="136"/>
      <c r="L231" s="53"/>
      <c r="M231" s="53"/>
      <c r="N231" s="53"/>
      <c r="O231" s="53"/>
      <c r="P231" s="53"/>
      <c r="Q231" s="53"/>
      <c r="R231" s="53"/>
      <c r="S231" s="136"/>
      <c r="T231" s="136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</row>
    <row r="232" ht="12.75" customHeight="1">
      <c r="A232" s="136"/>
      <c r="B232" s="136"/>
      <c r="C232" s="136"/>
      <c r="D232" s="136"/>
      <c r="E232" s="136"/>
      <c r="F232" s="136"/>
      <c r="G232" s="136"/>
      <c r="H232" s="52"/>
      <c r="I232" s="52"/>
      <c r="J232" s="52"/>
      <c r="K232" s="136"/>
      <c r="L232" s="53"/>
      <c r="M232" s="53"/>
      <c r="N232" s="53"/>
      <c r="O232" s="53"/>
      <c r="P232" s="53"/>
      <c r="Q232" s="53"/>
      <c r="R232" s="53"/>
      <c r="S232" s="136"/>
      <c r="T232" s="136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</row>
    <row r="233" ht="12.75" customHeight="1">
      <c r="A233" s="136"/>
      <c r="B233" s="136"/>
      <c r="C233" s="136"/>
      <c r="D233" s="136"/>
      <c r="E233" s="136"/>
      <c r="F233" s="136"/>
      <c r="G233" s="136"/>
      <c r="H233" s="52"/>
      <c r="I233" s="52"/>
      <c r="J233" s="52"/>
      <c r="K233" s="136"/>
      <c r="L233" s="53"/>
      <c r="M233" s="53"/>
      <c r="N233" s="53"/>
      <c r="O233" s="53"/>
      <c r="P233" s="53"/>
      <c r="Q233" s="53"/>
      <c r="R233" s="53"/>
      <c r="S233" s="136"/>
      <c r="T233" s="136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</row>
    <row r="234" ht="12.75" customHeight="1">
      <c r="A234" s="136"/>
      <c r="B234" s="136"/>
      <c r="C234" s="136"/>
      <c r="D234" s="136"/>
      <c r="E234" s="136"/>
      <c r="F234" s="136"/>
      <c r="G234" s="136"/>
      <c r="H234" s="52"/>
      <c r="I234" s="52"/>
      <c r="J234" s="52"/>
      <c r="K234" s="136"/>
      <c r="L234" s="53"/>
      <c r="M234" s="53"/>
      <c r="N234" s="53"/>
      <c r="O234" s="53"/>
      <c r="P234" s="53"/>
      <c r="Q234" s="53"/>
      <c r="R234" s="53"/>
      <c r="S234" s="136"/>
      <c r="T234" s="136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</row>
    <row r="235" ht="12.75" customHeight="1">
      <c r="A235" s="136"/>
      <c r="B235" s="136"/>
      <c r="C235" s="136"/>
      <c r="D235" s="136"/>
      <c r="E235" s="136"/>
      <c r="F235" s="136"/>
      <c r="G235" s="136"/>
      <c r="H235" s="52"/>
      <c r="I235" s="52"/>
      <c r="J235" s="52"/>
      <c r="K235" s="136"/>
      <c r="L235" s="53"/>
      <c r="M235" s="53"/>
      <c r="N235" s="53"/>
      <c r="O235" s="53"/>
      <c r="P235" s="53"/>
      <c r="Q235" s="53"/>
      <c r="R235" s="53"/>
      <c r="S235" s="136"/>
      <c r="T235" s="136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</row>
    <row r="236" ht="12.75" customHeight="1">
      <c r="A236" s="136"/>
      <c r="B236" s="136"/>
      <c r="C236" s="136"/>
      <c r="D236" s="136"/>
      <c r="E236" s="136"/>
      <c r="F236" s="136"/>
      <c r="G236" s="136"/>
      <c r="H236" s="52"/>
      <c r="I236" s="52"/>
      <c r="J236" s="52"/>
      <c r="K236" s="136"/>
      <c r="L236" s="53"/>
      <c r="M236" s="53"/>
      <c r="N236" s="53"/>
      <c r="O236" s="53"/>
      <c r="P236" s="53"/>
      <c r="Q236" s="53"/>
      <c r="R236" s="53"/>
      <c r="S236" s="136"/>
      <c r="T236" s="136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</row>
    <row r="237" ht="12.75" customHeight="1">
      <c r="A237" s="136"/>
      <c r="B237" s="136"/>
      <c r="C237" s="136"/>
      <c r="D237" s="136"/>
      <c r="E237" s="136"/>
      <c r="F237" s="136"/>
      <c r="G237" s="136"/>
      <c r="H237" s="52"/>
      <c r="I237" s="52"/>
      <c r="J237" s="52"/>
      <c r="K237" s="136"/>
      <c r="L237" s="53"/>
      <c r="M237" s="53"/>
      <c r="N237" s="53"/>
      <c r="O237" s="53"/>
      <c r="P237" s="53"/>
      <c r="Q237" s="53"/>
      <c r="R237" s="53"/>
      <c r="S237" s="136"/>
      <c r="T237" s="136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</row>
    <row r="238" ht="12.75" customHeight="1">
      <c r="A238" s="136"/>
      <c r="B238" s="136"/>
      <c r="C238" s="136"/>
      <c r="D238" s="136"/>
      <c r="E238" s="136"/>
      <c r="F238" s="136"/>
      <c r="G238" s="136"/>
      <c r="H238" s="52"/>
      <c r="I238" s="52"/>
      <c r="J238" s="52"/>
      <c r="K238" s="136"/>
      <c r="L238" s="53"/>
      <c r="M238" s="53"/>
      <c r="N238" s="53"/>
      <c r="O238" s="53"/>
      <c r="P238" s="53"/>
      <c r="Q238" s="53"/>
      <c r="R238" s="53"/>
      <c r="S238" s="136"/>
      <c r="T238" s="136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</row>
    <row r="239" ht="12.75" customHeight="1">
      <c r="A239" s="136"/>
      <c r="B239" s="136"/>
      <c r="C239" s="136"/>
      <c r="D239" s="136"/>
      <c r="E239" s="136"/>
      <c r="F239" s="136"/>
      <c r="G239" s="136"/>
      <c r="H239" s="52"/>
      <c r="I239" s="52"/>
      <c r="J239" s="52"/>
      <c r="K239" s="136"/>
      <c r="L239" s="53"/>
      <c r="M239" s="53"/>
      <c r="N239" s="53"/>
      <c r="O239" s="53"/>
      <c r="P239" s="53"/>
      <c r="Q239" s="53"/>
      <c r="R239" s="53"/>
      <c r="S239" s="136"/>
      <c r="T239" s="136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</row>
    <row r="240" ht="12.75" customHeight="1">
      <c r="A240" s="136"/>
      <c r="B240" s="136"/>
      <c r="C240" s="136"/>
      <c r="D240" s="136"/>
      <c r="E240" s="136"/>
      <c r="F240" s="136"/>
      <c r="G240" s="136"/>
      <c r="H240" s="52"/>
      <c r="I240" s="52"/>
      <c r="J240" s="52"/>
      <c r="K240" s="136"/>
      <c r="L240" s="53"/>
      <c r="M240" s="53"/>
      <c r="N240" s="53"/>
      <c r="O240" s="53"/>
      <c r="P240" s="53"/>
      <c r="Q240" s="53"/>
      <c r="R240" s="53"/>
      <c r="S240" s="136"/>
      <c r="T240" s="136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</row>
    <row r="241" ht="12.75" customHeight="1">
      <c r="A241" s="136"/>
      <c r="B241" s="136"/>
      <c r="C241" s="136"/>
      <c r="D241" s="136"/>
      <c r="E241" s="136"/>
      <c r="F241" s="136"/>
      <c r="G241" s="136"/>
      <c r="H241" s="52"/>
      <c r="I241" s="52"/>
      <c r="J241" s="52"/>
      <c r="K241" s="136"/>
      <c r="L241" s="53"/>
      <c r="M241" s="53"/>
      <c r="N241" s="53"/>
      <c r="O241" s="53"/>
      <c r="P241" s="53"/>
      <c r="Q241" s="53"/>
      <c r="R241" s="53"/>
      <c r="S241" s="136"/>
      <c r="T241" s="136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</row>
    <row r="242" ht="12.75" customHeight="1">
      <c r="A242" s="136"/>
      <c r="B242" s="136"/>
      <c r="C242" s="136"/>
      <c r="D242" s="136"/>
      <c r="E242" s="136"/>
      <c r="F242" s="136"/>
      <c r="G242" s="136"/>
      <c r="H242" s="52"/>
      <c r="I242" s="52"/>
      <c r="J242" s="52"/>
      <c r="K242" s="136"/>
      <c r="L242" s="53"/>
      <c r="M242" s="53"/>
      <c r="N242" s="53"/>
      <c r="O242" s="53"/>
      <c r="P242" s="53"/>
      <c r="Q242" s="53"/>
      <c r="R242" s="53"/>
      <c r="S242" s="136"/>
      <c r="T242" s="136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</row>
    <row r="243" ht="12.75" customHeight="1">
      <c r="A243" s="136"/>
      <c r="B243" s="136"/>
      <c r="C243" s="136"/>
      <c r="D243" s="136"/>
      <c r="E243" s="136"/>
      <c r="F243" s="136"/>
      <c r="G243" s="136"/>
      <c r="H243" s="52"/>
      <c r="I243" s="52"/>
      <c r="J243" s="52"/>
      <c r="K243" s="136"/>
      <c r="L243" s="53"/>
      <c r="M243" s="53"/>
      <c r="N243" s="53"/>
      <c r="O243" s="53"/>
      <c r="P243" s="53"/>
      <c r="Q243" s="53"/>
      <c r="R243" s="53"/>
      <c r="S243" s="136"/>
      <c r="T243" s="136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</row>
    <row r="244" ht="12.75" customHeight="1">
      <c r="A244" s="136"/>
      <c r="B244" s="136"/>
      <c r="C244" s="136"/>
      <c r="D244" s="136"/>
      <c r="E244" s="136"/>
      <c r="F244" s="136"/>
      <c r="G244" s="136"/>
      <c r="H244" s="52"/>
      <c r="I244" s="52"/>
      <c r="J244" s="52"/>
      <c r="K244" s="136"/>
      <c r="L244" s="53"/>
      <c r="M244" s="53"/>
      <c r="N244" s="53"/>
      <c r="O244" s="53"/>
      <c r="P244" s="53"/>
      <c r="Q244" s="53"/>
      <c r="R244" s="53"/>
      <c r="S244" s="136"/>
      <c r="T244" s="136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</row>
    <row r="245" ht="12.75" customHeight="1">
      <c r="A245" s="136"/>
      <c r="B245" s="136"/>
      <c r="C245" s="136"/>
      <c r="D245" s="136"/>
      <c r="E245" s="136"/>
      <c r="F245" s="136"/>
      <c r="G245" s="136"/>
      <c r="H245" s="52"/>
      <c r="I245" s="52"/>
      <c r="J245" s="52"/>
      <c r="K245" s="136"/>
      <c r="L245" s="53"/>
      <c r="M245" s="53"/>
      <c r="N245" s="53"/>
      <c r="O245" s="53"/>
      <c r="P245" s="53"/>
      <c r="Q245" s="53"/>
      <c r="R245" s="53"/>
      <c r="S245" s="136"/>
      <c r="T245" s="136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</row>
    <row r="246" ht="12.75" customHeight="1">
      <c r="A246" s="136"/>
      <c r="B246" s="136"/>
      <c r="C246" s="136"/>
      <c r="D246" s="136"/>
      <c r="E246" s="136"/>
      <c r="F246" s="136"/>
      <c r="G246" s="136"/>
      <c r="H246" s="52"/>
      <c r="I246" s="52"/>
      <c r="J246" s="52"/>
      <c r="K246" s="136"/>
      <c r="L246" s="53"/>
      <c r="M246" s="53"/>
      <c r="N246" s="53"/>
      <c r="O246" s="53"/>
      <c r="P246" s="53"/>
      <c r="Q246" s="53"/>
      <c r="R246" s="53"/>
      <c r="S246" s="136"/>
      <c r="T246" s="136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</row>
    <row r="247" ht="12.75" customHeight="1">
      <c r="A247" s="136"/>
      <c r="B247" s="136"/>
      <c r="C247" s="136"/>
      <c r="D247" s="136"/>
      <c r="E247" s="136"/>
      <c r="F247" s="136"/>
      <c r="G247" s="136"/>
      <c r="H247" s="52"/>
      <c r="I247" s="52"/>
      <c r="J247" s="52"/>
      <c r="K247" s="136"/>
      <c r="L247" s="53"/>
      <c r="M247" s="53"/>
      <c r="N247" s="53"/>
      <c r="O247" s="53"/>
      <c r="P247" s="53"/>
      <c r="Q247" s="53"/>
      <c r="R247" s="53"/>
      <c r="S247" s="136"/>
      <c r="T247" s="136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</row>
    <row r="248" ht="12.75" customHeight="1">
      <c r="A248" s="136"/>
      <c r="B248" s="136"/>
      <c r="C248" s="136"/>
      <c r="D248" s="136"/>
      <c r="E248" s="136"/>
      <c r="F248" s="136"/>
      <c r="G248" s="136"/>
      <c r="H248" s="52"/>
      <c r="I248" s="52"/>
      <c r="J248" s="52"/>
      <c r="K248" s="136"/>
      <c r="L248" s="53"/>
      <c r="M248" s="53"/>
      <c r="N248" s="53"/>
      <c r="O248" s="53"/>
      <c r="P248" s="53"/>
      <c r="Q248" s="53"/>
      <c r="R248" s="53"/>
      <c r="S248" s="136"/>
      <c r="T248" s="136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</row>
    <row r="249" ht="12.75" customHeight="1">
      <c r="A249" s="136"/>
      <c r="B249" s="136"/>
      <c r="C249" s="136"/>
      <c r="D249" s="136"/>
      <c r="E249" s="136"/>
      <c r="F249" s="136"/>
      <c r="G249" s="136"/>
      <c r="H249" s="52"/>
      <c r="I249" s="52"/>
      <c r="J249" s="52"/>
      <c r="K249" s="136"/>
      <c r="L249" s="53"/>
      <c r="M249" s="53"/>
      <c r="N249" s="53"/>
      <c r="O249" s="53"/>
      <c r="P249" s="53"/>
      <c r="Q249" s="53"/>
      <c r="R249" s="53"/>
      <c r="S249" s="136"/>
      <c r="T249" s="136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</row>
    <row r="250" ht="12.75" customHeight="1">
      <c r="A250" s="136"/>
      <c r="B250" s="136"/>
      <c r="C250" s="136"/>
      <c r="D250" s="136"/>
      <c r="E250" s="136"/>
      <c r="F250" s="136"/>
      <c r="G250" s="136"/>
      <c r="H250" s="52"/>
      <c r="I250" s="52"/>
      <c r="J250" s="52"/>
      <c r="K250" s="136"/>
      <c r="L250" s="53"/>
      <c r="M250" s="53"/>
      <c r="N250" s="53"/>
      <c r="O250" s="53"/>
      <c r="P250" s="53"/>
      <c r="Q250" s="53"/>
      <c r="R250" s="53"/>
      <c r="S250" s="136"/>
      <c r="T250" s="136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</row>
    <row r="251" ht="12.75" customHeight="1">
      <c r="A251" s="136"/>
      <c r="B251" s="136"/>
      <c r="C251" s="136"/>
      <c r="D251" s="136"/>
      <c r="E251" s="136"/>
      <c r="F251" s="136"/>
      <c r="G251" s="136"/>
      <c r="H251" s="52"/>
      <c r="I251" s="52"/>
      <c r="J251" s="52"/>
      <c r="K251" s="136"/>
      <c r="L251" s="53"/>
      <c r="M251" s="53"/>
      <c r="N251" s="53"/>
      <c r="O251" s="53"/>
      <c r="P251" s="53"/>
      <c r="Q251" s="53"/>
      <c r="R251" s="53"/>
      <c r="S251" s="136"/>
      <c r="T251" s="136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</row>
    <row r="252" ht="12.75" customHeight="1">
      <c r="A252" s="136"/>
      <c r="B252" s="136"/>
      <c r="C252" s="136"/>
      <c r="D252" s="136"/>
      <c r="E252" s="136"/>
      <c r="F252" s="136"/>
      <c r="G252" s="136"/>
      <c r="H252" s="52"/>
      <c r="I252" s="52"/>
      <c r="J252" s="52"/>
      <c r="K252" s="136"/>
      <c r="L252" s="53"/>
      <c r="M252" s="53"/>
      <c r="N252" s="53"/>
      <c r="O252" s="53"/>
      <c r="P252" s="53"/>
      <c r="Q252" s="53"/>
      <c r="R252" s="53"/>
      <c r="S252" s="136"/>
      <c r="T252" s="136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</row>
    <row r="253" ht="12.75" customHeight="1">
      <c r="A253" s="136"/>
      <c r="B253" s="136"/>
      <c r="C253" s="136"/>
      <c r="D253" s="136"/>
      <c r="E253" s="136"/>
      <c r="F253" s="136"/>
      <c r="G253" s="136"/>
      <c r="H253" s="52"/>
      <c r="I253" s="52"/>
      <c r="J253" s="52"/>
      <c r="K253" s="136"/>
      <c r="L253" s="53"/>
      <c r="M253" s="53"/>
      <c r="N253" s="53"/>
      <c r="O253" s="53"/>
      <c r="P253" s="53"/>
      <c r="Q253" s="53"/>
      <c r="R253" s="53"/>
      <c r="S253" s="136"/>
      <c r="T253" s="136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</row>
    <row r="254" ht="12.75" customHeight="1">
      <c r="A254" s="136"/>
      <c r="B254" s="136"/>
      <c r="C254" s="136"/>
      <c r="D254" s="136"/>
      <c r="E254" s="136"/>
      <c r="F254" s="136"/>
      <c r="G254" s="136"/>
      <c r="H254" s="52"/>
      <c r="I254" s="52"/>
      <c r="J254" s="52"/>
      <c r="K254" s="136"/>
      <c r="L254" s="53"/>
      <c r="M254" s="53"/>
      <c r="N254" s="53"/>
      <c r="O254" s="53"/>
      <c r="P254" s="53"/>
      <c r="Q254" s="53"/>
      <c r="R254" s="53"/>
      <c r="S254" s="136"/>
      <c r="T254" s="136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</row>
    <row r="255" ht="12.75" customHeight="1">
      <c r="A255" s="136"/>
      <c r="B255" s="136"/>
      <c r="C255" s="136"/>
      <c r="D255" s="136"/>
      <c r="E255" s="136"/>
      <c r="F255" s="136"/>
      <c r="G255" s="136"/>
      <c r="H255" s="52"/>
      <c r="I255" s="52"/>
      <c r="J255" s="52"/>
      <c r="K255" s="136"/>
      <c r="L255" s="53"/>
      <c r="M255" s="53"/>
      <c r="N255" s="53"/>
      <c r="O255" s="53"/>
      <c r="P255" s="53"/>
      <c r="Q255" s="53"/>
      <c r="R255" s="53"/>
      <c r="S255" s="136"/>
      <c r="T255" s="136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</row>
    <row r="256" ht="12.75" customHeight="1">
      <c r="A256" s="136"/>
      <c r="B256" s="136"/>
      <c r="C256" s="136"/>
      <c r="D256" s="136"/>
      <c r="E256" s="136"/>
      <c r="F256" s="136"/>
      <c r="G256" s="136"/>
      <c r="H256" s="52"/>
      <c r="I256" s="52"/>
      <c r="J256" s="52"/>
      <c r="K256" s="136"/>
      <c r="L256" s="53"/>
      <c r="M256" s="53"/>
      <c r="N256" s="53"/>
      <c r="O256" s="53"/>
      <c r="P256" s="53"/>
      <c r="Q256" s="53"/>
      <c r="R256" s="53"/>
      <c r="S256" s="136"/>
      <c r="T256" s="136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</row>
    <row r="257" ht="12.75" customHeight="1">
      <c r="A257" s="136"/>
      <c r="B257" s="136"/>
      <c r="C257" s="136"/>
      <c r="D257" s="136"/>
      <c r="E257" s="136"/>
      <c r="F257" s="136"/>
      <c r="G257" s="136"/>
      <c r="H257" s="52"/>
      <c r="I257" s="52"/>
      <c r="J257" s="52"/>
      <c r="K257" s="136"/>
      <c r="L257" s="53"/>
      <c r="M257" s="53"/>
      <c r="N257" s="53"/>
      <c r="O257" s="53"/>
      <c r="P257" s="53"/>
      <c r="Q257" s="53"/>
      <c r="R257" s="53"/>
      <c r="S257" s="136"/>
      <c r="T257" s="136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</row>
    <row r="258" ht="12.75" customHeight="1">
      <c r="A258" s="136"/>
      <c r="B258" s="136"/>
      <c r="C258" s="136"/>
      <c r="D258" s="136"/>
      <c r="E258" s="136"/>
      <c r="F258" s="136"/>
      <c r="G258" s="136"/>
      <c r="H258" s="52"/>
      <c r="I258" s="52"/>
      <c r="J258" s="52"/>
      <c r="K258" s="136"/>
      <c r="L258" s="53"/>
      <c r="M258" s="53"/>
      <c r="N258" s="53"/>
      <c r="O258" s="53"/>
      <c r="P258" s="53"/>
      <c r="Q258" s="53"/>
      <c r="R258" s="53"/>
      <c r="S258" s="136"/>
      <c r="T258" s="136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</row>
    <row r="259" ht="12.75" customHeight="1">
      <c r="A259" s="136"/>
      <c r="B259" s="136"/>
      <c r="C259" s="136"/>
      <c r="D259" s="136"/>
      <c r="E259" s="136"/>
      <c r="F259" s="136"/>
      <c r="G259" s="136"/>
      <c r="H259" s="52"/>
      <c r="I259" s="52"/>
      <c r="J259" s="52"/>
      <c r="K259" s="136"/>
      <c r="L259" s="53"/>
      <c r="M259" s="53"/>
      <c r="N259" s="53"/>
      <c r="O259" s="53"/>
      <c r="P259" s="53"/>
      <c r="Q259" s="53"/>
      <c r="R259" s="53"/>
      <c r="S259" s="136"/>
      <c r="T259" s="136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</row>
    <row r="260" ht="12.75" customHeight="1">
      <c r="A260" s="136"/>
      <c r="B260" s="136"/>
      <c r="C260" s="136"/>
      <c r="D260" s="136"/>
      <c r="E260" s="136"/>
      <c r="F260" s="136"/>
      <c r="G260" s="136"/>
      <c r="H260" s="52"/>
      <c r="I260" s="52"/>
      <c r="J260" s="52"/>
      <c r="K260" s="136"/>
      <c r="L260" s="53"/>
      <c r="M260" s="53"/>
      <c r="N260" s="53"/>
      <c r="O260" s="53"/>
      <c r="P260" s="53"/>
      <c r="Q260" s="53"/>
      <c r="R260" s="53"/>
      <c r="S260" s="136"/>
      <c r="T260" s="136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</row>
    <row r="261" ht="12.75" customHeight="1">
      <c r="A261" s="136"/>
      <c r="B261" s="136"/>
      <c r="C261" s="136"/>
      <c r="D261" s="136"/>
      <c r="E261" s="136"/>
      <c r="F261" s="136"/>
      <c r="G261" s="136"/>
      <c r="H261" s="52"/>
      <c r="I261" s="52"/>
      <c r="J261" s="52"/>
      <c r="K261" s="136"/>
      <c r="L261" s="53"/>
      <c r="M261" s="53"/>
      <c r="N261" s="53"/>
      <c r="O261" s="53"/>
      <c r="P261" s="53"/>
      <c r="Q261" s="53"/>
      <c r="R261" s="53"/>
      <c r="S261" s="136"/>
      <c r="T261" s="136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</row>
    <row r="262" ht="12.75" customHeight="1">
      <c r="A262" s="136"/>
      <c r="B262" s="136"/>
      <c r="C262" s="136"/>
      <c r="D262" s="136"/>
      <c r="E262" s="136"/>
      <c r="F262" s="136"/>
      <c r="G262" s="136"/>
      <c r="H262" s="52"/>
      <c r="I262" s="52"/>
      <c r="J262" s="52"/>
      <c r="K262" s="136"/>
      <c r="L262" s="53"/>
      <c r="M262" s="53"/>
      <c r="N262" s="53"/>
      <c r="O262" s="53"/>
      <c r="P262" s="53"/>
      <c r="Q262" s="53"/>
      <c r="R262" s="53"/>
      <c r="S262" s="136"/>
      <c r="T262" s="136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</row>
    <row r="263" ht="12.75" customHeight="1">
      <c r="A263" s="136"/>
      <c r="B263" s="136"/>
      <c r="C263" s="136"/>
      <c r="D263" s="136"/>
      <c r="E263" s="136"/>
      <c r="F263" s="136"/>
      <c r="G263" s="136"/>
      <c r="H263" s="52"/>
      <c r="I263" s="52"/>
      <c r="J263" s="52"/>
      <c r="K263" s="136"/>
      <c r="L263" s="53"/>
      <c r="M263" s="53"/>
      <c r="N263" s="53"/>
      <c r="O263" s="53"/>
      <c r="P263" s="53"/>
      <c r="Q263" s="53"/>
      <c r="R263" s="53"/>
      <c r="S263" s="136"/>
      <c r="T263" s="136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</row>
    <row r="264" ht="12.75" customHeight="1">
      <c r="A264" s="136"/>
      <c r="B264" s="136"/>
      <c r="C264" s="136"/>
      <c r="D264" s="136"/>
      <c r="E264" s="136"/>
      <c r="F264" s="136"/>
      <c r="G264" s="136"/>
      <c r="H264" s="52"/>
      <c r="I264" s="52"/>
      <c r="J264" s="52"/>
      <c r="K264" s="136"/>
      <c r="L264" s="53"/>
      <c r="M264" s="53"/>
      <c r="N264" s="53"/>
      <c r="O264" s="53"/>
      <c r="P264" s="53"/>
      <c r="Q264" s="53"/>
      <c r="R264" s="53"/>
      <c r="S264" s="136"/>
      <c r="T264" s="136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</row>
    <row r="265" ht="12.75" customHeight="1">
      <c r="A265" s="136"/>
      <c r="B265" s="136"/>
      <c r="C265" s="136"/>
      <c r="D265" s="136"/>
      <c r="E265" s="136"/>
      <c r="F265" s="136"/>
      <c r="G265" s="136"/>
      <c r="H265" s="52"/>
      <c r="I265" s="52"/>
      <c r="J265" s="52"/>
      <c r="K265" s="136"/>
      <c r="L265" s="53"/>
      <c r="M265" s="53"/>
      <c r="N265" s="53"/>
      <c r="O265" s="53"/>
      <c r="P265" s="53"/>
      <c r="Q265" s="53"/>
      <c r="R265" s="53"/>
      <c r="S265" s="136"/>
      <c r="T265" s="136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</row>
    <row r="266" ht="12.75" customHeight="1">
      <c r="A266" s="136"/>
      <c r="B266" s="136"/>
      <c r="C266" s="136"/>
      <c r="D266" s="136"/>
      <c r="E266" s="136"/>
      <c r="F266" s="136"/>
      <c r="G266" s="136"/>
      <c r="H266" s="52"/>
      <c r="I266" s="52"/>
      <c r="J266" s="52"/>
      <c r="K266" s="136"/>
      <c r="L266" s="53"/>
      <c r="M266" s="53"/>
      <c r="N266" s="53"/>
      <c r="O266" s="53"/>
      <c r="P266" s="53"/>
      <c r="Q266" s="53"/>
      <c r="R266" s="53"/>
      <c r="S266" s="136"/>
      <c r="T266" s="136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</row>
    <row r="267" ht="12.75" customHeight="1">
      <c r="A267" s="136"/>
      <c r="B267" s="136"/>
      <c r="C267" s="136"/>
      <c r="D267" s="136"/>
      <c r="E267" s="136"/>
      <c r="F267" s="136"/>
      <c r="G267" s="136"/>
      <c r="H267" s="52"/>
      <c r="I267" s="52"/>
      <c r="J267" s="52"/>
      <c r="K267" s="136"/>
      <c r="L267" s="53"/>
      <c r="M267" s="53"/>
      <c r="N267" s="53"/>
      <c r="O267" s="53"/>
      <c r="P267" s="53"/>
      <c r="Q267" s="53"/>
      <c r="R267" s="53"/>
      <c r="S267" s="136"/>
      <c r="T267" s="136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</row>
    <row r="268" ht="12.75" customHeight="1">
      <c r="A268" s="136"/>
      <c r="B268" s="136"/>
      <c r="C268" s="136"/>
      <c r="D268" s="136"/>
      <c r="E268" s="136"/>
      <c r="F268" s="136"/>
      <c r="G268" s="136"/>
      <c r="H268" s="52"/>
      <c r="I268" s="52"/>
      <c r="J268" s="52"/>
      <c r="K268" s="136"/>
      <c r="L268" s="53"/>
      <c r="M268" s="53"/>
      <c r="N268" s="53"/>
      <c r="O268" s="53"/>
      <c r="P268" s="53"/>
      <c r="Q268" s="53"/>
      <c r="R268" s="53"/>
      <c r="S268" s="136"/>
      <c r="T268" s="136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</row>
    <row r="269" ht="12.75" customHeight="1">
      <c r="A269" s="136"/>
      <c r="B269" s="136"/>
      <c r="C269" s="136"/>
      <c r="D269" s="136"/>
      <c r="E269" s="136"/>
      <c r="F269" s="136"/>
      <c r="G269" s="136"/>
      <c r="H269" s="52"/>
      <c r="I269" s="52"/>
      <c r="J269" s="52"/>
      <c r="K269" s="136"/>
      <c r="L269" s="53"/>
      <c r="M269" s="53"/>
      <c r="N269" s="53"/>
      <c r="O269" s="53"/>
      <c r="P269" s="53"/>
      <c r="Q269" s="53"/>
      <c r="R269" s="53"/>
      <c r="S269" s="136"/>
      <c r="T269" s="136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</row>
    <row r="270" ht="12.75" customHeight="1">
      <c r="A270" s="136"/>
      <c r="B270" s="136"/>
      <c r="C270" s="136"/>
      <c r="D270" s="136"/>
      <c r="E270" s="136"/>
      <c r="F270" s="136"/>
      <c r="G270" s="136"/>
      <c r="H270" s="52"/>
      <c r="I270" s="52"/>
      <c r="J270" s="52"/>
      <c r="K270" s="136"/>
      <c r="L270" s="53"/>
      <c r="M270" s="53"/>
      <c r="N270" s="53"/>
      <c r="O270" s="53"/>
      <c r="P270" s="53"/>
      <c r="Q270" s="53"/>
      <c r="R270" s="53"/>
      <c r="S270" s="136"/>
      <c r="T270" s="136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</row>
    <row r="271" ht="12.75" customHeight="1">
      <c r="A271" s="136"/>
      <c r="B271" s="136"/>
      <c r="C271" s="136"/>
      <c r="D271" s="136"/>
      <c r="E271" s="136"/>
      <c r="F271" s="136"/>
      <c r="G271" s="136"/>
      <c r="H271" s="52"/>
      <c r="I271" s="52"/>
      <c r="J271" s="52"/>
      <c r="K271" s="136"/>
      <c r="L271" s="53"/>
      <c r="M271" s="53"/>
      <c r="N271" s="53"/>
      <c r="O271" s="53"/>
      <c r="P271" s="53"/>
      <c r="Q271" s="53"/>
      <c r="R271" s="53"/>
      <c r="S271" s="136"/>
      <c r="T271" s="136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</row>
    <row r="272" ht="12.75" customHeight="1">
      <c r="A272" s="136"/>
      <c r="B272" s="136"/>
      <c r="C272" s="136"/>
      <c r="D272" s="136"/>
      <c r="E272" s="136"/>
      <c r="F272" s="136"/>
      <c r="G272" s="136"/>
      <c r="H272" s="52"/>
      <c r="I272" s="52"/>
      <c r="J272" s="52"/>
      <c r="K272" s="136"/>
      <c r="L272" s="53"/>
      <c r="M272" s="53"/>
      <c r="N272" s="53"/>
      <c r="O272" s="53"/>
      <c r="P272" s="53"/>
      <c r="Q272" s="53"/>
      <c r="R272" s="53"/>
      <c r="S272" s="136"/>
      <c r="T272" s="136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</row>
    <row r="273" ht="12.75" customHeight="1">
      <c r="A273" s="136"/>
      <c r="B273" s="136"/>
      <c r="C273" s="136"/>
      <c r="D273" s="136"/>
      <c r="E273" s="136"/>
      <c r="F273" s="136"/>
      <c r="G273" s="136"/>
      <c r="H273" s="52"/>
      <c r="I273" s="52"/>
      <c r="J273" s="52"/>
      <c r="K273" s="136"/>
      <c r="L273" s="53"/>
      <c r="M273" s="53"/>
      <c r="N273" s="53"/>
      <c r="O273" s="53"/>
      <c r="P273" s="53"/>
      <c r="Q273" s="53"/>
      <c r="R273" s="53"/>
      <c r="S273" s="136"/>
      <c r="T273" s="136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</row>
    <row r="274" ht="12.75" customHeight="1">
      <c r="A274" s="136"/>
      <c r="B274" s="136"/>
      <c r="C274" s="136"/>
      <c r="D274" s="136"/>
      <c r="E274" s="136"/>
      <c r="F274" s="136"/>
      <c r="G274" s="136"/>
      <c r="H274" s="52"/>
      <c r="I274" s="52"/>
      <c r="J274" s="52"/>
      <c r="K274" s="136"/>
      <c r="L274" s="53"/>
      <c r="M274" s="53"/>
      <c r="N274" s="53"/>
      <c r="O274" s="53"/>
      <c r="P274" s="53"/>
      <c r="Q274" s="53"/>
      <c r="R274" s="53"/>
      <c r="S274" s="136"/>
      <c r="T274" s="136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</row>
    <row r="275" ht="12.75" customHeight="1">
      <c r="A275" s="136"/>
      <c r="B275" s="136"/>
      <c r="C275" s="136"/>
      <c r="D275" s="136"/>
      <c r="E275" s="136"/>
      <c r="F275" s="136"/>
      <c r="G275" s="136"/>
      <c r="H275" s="52"/>
      <c r="I275" s="52"/>
      <c r="J275" s="52"/>
      <c r="K275" s="136"/>
      <c r="L275" s="53"/>
      <c r="M275" s="53"/>
      <c r="N275" s="53"/>
      <c r="O275" s="53"/>
      <c r="P275" s="53"/>
      <c r="Q275" s="53"/>
      <c r="R275" s="53"/>
      <c r="S275" s="136"/>
      <c r="T275" s="136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</row>
    <row r="276" ht="12.75" customHeight="1">
      <c r="A276" s="136"/>
      <c r="B276" s="136"/>
      <c r="C276" s="136"/>
      <c r="D276" s="136"/>
      <c r="E276" s="136"/>
      <c r="F276" s="136"/>
      <c r="G276" s="136"/>
      <c r="H276" s="52"/>
      <c r="I276" s="52"/>
      <c r="J276" s="52"/>
      <c r="K276" s="136"/>
      <c r="L276" s="53"/>
      <c r="M276" s="53"/>
      <c r="N276" s="53"/>
      <c r="O276" s="53"/>
      <c r="P276" s="53"/>
      <c r="Q276" s="53"/>
      <c r="R276" s="53"/>
      <c r="S276" s="136"/>
      <c r="T276" s="136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</row>
    <row r="277" ht="12.75" customHeight="1">
      <c r="A277" s="136"/>
      <c r="B277" s="136"/>
      <c r="C277" s="136"/>
      <c r="D277" s="136"/>
      <c r="E277" s="136"/>
      <c r="F277" s="136"/>
      <c r="G277" s="136"/>
      <c r="H277" s="52"/>
      <c r="I277" s="52"/>
      <c r="J277" s="52"/>
      <c r="K277" s="136"/>
      <c r="L277" s="53"/>
      <c r="M277" s="53"/>
      <c r="N277" s="53"/>
      <c r="O277" s="53"/>
      <c r="P277" s="53"/>
      <c r="Q277" s="53"/>
      <c r="R277" s="53"/>
      <c r="S277" s="136"/>
      <c r="T277" s="136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</row>
    <row r="278" ht="12.75" customHeight="1">
      <c r="A278" s="136"/>
      <c r="B278" s="136"/>
      <c r="C278" s="136"/>
      <c r="D278" s="136"/>
      <c r="E278" s="136"/>
      <c r="F278" s="136"/>
      <c r="G278" s="136"/>
      <c r="H278" s="52"/>
      <c r="I278" s="52"/>
      <c r="J278" s="52"/>
      <c r="K278" s="136"/>
      <c r="L278" s="53"/>
      <c r="M278" s="53"/>
      <c r="N278" s="53"/>
      <c r="O278" s="53"/>
      <c r="P278" s="53"/>
      <c r="Q278" s="53"/>
      <c r="R278" s="53"/>
      <c r="S278" s="136"/>
      <c r="T278" s="136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</row>
    <row r="279" ht="12.75" customHeight="1">
      <c r="A279" s="136"/>
      <c r="B279" s="136"/>
      <c r="C279" s="136"/>
      <c r="D279" s="136"/>
      <c r="E279" s="136"/>
      <c r="F279" s="136"/>
      <c r="G279" s="136"/>
      <c r="H279" s="52"/>
      <c r="I279" s="52"/>
      <c r="J279" s="52"/>
      <c r="K279" s="136"/>
      <c r="L279" s="53"/>
      <c r="M279" s="53"/>
      <c r="N279" s="53"/>
      <c r="O279" s="53"/>
      <c r="P279" s="53"/>
      <c r="Q279" s="53"/>
      <c r="R279" s="53"/>
      <c r="S279" s="136"/>
      <c r="T279" s="136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</row>
    <row r="280" ht="12.75" customHeight="1">
      <c r="A280" s="136"/>
      <c r="B280" s="136"/>
      <c r="C280" s="136"/>
      <c r="D280" s="136"/>
      <c r="E280" s="136"/>
      <c r="F280" s="136"/>
      <c r="G280" s="136"/>
      <c r="H280" s="52"/>
      <c r="I280" s="52"/>
      <c r="J280" s="52"/>
      <c r="K280" s="136"/>
      <c r="L280" s="53"/>
      <c r="M280" s="53"/>
      <c r="N280" s="53"/>
      <c r="O280" s="53"/>
      <c r="P280" s="53"/>
      <c r="Q280" s="53"/>
      <c r="R280" s="53"/>
      <c r="S280" s="136"/>
      <c r="T280" s="136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</row>
    <row r="281" ht="12.75" customHeight="1">
      <c r="A281" s="136"/>
      <c r="B281" s="136"/>
      <c r="C281" s="136"/>
      <c r="D281" s="136"/>
      <c r="E281" s="136"/>
      <c r="F281" s="136"/>
      <c r="G281" s="136"/>
      <c r="H281" s="52"/>
      <c r="I281" s="52"/>
      <c r="J281" s="52"/>
      <c r="K281" s="136"/>
      <c r="L281" s="53"/>
      <c r="M281" s="53"/>
      <c r="N281" s="53"/>
      <c r="O281" s="53"/>
      <c r="P281" s="53"/>
      <c r="Q281" s="53"/>
      <c r="R281" s="53"/>
      <c r="S281" s="136"/>
      <c r="T281" s="136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</row>
    <row r="282" ht="12.75" customHeight="1">
      <c r="A282" s="136"/>
      <c r="B282" s="136"/>
      <c r="C282" s="136"/>
      <c r="D282" s="136"/>
      <c r="E282" s="136"/>
      <c r="F282" s="136"/>
      <c r="G282" s="136"/>
      <c r="H282" s="52"/>
      <c r="I282" s="52"/>
      <c r="J282" s="52"/>
      <c r="K282" s="136"/>
      <c r="L282" s="53"/>
      <c r="M282" s="53"/>
      <c r="N282" s="53"/>
      <c r="O282" s="53"/>
      <c r="P282" s="53"/>
      <c r="Q282" s="53"/>
      <c r="R282" s="53"/>
      <c r="S282" s="136"/>
      <c r="T282" s="136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</row>
    <row r="283" ht="12.75" customHeight="1">
      <c r="A283" s="136"/>
      <c r="B283" s="136"/>
      <c r="C283" s="136"/>
      <c r="D283" s="136"/>
      <c r="E283" s="136"/>
      <c r="F283" s="136"/>
      <c r="G283" s="136"/>
      <c r="H283" s="52"/>
      <c r="I283" s="52"/>
      <c r="J283" s="52"/>
      <c r="K283" s="136"/>
      <c r="L283" s="53"/>
      <c r="M283" s="53"/>
      <c r="N283" s="53"/>
      <c r="O283" s="53"/>
      <c r="P283" s="53"/>
      <c r="Q283" s="53"/>
      <c r="R283" s="53"/>
      <c r="S283" s="136"/>
      <c r="T283" s="136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</row>
    <row r="284" ht="12.75" customHeight="1">
      <c r="A284" s="136"/>
      <c r="B284" s="136"/>
      <c r="C284" s="136"/>
      <c r="D284" s="136"/>
      <c r="E284" s="136"/>
      <c r="F284" s="136"/>
      <c r="G284" s="136"/>
      <c r="H284" s="52"/>
      <c r="I284" s="52"/>
      <c r="J284" s="52"/>
      <c r="K284" s="136"/>
      <c r="L284" s="53"/>
      <c r="M284" s="53"/>
      <c r="N284" s="53"/>
      <c r="O284" s="53"/>
      <c r="P284" s="53"/>
      <c r="Q284" s="53"/>
      <c r="R284" s="53"/>
      <c r="S284" s="136"/>
      <c r="T284" s="136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</row>
    <row r="285" ht="12.75" customHeight="1">
      <c r="A285" s="136"/>
      <c r="B285" s="136"/>
      <c r="C285" s="136"/>
      <c r="D285" s="136"/>
      <c r="E285" s="136"/>
      <c r="F285" s="136"/>
      <c r="G285" s="136"/>
      <c r="H285" s="52"/>
      <c r="I285" s="52"/>
      <c r="J285" s="52"/>
      <c r="K285" s="136"/>
      <c r="L285" s="53"/>
      <c r="M285" s="53"/>
      <c r="N285" s="53"/>
      <c r="O285" s="53"/>
      <c r="P285" s="53"/>
      <c r="Q285" s="53"/>
      <c r="R285" s="53"/>
      <c r="S285" s="136"/>
      <c r="T285" s="136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</row>
    <row r="286" ht="12.75" customHeight="1">
      <c r="A286" s="136"/>
      <c r="B286" s="136"/>
      <c r="C286" s="136"/>
      <c r="D286" s="136"/>
      <c r="E286" s="136"/>
      <c r="F286" s="136"/>
      <c r="G286" s="136"/>
      <c r="H286" s="52"/>
      <c r="I286" s="52"/>
      <c r="J286" s="52"/>
      <c r="K286" s="136"/>
      <c r="L286" s="53"/>
      <c r="M286" s="53"/>
      <c r="N286" s="53"/>
      <c r="O286" s="53"/>
      <c r="P286" s="53"/>
      <c r="Q286" s="53"/>
      <c r="R286" s="53"/>
      <c r="S286" s="136"/>
      <c r="T286" s="136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</row>
    <row r="287" ht="12.75" customHeight="1">
      <c r="A287" s="136"/>
      <c r="B287" s="136"/>
      <c r="C287" s="136"/>
      <c r="D287" s="136"/>
      <c r="E287" s="136"/>
      <c r="F287" s="136"/>
      <c r="G287" s="136"/>
      <c r="H287" s="52"/>
      <c r="I287" s="52"/>
      <c r="J287" s="52"/>
      <c r="K287" s="136"/>
      <c r="L287" s="53"/>
      <c r="M287" s="53"/>
      <c r="N287" s="53"/>
      <c r="O287" s="53"/>
      <c r="P287" s="53"/>
      <c r="Q287" s="53"/>
      <c r="R287" s="53"/>
      <c r="S287" s="136"/>
      <c r="T287" s="136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</row>
    <row r="288" ht="12.75" customHeight="1">
      <c r="A288" s="136"/>
      <c r="B288" s="136"/>
      <c r="C288" s="136"/>
      <c r="D288" s="136"/>
      <c r="E288" s="136"/>
      <c r="F288" s="136"/>
      <c r="G288" s="136"/>
      <c r="H288" s="52"/>
      <c r="I288" s="52"/>
      <c r="J288" s="52"/>
      <c r="K288" s="136"/>
      <c r="L288" s="53"/>
      <c r="M288" s="53"/>
      <c r="N288" s="53"/>
      <c r="O288" s="53"/>
      <c r="P288" s="53"/>
      <c r="Q288" s="53"/>
      <c r="R288" s="53"/>
      <c r="S288" s="136"/>
      <c r="T288" s="136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</row>
    <row r="289" ht="12.75" customHeight="1">
      <c r="A289" s="136"/>
      <c r="B289" s="136"/>
      <c r="C289" s="136"/>
      <c r="D289" s="136"/>
      <c r="E289" s="136"/>
      <c r="F289" s="136"/>
      <c r="G289" s="136"/>
      <c r="H289" s="52"/>
      <c r="I289" s="52"/>
      <c r="J289" s="52"/>
      <c r="K289" s="136"/>
      <c r="L289" s="53"/>
      <c r="M289" s="53"/>
      <c r="N289" s="53"/>
      <c r="O289" s="53"/>
      <c r="P289" s="53"/>
      <c r="Q289" s="53"/>
      <c r="R289" s="53"/>
      <c r="S289" s="136"/>
      <c r="T289" s="136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</row>
    <row r="290" ht="12.75" customHeight="1">
      <c r="A290" s="136"/>
      <c r="B290" s="136"/>
      <c r="C290" s="136"/>
      <c r="D290" s="136"/>
      <c r="E290" s="136"/>
      <c r="F290" s="136"/>
      <c r="G290" s="136"/>
      <c r="H290" s="52"/>
      <c r="I290" s="52"/>
      <c r="J290" s="52"/>
      <c r="K290" s="136"/>
      <c r="L290" s="53"/>
      <c r="M290" s="53"/>
      <c r="N290" s="53"/>
      <c r="O290" s="53"/>
      <c r="P290" s="53"/>
      <c r="Q290" s="53"/>
      <c r="R290" s="53"/>
      <c r="S290" s="136"/>
      <c r="T290" s="136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</row>
    <row r="291" ht="12.75" customHeight="1">
      <c r="A291" s="136"/>
      <c r="B291" s="136"/>
      <c r="C291" s="136"/>
      <c r="D291" s="136"/>
      <c r="E291" s="136"/>
      <c r="F291" s="136"/>
      <c r="G291" s="136"/>
      <c r="H291" s="52"/>
      <c r="I291" s="52"/>
      <c r="J291" s="52"/>
      <c r="K291" s="136"/>
      <c r="L291" s="53"/>
      <c r="M291" s="53"/>
      <c r="N291" s="53"/>
      <c r="O291" s="53"/>
      <c r="P291" s="53"/>
      <c r="Q291" s="53"/>
      <c r="R291" s="53"/>
      <c r="S291" s="136"/>
      <c r="T291" s="136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</row>
    <row r="292" ht="12.75" customHeight="1">
      <c r="A292" s="136"/>
      <c r="B292" s="136"/>
      <c r="C292" s="136"/>
      <c r="D292" s="136"/>
      <c r="E292" s="136"/>
      <c r="F292" s="136"/>
      <c r="G292" s="136"/>
      <c r="H292" s="52"/>
      <c r="I292" s="52"/>
      <c r="J292" s="52"/>
      <c r="K292" s="136"/>
      <c r="L292" s="53"/>
      <c r="M292" s="53"/>
      <c r="N292" s="53"/>
      <c r="O292" s="53"/>
      <c r="P292" s="53"/>
      <c r="Q292" s="53"/>
      <c r="R292" s="53"/>
      <c r="S292" s="136"/>
      <c r="T292" s="136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</row>
    <row r="293" ht="12.75" customHeight="1">
      <c r="A293" s="136"/>
      <c r="B293" s="136"/>
      <c r="C293" s="136"/>
      <c r="D293" s="136"/>
      <c r="E293" s="136"/>
      <c r="F293" s="136"/>
      <c r="G293" s="136"/>
      <c r="H293" s="52"/>
      <c r="I293" s="52"/>
      <c r="J293" s="52"/>
      <c r="K293" s="136"/>
      <c r="L293" s="53"/>
      <c r="M293" s="53"/>
      <c r="N293" s="53"/>
      <c r="O293" s="53"/>
      <c r="P293" s="53"/>
      <c r="Q293" s="53"/>
      <c r="R293" s="53"/>
      <c r="S293" s="136"/>
      <c r="T293" s="136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</row>
    <row r="294" ht="12.75" customHeight="1">
      <c r="A294" s="136"/>
      <c r="B294" s="136"/>
      <c r="C294" s="136"/>
      <c r="D294" s="136"/>
      <c r="E294" s="136"/>
      <c r="F294" s="136"/>
      <c r="G294" s="136"/>
      <c r="H294" s="52"/>
      <c r="I294" s="52"/>
      <c r="J294" s="52"/>
      <c r="K294" s="136"/>
      <c r="L294" s="53"/>
      <c r="M294" s="53"/>
      <c r="N294" s="53"/>
      <c r="O294" s="53"/>
      <c r="P294" s="53"/>
      <c r="Q294" s="53"/>
      <c r="R294" s="53"/>
      <c r="S294" s="136"/>
      <c r="T294" s="136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</row>
    <row r="295" ht="12.75" customHeight="1">
      <c r="A295" s="136"/>
      <c r="B295" s="136"/>
      <c r="C295" s="136"/>
      <c r="D295" s="136"/>
      <c r="E295" s="136"/>
      <c r="F295" s="136"/>
      <c r="G295" s="136"/>
      <c r="H295" s="52"/>
      <c r="I295" s="52"/>
      <c r="J295" s="52"/>
      <c r="K295" s="136"/>
      <c r="L295" s="53"/>
      <c r="M295" s="53"/>
      <c r="N295" s="53"/>
      <c r="O295" s="53"/>
      <c r="P295" s="53"/>
      <c r="Q295" s="53"/>
      <c r="R295" s="53"/>
      <c r="S295" s="136"/>
      <c r="T295" s="136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</row>
    <row r="296" ht="12.75" customHeight="1">
      <c r="A296" s="136"/>
      <c r="B296" s="136"/>
      <c r="C296" s="136"/>
      <c r="D296" s="136"/>
      <c r="E296" s="136"/>
      <c r="F296" s="136"/>
      <c r="G296" s="136"/>
      <c r="H296" s="52"/>
      <c r="I296" s="52"/>
      <c r="J296" s="52"/>
      <c r="K296" s="136"/>
      <c r="L296" s="53"/>
      <c r="M296" s="53"/>
      <c r="N296" s="53"/>
      <c r="O296" s="53"/>
      <c r="P296" s="53"/>
      <c r="Q296" s="53"/>
      <c r="R296" s="53"/>
      <c r="S296" s="136"/>
      <c r="T296" s="136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</row>
    <row r="297" ht="12.75" customHeight="1">
      <c r="A297" s="136"/>
      <c r="B297" s="136"/>
      <c r="C297" s="136"/>
      <c r="D297" s="136"/>
      <c r="E297" s="136"/>
      <c r="F297" s="136"/>
      <c r="G297" s="136"/>
      <c r="H297" s="52"/>
      <c r="I297" s="52"/>
      <c r="J297" s="52"/>
      <c r="K297" s="136"/>
      <c r="L297" s="53"/>
      <c r="M297" s="53"/>
      <c r="N297" s="53"/>
      <c r="O297" s="53"/>
      <c r="P297" s="53"/>
      <c r="Q297" s="53"/>
      <c r="R297" s="53"/>
      <c r="S297" s="136"/>
      <c r="T297" s="136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</row>
    <row r="298" ht="12.75" customHeight="1">
      <c r="A298" s="136"/>
      <c r="B298" s="136"/>
      <c r="C298" s="136"/>
      <c r="D298" s="136"/>
      <c r="E298" s="136"/>
      <c r="F298" s="136"/>
      <c r="G298" s="136"/>
      <c r="H298" s="52"/>
      <c r="I298" s="52"/>
      <c r="J298" s="52"/>
      <c r="K298" s="136"/>
      <c r="L298" s="53"/>
      <c r="M298" s="53"/>
      <c r="N298" s="53"/>
      <c r="O298" s="53"/>
      <c r="P298" s="53"/>
      <c r="Q298" s="53"/>
      <c r="R298" s="53"/>
      <c r="S298" s="136"/>
      <c r="T298" s="136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</row>
  </sheetData>
  <mergeCells count="89">
    <mergeCell ref="U66:X66"/>
    <mergeCell ref="U65:X65"/>
    <mergeCell ref="U57:X57"/>
    <mergeCell ref="U58:X58"/>
    <mergeCell ref="U61:X61"/>
    <mergeCell ref="U62:X62"/>
    <mergeCell ref="U41:X41"/>
    <mergeCell ref="U42:X42"/>
    <mergeCell ref="U63:X63"/>
    <mergeCell ref="U64:X64"/>
    <mergeCell ref="U94:X94"/>
    <mergeCell ref="U95:X95"/>
    <mergeCell ref="U97:X97"/>
    <mergeCell ref="U98:X98"/>
    <mergeCell ref="U96:X96"/>
    <mergeCell ref="U85:X85"/>
    <mergeCell ref="U82:X82"/>
    <mergeCell ref="U80:X80"/>
    <mergeCell ref="U81:X81"/>
    <mergeCell ref="U93:X93"/>
    <mergeCell ref="B92:F92"/>
    <mergeCell ref="U89:X89"/>
    <mergeCell ref="U90:X90"/>
    <mergeCell ref="U88:X88"/>
    <mergeCell ref="U69:X69"/>
    <mergeCell ref="U70:X70"/>
    <mergeCell ref="U71:X71"/>
    <mergeCell ref="U86:X86"/>
    <mergeCell ref="U87:X87"/>
    <mergeCell ref="U74:X74"/>
    <mergeCell ref="U73:X73"/>
    <mergeCell ref="U77:X77"/>
    <mergeCell ref="U79:X79"/>
    <mergeCell ref="U78:X78"/>
    <mergeCell ref="U72:X72"/>
    <mergeCell ref="B84:F84"/>
    <mergeCell ref="B52:F52"/>
    <mergeCell ref="B44:F44"/>
    <mergeCell ref="B68:F68"/>
    <mergeCell ref="B76:F76"/>
    <mergeCell ref="B60:F60"/>
    <mergeCell ref="B36:F36"/>
    <mergeCell ref="B28:F28"/>
    <mergeCell ref="U3:X3"/>
    <mergeCell ref="U7:X7"/>
    <mergeCell ref="U23:X23"/>
    <mergeCell ref="U24:X24"/>
    <mergeCell ref="U6:X6"/>
    <mergeCell ref="U5:X5"/>
    <mergeCell ref="U9:X9"/>
    <mergeCell ref="B12:F12"/>
    <mergeCell ref="B20:F20"/>
    <mergeCell ref="B2:F2"/>
    <mergeCell ref="H2:I2"/>
    <mergeCell ref="K2:R2"/>
    <mergeCell ref="B4:F4"/>
    <mergeCell ref="T2:X2"/>
    <mergeCell ref="U8:X8"/>
    <mergeCell ref="U29:X29"/>
    <mergeCell ref="U26:X26"/>
    <mergeCell ref="U13:X13"/>
    <mergeCell ref="U14:X14"/>
    <mergeCell ref="U17:X17"/>
    <mergeCell ref="U18:X18"/>
    <mergeCell ref="U10:X10"/>
    <mergeCell ref="U30:X30"/>
    <mergeCell ref="U25:X25"/>
    <mergeCell ref="U54:X54"/>
    <mergeCell ref="U53:X53"/>
    <mergeCell ref="U48:X48"/>
    <mergeCell ref="U49:X49"/>
    <mergeCell ref="U47:X47"/>
    <mergeCell ref="U46:X46"/>
    <mergeCell ref="U50:X50"/>
    <mergeCell ref="U56:X56"/>
    <mergeCell ref="U55:X55"/>
    <mergeCell ref="U16:X16"/>
    <mergeCell ref="U15:X15"/>
    <mergeCell ref="U45:X45"/>
    <mergeCell ref="U39:X39"/>
    <mergeCell ref="U40:X40"/>
    <mergeCell ref="U37:X37"/>
    <mergeCell ref="U38:X38"/>
    <mergeCell ref="U34:X34"/>
    <mergeCell ref="U33:X33"/>
    <mergeCell ref="U31:X31"/>
    <mergeCell ref="U32:X32"/>
    <mergeCell ref="U21:X21"/>
    <mergeCell ref="U22:X22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765</TotalTime>
  <ScaleCrop>false</ScaleCrop>
  <HeadingPairs>
    <vt:vector baseType="variant" size="2">
      <vt:variant>
        <vt:lpstr>Planilhas</vt:lpstr>
      </vt:variant>
      <vt:variant>
        <vt:i4>24</vt:i4>
      </vt:variant>
    </vt:vector>
  </HeadingPairs>
  <TitlesOfParts>
    <vt:vector baseType="lpstr" size="24">
      <vt:lpstr>PAGAMENTO</vt:lpstr>
      <vt:lpstr>APOSTAS</vt:lpstr>
      <vt:lpstr>RESULTADOS</vt:lpstr>
      <vt:lpstr>Joels Soares</vt:lpstr>
      <vt:lpstr>Lucas Joels</vt:lpstr>
      <vt:lpstr>Tuka</vt:lpstr>
      <vt:lpstr>Barrão</vt:lpstr>
      <vt:lpstr>Zé Luis</vt:lpstr>
      <vt:lpstr>Nelson Emoção</vt:lpstr>
      <vt:lpstr>Nelson Razão</vt:lpstr>
      <vt:lpstr>Davi</vt:lpstr>
      <vt:lpstr>Mekler</vt:lpstr>
      <vt:lpstr>José</vt:lpstr>
      <vt:lpstr>Noé</vt:lpstr>
      <vt:lpstr>Pedro Hersz</vt:lpstr>
      <vt:lpstr>Matheus</vt:lpstr>
      <vt:lpstr>Daniel</vt:lpstr>
      <vt:lpstr>Quito</vt:lpstr>
      <vt:lpstr>Jê</vt:lpstr>
      <vt:lpstr>Diana</vt:lpstr>
      <vt:lpstr>Humberto</vt:lpstr>
      <vt:lpstr>Laufer</vt:lpstr>
      <vt:lpstr>Tello</vt:lpstr>
      <vt:lpstr>Bento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Daniel Herszenhut Meirelles Santos</cp:lastModifiedBy>
  <dcterms:modified xsi:type="dcterms:W3CDTF">2026-06-17T19:19:38Z</dcterms:modified>
  <cp:revision>66</cp:revision>
  <dc:subject/>
  <dc:title/>
</cp:coreProperties>
</file>