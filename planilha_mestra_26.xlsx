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<sst xmlns="http://schemas.openxmlformats.org/spreadsheetml/2006/main" count="12033" uniqueCount="258">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</sst>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2" activeCellId="0" sqref="B22"/>
    </sheetView>
  </sheetViews>
  <sheetFormatPr defaultColWidth="14.445312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  <c r="B18" s="0" t="s">
        <v>1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  <c r="B21" s="0" t="s">
        <v>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str">
        <f aca="false">SUM(Y24,Z24,AA24, AB24)</f>
        <v>0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str">
        <f aca="false">SUM(Y86,Z86,AA86, AB86)</f>
        <v>0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37" colorId="64" zoomScale="100" zoomScaleNormal="100" zoomScalePageLayoutView="100" workbookViewId="0">
      <selection pane="topLeft" activeCell="C89" activeCellId="0" sqref="C89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6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9"/>
    <col collapsed="false" customWidth="true" hidden="false" outlineLevel="0" max="11" min="11" style="0" width="16.14"/>
    <col collapsed="false" customWidth="true" hidden="false" outlineLevel="0" max="18" min="12" style="0" width="3.99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0</v>
      </c>
      <c r="N5" s="17" t="n">
        <f aca="true">SUM(INDIRECT($U5),INDIRECT($V5),INDIRECT($W5))</f>
        <v>2</v>
      </c>
      <c r="O5" s="17" t="n">
        <f aca="true">SUM(INDIRECT($X5),INDIRECT($Y5),INDIRECT($Z5))</f>
        <v>2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6</v>
      </c>
      <c r="M6" s="17" t="n">
        <f aca="false">N6-O6</f>
        <v>3</v>
      </c>
      <c r="N6" s="17" t="n">
        <f aca="true">SUM(INDIRECT($U6),INDIRECT($V6),INDIRECT($W6))</f>
        <v>3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2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-1</v>
      </c>
      <c r="N7" s="17" t="n">
        <f aca="true">SUM(INDIRECT($U7),INDIRECT($V7),INDIRECT($W7))</f>
        <v>2</v>
      </c>
      <c r="O7" s="17" t="n">
        <f aca="true">SUM(INDIRECT($X7),INDIRECT($Y7),INDIRECT($Z7))</f>
        <v>3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 t="n">
        <v>1</v>
      </c>
      <c r="D8" s="17" t="str">
        <f aca="false">APOSTAS!D8</f>
        <v>x</v>
      </c>
      <c r="E8" s="21" t="n">
        <v>0</v>
      </c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1</v>
      </c>
      <c r="M8" s="37" t="n">
        <f aca="false">N8-O8</f>
        <v>-2</v>
      </c>
      <c r="N8" s="37" t="n">
        <f aca="true">SUM(INDIRECT($U8),INDIRECT($V8),INDIRECT($W8))</f>
        <v>1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/>
      <c r="D9" s="17" t="str">
        <f aca="false">APOSTAS!D9</f>
        <v>x</v>
      </c>
      <c r="E9" s="21"/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/>
      <c r="D10" s="37" t="str">
        <f aca="false">APOSTAS!D10</f>
        <v>x</v>
      </c>
      <c r="E10" s="41"/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7" t="n">
        <f aca="false">N13-O13</f>
        <v>-3</v>
      </c>
      <c r="N13" s="17" t="n">
        <f aca="true">SUM(INDIRECT($U13),INDIRECT($V13),INDIRECT($W13))</f>
        <v>2</v>
      </c>
      <c r="O13" s="17" t="n">
        <f aca="true">SUM(INDIRECT($X13),INDIRECT($Y13),INDIRECT($Z13))</f>
        <v>5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6</v>
      </c>
      <c r="N14" s="17" t="n">
        <f aca="true">SUM(INDIRECT($U14),INDIRECT($V14),INDIRECT($W14))</f>
        <v>7</v>
      </c>
      <c r="O14" s="17" t="n">
        <f aca="true">SUM(INDIRECT($X14),INDIRECT($Y14),INDIRECT($Z14))</f>
        <v>1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-6</v>
      </c>
      <c r="N15" s="17" t="n">
        <f aca="true">SUM(INDIRECT($U15),INDIRECT($V15),INDIRECT($W15))</f>
        <v>1</v>
      </c>
      <c r="O15" s="17" t="n">
        <f aca="true">SUM(INDIRECT($X15),INDIRECT($Y15),INDIRECT($Z15))</f>
        <v>7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1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4</v>
      </c>
      <c r="M16" s="37" t="n">
        <f aca="false">N16-O16</f>
        <v>3</v>
      </c>
      <c r="N16" s="37" t="n">
        <f aca="true">SUM(INDIRECT($U16),INDIRECT($V16),INDIRECT($W16))</f>
        <v>5</v>
      </c>
      <c r="O16" s="37" t="n">
        <f aca="true">SUM(INDIRECT($X16),INDIRECT($Y16),INDIRECT($Z16))</f>
        <v>2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1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/>
      <c r="D17" s="17" t="str">
        <f aca="false">APOSTAS!D17</f>
        <v>x</v>
      </c>
      <c r="E17" s="21"/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/>
      <c r="D18" s="37" t="str">
        <f aca="false">APOSTAS!D18</f>
        <v>x</v>
      </c>
      <c r="E18" s="41"/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5" t="str">
        <f aca="false">N21-O21</f>
        <v>-1</v>
      </c>
      <c r="N21" s="45" t="str">
        <f aca="false">SUM(C21,C23,C26)</f>
        <v>1</v>
      </c>
      <c r="O21" s="45" t="str">
        <f aca="false">SUM(E21,E23,E26)</f>
        <v>2</v>
      </c>
      <c r="P21" s="45" t="str">
        <f aca="false">SUM(IF(AND(ISNUMBER(C21),C21&gt;E21),1,0),IF(AND(ISNUMBER(C23),C23&gt;E23),1,0),IF(AND(ISNUMBER(C26),C26&gt;E26),1,0))</f>
        <v>0</v>
      </c>
      <c r="Q21" s="45" t="str">
        <f aca="false">SUM(IF(AND(ISNUMBER(C21),C21=E21),1,0),IF(AND(ISNUMBER(C23),C23=E23),1,0),IF(AND(ISNUMBER(C26),C26=E26),1,0))</f>
        <v>1</v>
      </c>
      <c r="R21" s="33" t="str">
        <f aca="false"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str">
        <f aca="false">N22-O22</f>
        <v>3</v>
      </c>
      <c r="N22" s="45" t="str">
        <f aca="false">SUM(E21,C24,C25)</f>
        <v>4</v>
      </c>
      <c r="O22" s="45" t="str">
        <f aca="false">SUM(C21,E24,E25)</f>
        <v>1</v>
      </c>
      <c r="P22" s="45" t="str">
        <f aca="false">SUM(IF(AND(ISNUMBER(E21),E21&gt;C21),1,0),IF(AND(ISNUMBER(C24),C24&gt;E24),1,0),IF(AND(ISNUMBER(C25),C25&gt;E25),1,0))</f>
        <v>1</v>
      </c>
      <c r="Q22" s="45" t="str">
        <f aca="false">SUM(IF(AND(ISNUMBER(E21),E21=C21),1,0),IF(AND(ISNUMBER(C24),C24=E24),1,0),IF(AND(ISNUMBER(C25),C25=E25),1,0))</f>
        <v>1</v>
      </c>
      <c r="R22" s="33" t="str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 t="n">
        <v>0</v>
      </c>
      <c r="D23" s="17" t="str">
        <f aca="false">APOSTAS!D23</f>
        <v>x</v>
      </c>
      <c r="E23" s="21" t="n">
        <v>1</v>
      </c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str">
        <f aca="false">N23-O23</f>
        <v>0</v>
      </c>
      <c r="N23" s="45" t="str">
        <f aca="false">SUM(C22,E23,E25)</f>
        <v>1</v>
      </c>
      <c r="O23" s="45" t="str">
        <f aca="false">SUM(E22,C23,C25)</f>
        <v>1</v>
      </c>
      <c r="P23" s="45" t="str">
        <f aca="false">SUM(IF(AND(ISNUMBER(C22),C22&gt;E22),1,0),IF(AND(ISNUMBER(E23),E23&gt;C23),1,0),IF(AND(ISNUMBER(E25),E25&gt;C25),1,0))</f>
        <v>1</v>
      </c>
      <c r="Q23" s="45" t="str">
        <f aca="false">SUM(IF(AND(ISNUMBER(C22),C22=E22),1,0),IF(AND(ISNUMBER(E23),E23=C23),1,0),IF(AND(ISNUMBER(E25),E25=C25),1,0))</f>
        <v>0</v>
      </c>
      <c r="R23" s="33" t="str">
        <f aca="false"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 t="n">
        <v>3</v>
      </c>
      <c r="D24" s="17" t="str">
        <f aca="false">APOSTAS!D24</f>
        <v>x</v>
      </c>
      <c r="E24" s="21" t="n">
        <v>0</v>
      </c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4</v>
      </c>
      <c r="M24" s="56" t="str">
        <f aca="false">N24-O24</f>
        <v>-2</v>
      </c>
      <c r="N24" s="56" t="str">
        <f aca="false">SUM(E22,E24,E26)</f>
        <v>1</v>
      </c>
      <c r="O24" s="56" t="str">
        <f aca="false">SUM(C22,C24,C26)</f>
        <v>3</v>
      </c>
      <c r="P24" s="56" t="str">
        <f aca="false">SUM(IF(AND(ISNUMBER(E22),E22&gt;C22),1,0),IF(AND(ISNUMBER(E24),E24&gt;C24),1,0),IF(AND(ISNUMBER(E26),E26&gt;C26),1,0))</f>
        <v>1</v>
      </c>
      <c r="Q24" s="56" t="str">
        <f aca="false">SUM(IF(AND(ISNUMBER(E22),E22=C22),1,0),IF(AND(ISNUMBER(E24),E24=C24),1,0),IF(AND(ISNUMBER(E26),E26=C26),1,0))</f>
        <v>0</v>
      </c>
      <c r="R24" s="42" t="str">
        <f aca="false"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/>
      <c r="D25" s="17" t="str">
        <f aca="false">APOSTAS!D25</f>
        <v>x</v>
      </c>
      <c r="E25" s="21"/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/>
      <c r="D26" s="37" t="str">
        <f aca="false">APOSTAS!D26</f>
        <v>x</v>
      </c>
      <c r="E26" s="41"/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7" t="n">
        <f aca="false">N29-O29</f>
        <v>0</v>
      </c>
      <c r="N29" s="17" t="n">
        <f aca="true">SUM(INDIRECT($U29),INDIRECT($V29),INDIRECT($W29))</f>
        <v>2</v>
      </c>
      <c r="O29" s="17" t="n">
        <f aca="true">SUM(INDIRECT($X29),INDIRECT($Y29),INDIRECT($Z29))</f>
        <v>2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6</v>
      </c>
      <c r="M30" s="17" t="n">
        <f aca="false">N30-O30</f>
        <v>5</v>
      </c>
      <c r="N30" s="17" t="n">
        <f aca="true">SUM(INDIRECT($U30),INDIRECT($V30),INDIRECT($W30))</f>
        <v>6</v>
      </c>
      <c r="O30" s="17" t="n">
        <f aca="true">SUM(INDIRECT($X30),INDIRECT($Y30),INDIRECT($Z30))</f>
        <v>1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2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 t="n">
        <v>2</v>
      </c>
      <c r="D31" s="17" t="str">
        <f aca="false">APOSTAS!D31</f>
        <v>x</v>
      </c>
      <c r="E31" s="21" t="n">
        <v>0</v>
      </c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3</v>
      </c>
      <c r="M31" s="17" t="n">
        <f aca="false">N31-O31</f>
        <v>-2</v>
      </c>
      <c r="N31" s="17" t="n">
        <f aca="true">SUM(INDIRECT($U31),INDIRECT($V31),INDIRECT($W31))</f>
        <v>2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1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 t="n">
        <v>0</v>
      </c>
      <c r="D32" s="17" t="str">
        <f aca="false">APOSTAS!D32</f>
        <v>x</v>
      </c>
      <c r="E32" s="21" t="n">
        <v>1</v>
      </c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7" t="n">
        <f aca="false">N32-O32</f>
        <v>-3</v>
      </c>
      <c r="N32" s="37" t="n">
        <f aca="true">SUM(INDIRECT($U32),INDIRECT($V32),INDIRECT($W32))</f>
        <v>0</v>
      </c>
      <c r="O32" s="37" t="n">
        <f aca="true">SUM(INDIRECT($X32),INDIRECT($Y32),INDIRECT($Z32))</f>
        <v>3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2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/>
      <c r="D33" s="17" t="str">
        <f aca="false">APOSTAS!D33</f>
        <v>x</v>
      </c>
      <c r="E33" s="21"/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/>
      <c r="D34" s="37" t="str">
        <f aca="false">APOSTAS!D34</f>
        <v>x</v>
      </c>
      <c r="E34" s="41"/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7" t="n">
        <f aca="false">N37-O37</f>
        <v>7</v>
      </c>
      <c r="N37" s="17" t="n">
        <f aca="true">SUM(INDIRECT($U37),INDIRECT($V37),INDIRECT($W37))</f>
        <v>9</v>
      </c>
      <c r="O37" s="17" t="n">
        <f aca="true">SUM(INDIRECT($X37),INDIRECT($Y37),INDIRECT($Z37))</f>
        <v>2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2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3</v>
      </c>
      <c r="M38" s="17" t="n">
        <f aca="false">N38-O38</f>
        <v>0</v>
      </c>
      <c r="N38" s="17" t="n">
        <f aca="true">SUM(INDIRECT($U38),INDIRECT($V38),INDIRECT($W38))</f>
        <v>2</v>
      </c>
      <c r="O38" s="17" t="n">
        <f aca="true">SUM(INDIRECT($X38),INDIRECT($Y38),INDIRECT($Z38))</f>
        <v>2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1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1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 t="n">
        <v>2</v>
      </c>
      <c r="D39" s="17" t="str">
        <f aca="false">APOSTAS!D39</f>
        <v>x</v>
      </c>
      <c r="E39" s="21" t="n">
        <v>1</v>
      </c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1</v>
      </c>
      <c r="M39" s="17" t="n">
        <f aca="false">N39-O39</f>
        <v>-6</v>
      </c>
      <c r="N39" s="17" t="n">
        <f aca="true">SUM(INDIRECT($U39),INDIRECT($V39),INDIRECT($W39))</f>
        <v>1</v>
      </c>
      <c r="O39" s="17" t="n">
        <f aca="true">SUM(INDIRECT($X39),INDIRECT($Y39),INDIRECT($Z39))</f>
        <v>7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1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1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 t="n">
        <v>0</v>
      </c>
      <c r="D40" s="17" t="str">
        <f aca="false">APOSTAS!D40</f>
        <v>x</v>
      </c>
      <c r="E40" s="21" t="n">
        <v>0</v>
      </c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1</v>
      </c>
      <c r="M40" s="37" t="n">
        <f aca="false">N40-O40</f>
        <v>-1</v>
      </c>
      <c r="N40" s="37" t="n">
        <f aca="true">SUM(INDIRECT($U40),INDIRECT($V40),INDIRECT($W40))</f>
        <v>0</v>
      </c>
      <c r="O40" s="37" t="n">
        <f aca="true">SUM(INDIRECT($X40),INDIRECT($Y40),INDIRECT($Z40))</f>
        <v>1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1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/>
      <c r="D41" s="17" t="str">
        <f aca="false">APOSTAS!D41</f>
        <v>x</v>
      </c>
      <c r="E41" s="21"/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/>
      <c r="D42" s="37" t="str">
        <f aca="false">APOSTAS!D42</f>
        <v>x</v>
      </c>
      <c r="E42" s="41"/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7" t="n">
        <f aca="false">N45-O45</f>
        <v>4</v>
      </c>
      <c r="N45" s="17" t="n">
        <f aca="true">SUM(INDIRECT($U45),INDIRECT($V45),INDIRECT($W45))</f>
        <v>7</v>
      </c>
      <c r="O45" s="17" t="n">
        <f aca="true">SUM(INDIRECT($X45),INDIRECT($Y45),INDIRECT($Z45))</f>
        <v>3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1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4</v>
      </c>
      <c r="M46" s="17" t="n">
        <f aca="false">N46-O46</f>
        <v>4</v>
      </c>
      <c r="N46" s="17" t="n">
        <f aca="true">SUM(INDIRECT($U46),INDIRECT($V46),INDIRECT($W46))</f>
        <v>6</v>
      </c>
      <c r="O46" s="17" t="n">
        <f aca="true">SUM(INDIRECT($X46),INDIRECT($Y46),INDIRECT($Z46))</f>
        <v>2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1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1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 t="n">
        <v>5</v>
      </c>
      <c r="D47" s="17" t="str">
        <f aca="false">APOSTAS!D47</f>
        <v>x</v>
      </c>
      <c r="E47" s="21" t="n">
        <v>1</v>
      </c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3</v>
      </c>
      <c r="M47" s="17" t="n">
        <f aca="false">N47-O47</f>
        <v>0</v>
      </c>
      <c r="N47" s="17" t="n">
        <f aca="true">SUM(INDIRECT($U47),INDIRECT($V47),INDIRECT($W47))</f>
        <v>6</v>
      </c>
      <c r="O47" s="17" t="n">
        <f aca="true">SUM(INDIRECT($X47),INDIRECT($Y47),INDIRECT($Z47))</f>
        <v>6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1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 t="n">
        <v>0</v>
      </c>
      <c r="D48" s="17" t="str">
        <f aca="false">APOSTAS!D48</f>
        <v>x</v>
      </c>
      <c r="E48" s="21" t="n">
        <v>4</v>
      </c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-8</v>
      </c>
      <c r="N48" s="37" t="n">
        <f aca="true">SUM(INDIRECT($U48),INDIRECT($V48),INDIRECT($W48))</f>
        <v>1</v>
      </c>
      <c r="O48" s="37" t="n">
        <f aca="true">SUM(INDIRECT($X48),INDIRECT($Y48),INDIRECT($Z48))</f>
        <v>9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2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/>
      <c r="D49" s="17" t="str">
        <f aca="false">APOSTAS!D49</f>
        <v>x</v>
      </c>
      <c r="E49" s="21"/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/>
      <c r="D50" s="37" t="str">
        <f aca="false">APOSTAS!D50</f>
        <v>x</v>
      </c>
      <c r="E50" s="41"/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7" t="n">
        <f aca="false">N53-O53</f>
        <v>0</v>
      </c>
      <c r="N53" s="17" t="n">
        <f aca="true">SUM(INDIRECT($U53),INDIRECT($V53),INDIRECT($W53))</f>
        <v>1</v>
      </c>
      <c r="O53" s="17" t="n">
        <f aca="true">SUM(INDIRECT($X53),INDIRECT($Y53),INDIRECT($Z53))</f>
        <v>1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2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4</v>
      </c>
      <c r="M54" s="17" t="n">
        <f aca="false">N54-O54</f>
        <v>2</v>
      </c>
      <c r="N54" s="17" t="n">
        <f aca="true">SUM(INDIRECT($U54),INDIRECT($V54),INDIRECT($W54))</f>
        <v>4</v>
      </c>
      <c r="O54" s="17" t="n">
        <f aca="true">SUM(INDIRECT($X54),INDIRECT($Y54),INDIRECT($Z54))</f>
        <v>2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1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1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 t="n">
        <v>0</v>
      </c>
      <c r="D55" s="17" t="str">
        <f aca="false">APOSTAS!D55</f>
        <v>x</v>
      </c>
      <c r="E55" s="21" t="n">
        <v>0</v>
      </c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2</v>
      </c>
      <c r="M55" s="17" t="n">
        <f aca="false">N55-O55</f>
        <v>0</v>
      </c>
      <c r="N55" s="17" t="n">
        <f aca="true">SUM(INDIRECT($U55),INDIRECT($V55),INDIRECT($W55))</f>
        <v>2</v>
      </c>
      <c r="O55" s="17" t="n">
        <f aca="true">SUM(INDIRECT($X55),INDIRECT($Y55),INDIRECT($Z55))</f>
        <v>2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2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 t="n">
        <v>1</v>
      </c>
      <c r="D56" s="17" t="str">
        <f aca="false">APOSTAS!D56</f>
        <v>x</v>
      </c>
      <c r="E56" s="21" t="n">
        <v>3</v>
      </c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-2</v>
      </c>
      <c r="N56" s="37" t="n">
        <f aca="true">SUM(INDIRECT($U56),INDIRECT($V56),INDIRECT($W56))</f>
        <v>3</v>
      </c>
      <c r="O56" s="37" t="n">
        <f aca="true">SUM(INDIRECT($X56),INDIRECT($Y56),INDIRECT($Z56))</f>
        <v>5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1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/>
      <c r="D57" s="17" t="str">
        <f aca="false">APOSTAS!D57</f>
        <v>x</v>
      </c>
      <c r="E57" s="21"/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/>
      <c r="D58" s="37" t="str">
        <f aca="false">APOSTAS!D58</f>
        <v>x</v>
      </c>
      <c r="E58" s="41"/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7" t="n">
        <f aca="false">N61-O61</f>
        <v>-4</v>
      </c>
      <c r="N61" s="17" t="n">
        <f aca="true">SUM(INDIRECT($U61),INDIRECT($V61),INDIRECT($W61))</f>
        <v>1</v>
      </c>
      <c r="O61" s="17" t="n">
        <f aca="true">SUM(INDIRECT($X61),INDIRECT($Y61),INDIRECT($Z61))</f>
        <v>5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1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2</v>
      </c>
      <c r="M62" s="17" t="n">
        <f aca="false">N62-O62</f>
        <v>0</v>
      </c>
      <c r="N62" s="17" t="n">
        <f aca="true">SUM(INDIRECT($U62),INDIRECT($V62),INDIRECT($W62))</f>
        <v>2</v>
      </c>
      <c r="O62" s="17" t="n">
        <f aca="true">SUM(INDIRECT($X62),INDIRECT($Y62),INDIRECT($Z62))</f>
        <v>2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2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 t="n">
        <v>4</v>
      </c>
      <c r="D63" s="17" t="str">
        <f aca="false">APOSTAS!D63</f>
        <v>x</v>
      </c>
      <c r="E63" s="21" t="n">
        <v>0</v>
      </c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4</v>
      </c>
      <c r="M63" s="17" t="n">
        <f aca="false">N63-O63</f>
        <v>4</v>
      </c>
      <c r="N63" s="17" t="n">
        <f aca="true">SUM(INDIRECT($U63),INDIRECT($V63),INDIRECT($W63))</f>
        <v>4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1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 t="n">
        <v>2</v>
      </c>
      <c r="D64" s="17" t="str">
        <f aca="false">APOSTAS!D64</f>
        <v>x</v>
      </c>
      <c r="E64" s="21" t="n">
        <v>2</v>
      </c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2</v>
      </c>
      <c r="M64" s="37" t="n">
        <f aca="false">N64-O64</f>
        <v>0</v>
      </c>
      <c r="N64" s="37" t="n">
        <f aca="true">SUM(INDIRECT($U64),INDIRECT($V64),INDIRECT($W64))</f>
        <v>3</v>
      </c>
      <c r="O64" s="37" t="n">
        <f aca="true">SUM(INDIRECT($X64),INDIRECT($Y64),INDIRECT($Z64))</f>
        <v>3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2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/>
      <c r="D65" s="17" t="str">
        <f aca="false">APOSTAS!D65</f>
        <v>x</v>
      </c>
      <c r="E65" s="21"/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/>
      <c r="D66" s="37" t="str">
        <f aca="false">APOSTAS!D66</f>
        <v>x</v>
      </c>
      <c r="E66" s="41"/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7" t="n">
        <f aca="false">N69-O69</f>
        <v>5</v>
      </c>
      <c r="N69" s="17" t="n">
        <f aca="true">SUM(INDIRECT($U69),INDIRECT($V69),INDIRECT($W69))</f>
        <v>6</v>
      </c>
      <c r="O69" s="17" t="n">
        <f aca="true">SUM(INDIRECT($X69),INDIRECT($Y69),INDIRECT($Z69))</f>
        <v>1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2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-6</v>
      </c>
      <c r="N70" s="17" t="n">
        <f aca="true">SUM(INDIRECT($U70),INDIRECT($V70),INDIRECT($W70))</f>
        <v>1</v>
      </c>
      <c r="O70" s="17" t="n">
        <f aca="true">SUM(INDIRECT($X70),INDIRECT($Y70),INDIRECT($Z70))</f>
        <v>7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2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 t="n">
        <v>3</v>
      </c>
      <c r="D71" s="17" t="str">
        <f aca="false">APOSTAS!D71</f>
        <v>x</v>
      </c>
      <c r="E71" s="21" t="n">
        <v>0</v>
      </c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6</v>
      </c>
      <c r="M71" s="17" t="n">
        <f aca="false">N71-O71</f>
        <v>4</v>
      </c>
      <c r="N71" s="17" t="n">
        <f aca="true">SUM(INDIRECT($U71),INDIRECT($V71),INDIRECT($W71))</f>
        <v>7</v>
      </c>
      <c r="O71" s="17" t="n">
        <f aca="true">SUM(INDIRECT($X71),INDIRECT($Y71),INDIRECT($Z71))</f>
        <v>3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2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 t="n">
        <v>3</v>
      </c>
      <c r="D72" s="17" t="str">
        <f aca="false">APOSTAS!D72</f>
        <v>x</v>
      </c>
      <c r="E72" s="21" t="n">
        <v>2</v>
      </c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7" t="n">
        <f aca="false">N72-O72</f>
        <v>-3</v>
      </c>
      <c r="N72" s="37" t="n">
        <f aca="true">SUM(INDIRECT($U72),INDIRECT($V72),INDIRECT($W72))</f>
        <v>3</v>
      </c>
      <c r="O72" s="37" t="n">
        <f aca="true">SUM(INDIRECT($X72),INDIRECT($Y72),INDIRECT($Z72))</f>
        <v>6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2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/>
      <c r="D73" s="17" t="str">
        <f aca="false">APOSTAS!D73</f>
        <v>x</v>
      </c>
      <c r="E73" s="21"/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/>
      <c r="D74" s="37" t="str">
        <f aca="false">APOSTAS!D74</f>
        <v>x</v>
      </c>
      <c r="E74" s="41"/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7" t="n">
        <f aca="false">N77-O77</f>
        <v>5</v>
      </c>
      <c r="N77" s="17" t="n">
        <f aca="true">SUM(INDIRECT($U77),INDIRECT($V77),INDIRECT($W77))</f>
        <v>5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2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3</v>
      </c>
      <c r="M78" s="17" t="n">
        <f aca="false">N78-O78</f>
        <v>-2</v>
      </c>
      <c r="N78" s="17" t="n">
        <f aca="true">SUM(INDIRECT($U78),INDIRECT($V78),INDIRECT($W78))</f>
        <v>2</v>
      </c>
      <c r="O78" s="17" t="n">
        <f aca="true">SUM(INDIRECT($X78),INDIRECT($Y78),INDIRECT($Z78))</f>
        <v>4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1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 t="n">
        <v>2</v>
      </c>
      <c r="D79" s="17" t="str">
        <f aca="false">APOSTAS!D79</f>
        <v>x</v>
      </c>
      <c r="E79" s="21" t="n">
        <v>0</v>
      </c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-3</v>
      </c>
      <c r="N79" s="17" t="n">
        <f aca="true">SUM(INDIRECT($U79),INDIRECT($V79),INDIRECT($W79))</f>
        <v>2</v>
      </c>
      <c r="O79" s="17" t="n">
        <f aca="true">SUM(INDIRECT($X79),INDIRECT($Y79),INDIRECT($Z79))</f>
        <v>5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2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 t="n">
        <v>1</v>
      </c>
      <c r="D80" s="17" t="str">
        <f aca="false">APOSTAS!D80</f>
        <v>x</v>
      </c>
      <c r="E80" s="21" t="n">
        <v>2</v>
      </c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0</v>
      </c>
      <c r="N80" s="37" t="n">
        <f aca="true">SUM(INDIRECT($U80),INDIRECT($V80),INDIRECT($W80))</f>
        <v>3</v>
      </c>
      <c r="O80" s="37" t="n">
        <f aca="true">SUM(INDIRECT($X80),INDIRECT($Y80),INDIRECT($Z80))</f>
        <v>3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1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7" t="n">
        <f aca="false">N85-O85</f>
        <v>3</v>
      </c>
      <c r="N85" s="17" t="n">
        <f aca="true">SUM(INDIRECT($U85),INDIRECT($V85),INDIRECT($W85))</f>
        <v>4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2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4</v>
      </c>
      <c r="M86" s="17" t="n">
        <f aca="false">N86-O86</f>
        <v>5</v>
      </c>
      <c r="N86" s="17" t="n">
        <f aca="true">SUM(INDIRECT($U86),INDIRECT($V86),INDIRECT($W86))</f>
        <v>6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1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 t="n">
        <v>5</v>
      </c>
      <c r="D87" s="17" t="str">
        <f aca="false">APOSTAS!D87</f>
        <v>x</v>
      </c>
      <c r="E87" s="21" t="n">
        <v>0</v>
      </c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-1</v>
      </c>
      <c r="N87" s="17" t="n">
        <f aca="true">SUM(INDIRECT($U87),INDIRECT($V87),INDIRECT($W87))</f>
        <v>1</v>
      </c>
      <c r="O87" s="17" t="n">
        <f aca="true">SUM(INDIRECT($X87),INDIRECT($Y87),INDIRECT($Z87))</f>
        <v>2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1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 t="n">
        <v>1</v>
      </c>
      <c r="D88" s="17" t="str">
        <f aca="false">APOSTAS!D88</f>
        <v>x</v>
      </c>
      <c r="E88" s="21" t="n">
        <v>0</v>
      </c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-7</v>
      </c>
      <c r="N88" s="37" t="n">
        <f aca="true">SUM(INDIRECT($U88),INDIRECT($V88),INDIRECT($W88))</f>
        <v>1</v>
      </c>
      <c r="O88" s="37" t="n">
        <f aca="true">SUM(INDIRECT($X88),INDIRECT($Y88),INDIRECT($Z88))</f>
        <v>8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2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7" t="n">
        <f aca="false">N93-O93</f>
        <v>-1</v>
      </c>
      <c r="N93" s="17" t="n">
        <f aca="true">SUM(INDIRECT($U93),INDIRECT($V93),INDIRECT($W93))</f>
        <v>3</v>
      </c>
      <c r="O93" s="17" t="n">
        <f aca="true">SUM(INDIRECT($X93),INDIRECT($Y93),INDIRECT($Z93))</f>
        <v>4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1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4</v>
      </c>
      <c r="M94" s="17" t="n">
        <f aca="false">N94-O94</f>
        <v>1</v>
      </c>
      <c r="N94" s="17" t="n">
        <f aca="true">SUM(INDIRECT($U94),INDIRECT($V94),INDIRECT($W94))</f>
        <v>1</v>
      </c>
      <c r="O94" s="17" t="n">
        <f aca="true">SUM(INDIRECT($X94),INDIRECT($Y94),INDIRECT($Z94))</f>
        <v>0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1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 t="n">
        <v>0</v>
      </c>
      <c r="D95" s="17" t="str">
        <f aca="false">APOSTAS!D95</f>
        <v>x</v>
      </c>
      <c r="E95" s="21" t="n">
        <v>0</v>
      </c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4</v>
      </c>
      <c r="M95" s="17" t="n">
        <f aca="false">N95-O95</f>
        <v>2</v>
      </c>
      <c r="N95" s="17" t="n">
        <f aca="true">SUM(INDIRECT($U95),INDIRECT($V95),INDIRECT($W95))</f>
        <v>4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1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1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 t="n">
        <v>0</v>
      </c>
      <c r="D96" s="17" t="str">
        <f aca="false">APOSTAS!D96</f>
        <v>x</v>
      </c>
      <c r="E96" s="21" t="n">
        <v>1</v>
      </c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-2</v>
      </c>
      <c r="N96" s="37" t="n">
        <f aca="true">SUM(INDIRECT($U96),INDIRECT($V96),INDIRECT($W96))</f>
        <v>0</v>
      </c>
      <c r="O96" s="37" t="n">
        <f aca="true">SUM(INDIRECT($X96),INDIRECT($Y96),INDIRECT($Z96))</f>
        <v>2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2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/>
      <c r="D97" s="17" t="str">
        <f aca="false">APOSTAS!D97</f>
        <v>x</v>
      </c>
      <c r="E97" s="21"/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/>
      <c r="D98" s="37" t="str">
        <f aca="false">APOSTAS!D98</f>
        <v>x</v>
      </c>
      <c r="E98" s="41"/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2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1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1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4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2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str">
        <f aca="false">SUM(Y87,Z87,AA87, AB87)</f>
        <v>1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2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0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str">
        <f aca="false">SUM(Y87,Z87,AA87, AB87)</f>
        <v>1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str">
        <f aca="false">SUM(Y95,Z95,AA95, AB95)</f>
        <v>2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4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2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4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2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4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2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1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2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4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2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4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2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4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2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1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21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1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4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2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1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1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1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23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2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2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4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2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33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1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1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1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4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2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1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1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40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4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2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str">
        <f aca="false">IF(AND(ISNUMBER(RESULTADOS!C30),ISNUMBER(RESULTADOS!E30),ISNUMBER(C30),ISNUMBER(E30),AND(Z30=1,OR(C30=RESULTADOS!C30,E30=RESULTADOS!E30))),1,0)</f>
        <v>1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2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str">
        <f aca="false">IF(AND(ISNUMBER(RESULTADOS!C72),ISNUMBER(RESULTADOS!E72),ISNUMBER(C72),ISNUMBER(E72),AND(Z72=1,OR(C72=RESULTADOS!C72,E72=RESULTADOS!E72))),1,0)</f>
        <v>1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1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2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42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4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2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2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43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1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4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2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4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2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2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str">
        <f aca="false">IF(AND(ISNUMBER(RESULTADOS!C71),ISNUMBER(RESULTADOS!E71),ISNUMBER(C71),ISNUMBER(E71),AND(Z71=1,OR(C71=RESULTADOS!C71,E71=RESULTADOS!E71))),1,0)</f>
        <v>1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2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2" t="str">
        <f aca="false">IF(AND(ISNUMBER(RESULTADOS!C80),ISNUMBER(RESULTADOS!E80),ISNUMBER(C80),ISNUMBER(E80),AND(Z80=1,OR(C80=RESULTADOS!C80,E80=RESULTADOS!E80))),1,0)</f>
        <v>1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2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2" t="str">
        <f aca="false">IF(AND(ISNUMBER(RESULTADOS!C87),ISNUMBER(RESULTADOS!E87),ISNUMBER(C87),ISNUMBER(E87),AND(Z87=1,OR(C87=RESULTADOS!C87,E87=RESULTADOS!E87))),1,0)</f>
        <v>1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2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2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2" t="str">
        <f aca="false">IF(AND(ISNUMBER(RESULTADOS!C96),ISNUMBER(RESULTADOS!E96),ISNUMBER(C96),ISNUMBER(E96),AND(Z96=1,OR(C96=RESULTADOS!C96,E96=RESULTADOS!E96))),1,0)</f>
        <v>1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