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<sst xmlns="http://schemas.openxmlformats.org/spreadsheetml/2006/main" count="12030" uniqueCount="258">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</sst>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str">
        <f aca="false">SUM(Y24,Z24,AA24, AB24)</f>
        <v>0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str">
        <f aca="false">SUM(Y86,Z86,AA86, AB86)</f>
        <v>0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C72" activeCellId="0" sqref="C72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5" t="str">
        <f aca="false">N21-O21</f>
        <v>-1</v>
      </c>
      <c r="N21" s="45" t="str">
        <f aca="false">SUM(C21,C23,C26)</f>
        <v>1</v>
      </c>
      <c r="O21" s="45" t="str">
        <f aca="false">SUM(E21,E23,E26)</f>
        <v>2</v>
      </c>
      <c r="P21" s="45" t="str">
        <f aca="false">SUM(IF(AND(ISNUMBER(C21),C21&gt;E21),1,0),IF(AND(ISNUMBER(C23),C23&gt;E23),1,0),IF(AND(ISNUMBER(C26),C26&gt;E26),1,0))</f>
        <v>0</v>
      </c>
      <c r="Q21" s="45" t="str">
        <f aca="false">SUM(IF(AND(ISNUMBER(C21),C21=E21),1,0),IF(AND(ISNUMBER(C23),C23=E23),1,0),IF(AND(ISNUMBER(C26),C26=E26),1,0))</f>
        <v>1</v>
      </c>
      <c r="R21" s="33" t="str">
        <f aca="false"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str">
        <f aca="false">N22-O22</f>
        <v>3</v>
      </c>
      <c r="N22" s="45" t="str">
        <f aca="false">SUM(E21,C24,C25)</f>
        <v>4</v>
      </c>
      <c r="O22" s="45" t="str">
        <f aca="false">SUM(C21,E24,E25)</f>
        <v>1</v>
      </c>
      <c r="P22" s="45" t="str">
        <f aca="false">SUM(IF(AND(ISNUMBER(E21),E21&gt;C21),1,0),IF(AND(ISNUMBER(C24),C24&gt;E24),1,0),IF(AND(ISNUMBER(C25),C25&gt;E25),1,0))</f>
        <v>1</v>
      </c>
      <c r="Q22" s="45" t="str">
        <f aca="false">SUM(IF(AND(ISNUMBER(E21),E21=C21),1,0),IF(AND(ISNUMBER(C24),C24=E24),1,0),IF(AND(ISNUMBER(C25),C25=E25),1,0))</f>
        <v>1</v>
      </c>
      <c r="R22" s="33" t="str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 t="n">
        <v>0</v>
      </c>
      <c r="D23" s="17" t="str">
        <f aca="false">APOSTAS!D23</f>
        <v>x</v>
      </c>
      <c r="E23" s="21" t="n">
        <v>1</v>
      </c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str">
        <f aca="false">N23-O23</f>
        <v>0</v>
      </c>
      <c r="N23" s="45" t="str">
        <f aca="false">SUM(C22,E23,E25)</f>
        <v>1</v>
      </c>
      <c r="O23" s="45" t="str">
        <f aca="false">SUM(E22,C23,C25)</f>
        <v>1</v>
      </c>
      <c r="P23" s="45" t="str">
        <f aca="false">SUM(IF(AND(ISNUMBER(C22),C22&gt;E22),1,0),IF(AND(ISNUMBER(E23),E23&gt;C23),1,0),IF(AND(ISNUMBER(E25),E25&gt;C25),1,0))</f>
        <v>1</v>
      </c>
      <c r="Q23" s="45" t="str">
        <f aca="false">SUM(IF(AND(ISNUMBER(C22),C22=E22),1,0),IF(AND(ISNUMBER(E23),E23=C23),1,0),IF(AND(ISNUMBER(E25),E25=C25),1,0))</f>
        <v>0</v>
      </c>
      <c r="R23" s="33" t="str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 t="n">
        <v>3</v>
      </c>
      <c r="D24" s="17" t="str">
        <f aca="false">APOSTAS!D24</f>
        <v>x</v>
      </c>
      <c r="E24" s="21" t="n">
        <v>0</v>
      </c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4</v>
      </c>
      <c r="M24" s="56" t="str">
        <f aca="false">N24-O24</f>
        <v>-2</v>
      </c>
      <c r="N24" s="56" t="str">
        <f aca="false">SUM(E22,E24,E26)</f>
        <v>1</v>
      </c>
      <c r="O24" s="56" t="str">
        <f aca="false">SUM(C22,C24,C26)</f>
        <v>3</v>
      </c>
      <c r="P24" s="56" t="str">
        <f aca="false">SUM(IF(AND(ISNUMBER(E22),E22&gt;C22),1,0),IF(AND(ISNUMBER(E24),E24&gt;C24),1,0),IF(AND(ISNUMBER(E26),E26&gt;C26),1,0))</f>
        <v>1</v>
      </c>
      <c r="Q24" s="56" t="str">
        <f aca="false">SUM(IF(AND(ISNUMBER(E22),E22=C22),1,0),IF(AND(ISNUMBER(E24),E24=C24),1,0),IF(AND(ISNUMBER(E26),E26=C26),1,0))</f>
        <v>0</v>
      </c>
      <c r="R24" s="42" t="str">
        <f aca="false"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5</v>
      </c>
      <c r="N30" s="17" t="n">
        <f aca="true">SUM(INDIRECT($U30),INDIRECT($V30),INDIRECT($W30))</f>
        <v>6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3</v>
      </c>
      <c r="M31" s="17" t="n">
        <f aca="false">N31-O31</f>
        <v>-2</v>
      </c>
      <c r="N31" s="17" t="n">
        <f aca="true">SUM(INDIRECT($U31),INDIRECT($V31),INDIRECT($W31))</f>
        <v>2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1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 t="n">
        <v>0</v>
      </c>
      <c r="D32" s="17" t="str">
        <f aca="false">APOSTAS!D32</f>
        <v>x</v>
      </c>
      <c r="E32" s="21" t="n">
        <v>1</v>
      </c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-3</v>
      </c>
      <c r="N32" s="37" t="n">
        <f aca="true">SUM(INDIRECT($U32),INDIRECT($V32),INDIRECT($W32))</f>
        <v>0</v>
      </c>
      <c r="O32" s="37" t="n">
        <f aca="true">SUM(INDIRECT($X32),INDIRECT($Y32),INDIRECT($Z32))</f>
        <v>3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2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7" t="n">
        <f aca="false">N37-O37</f>
        <v>7</v>
      </c>
      <c r="N37" s="17" t="n">
        <f aca="true">SUM(INDIRECT($U37),INDIRECT($V37),INDIRECT($W37))</f>
        <v>9</v>
      </c>
      <c r="O37" s="17" t="n">
        <f aca="true">SUM(INDIRECT($X37),INDIRECT($Y37),INDIRECT($Z37))</f>
        <v>2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2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0</v>
      </c>
      <c r="N38" s="17" t="n">
        <f aca="true">SUM(INDIRECT($U38),INDIRECT($V38),INDIRECT($W38))</f>
        <v>2</v>
      </c>
      <c r="O38" s="17" t="n">
        <f aca="true">SUM(INDIRECT($X38),INDIRECT($Y38),INDIRECT($Z38))</f>
        <v>2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1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 t="n">
        <v>2</v>
      </c>
      <c r="D39" s="17" t="str">
        <f aca="false">APOSTAS!D39</f>
        <v>x</v>
      </c>
      <c r="E39" s="21" t="n">
        <v>1</v>
      </c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1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1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 t="n">
        <v>0</v>
      </c>
      <c r="D40" s="17" t="str">
        <f aca="false">APOSTAS!D40</f>
        <v>x</v>
      </c>
      <c r="E40" s="21" t="n">
        <v>0</v>
      </c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1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1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7" t="n">
        <f aca="false">N45-O45</f>
        <v>4</v>
      </c>
      <c r="N45" s="17" t="n">
        <f aca="true">SUM(INDIRECT($U45),INDIRECT($V45),INDIRECT($W45))</f>
        <v>7</v>
      </c>
      <c r="O45" s="17" t="n">
        <f aca="true">SUM(INDIRECT($X45),INDIRECT($Y45),INDIRECT($Z45))</f>
        <v>3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1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4</v>
      </c>
      <c r="M46" s="17" t="n">
        <f aca="false">N46-O46</f>
        <v>4</v>
      </c>
      <c r="N46" s="17" t="n">
        <f aca="true">SUM(INDIRECT($U46),INDIRECT($V46),INDIRECT($W46))</f>
        <v>6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1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 t="n">
        <v>5</v>
      </c>
      <c r="D47" s="17" t="str">
        <f aca="false">APOSTAS!D47</f>
        <v>x</v>
      </c>
      <c r="E47" s="21" t="n">
        <v>1</v>
      </c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0</v>
      </c>
      <c r="N47" s="17" t="n">
        <f aca="true">SUM(INDIRECT($U47),INDIRECT($V47),INDIRECT($W47))</f>
        <v>6</v>
      </c>
      <c r="O47" s="17" t="n">
        <f aca="true">SUM(INDIRECT($X47),INDIRECT($Y47),INDIRECT($Z47))</f>
        <v>6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1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 t="n">
        <v>0</v>
      </c>
      <c r="D48" s="17" t="str">
        <f aca="false">APOSTAS!D48</f>
        <v>x</v>
      </c>
      <c r="E48" s="21" t="n">
        <v>4</v>
      </c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-8</v>
      </c>
      <c r="N48" s="37" t="n">
        <f aca="true">SUM(INDIRECT($U48),INDIRECT($V48),INDIRECT($W48))</f>
        <v>1</v>
      </c>
      <c r="O48" s="37" t="n">
        <f aca="true">SUM(INDIRECT($X48),INDIRECT($Y48),INDIRECT($Z48))</f>
        <v>9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2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2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4</v>
      </c>
      <c r="M54" s="17" t="n">
        <f aca="false">N54-O54</f>
        <v>2</v>
      </c>
      <c r="N54" s="17" t="n">
        <f aca="true">SUM(INDIRECT($U54),INDIRECT($V54),INDIRECT($W54))</f>
        <v>4</v>
      </c>
      <c r="O54" s="17" t="n">
        <f aca="true">SUM(INDIRECT($X54),INDIRECT($Y54),INDIRECT($Z54))</f>
        <v>2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1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 t="n">
        <v>0</v>
      </c>
      <c r="D55" s="17" t="str">
        <f aca="false">APOSTAS!D55</f>
        <v>x</v>
      </c>
      <c r="E55" s="21" t="n">
        <v>0</v>
      </c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2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2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 t="n">
        <v>1</v>
      </c>
      <c r="D56" s="17" t="str">
        <f aca="false">APOSTAS!D56</f>
        <v>x</v>
      </c>
      <c r="E56" s="21" t="n">
        <v>3</v>
      </c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-2</v>
      </c>
      <c r="N56" s="37" t="n">
        <f aca="true">SUM(INDIRECT($U56),INDIRECT($V56),INDIRECT($W56))</f>
        <v>3</v>
      </c>
      <c r="O56" s="37" t="n">
        <f aca="true">SUM(INDIRECT($X56),INDIRECT($Y56),INDIRECT($Z56))</f>
        <v>5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1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-4</v>
      </c>
      <c r="N61" s="17" t="n">
        <f aca="true">SUM(INDIRECT($U61),INDIRECT($V61),INDIRECT($W61))</f>
        <v>1</v>
      </c>
      <c r="O61" s="17" t="n">
        <f aca="true">SUM(INDIRECT($X61),INDIRECT($Y61),INDIRECT($Z61))</f>
        <v>5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2</v>
      </c>
      <c r="M62" s="17" t="n">
        <f aca="false">N62-O62</f>
        <v>0</v>
      </c>
      <c r="N62" s="17" t="n">
        <f aca="true">SUM(INDIRECT($U62),INDIRECT($V62),INDIRECT($W62))</f>
        <v>2</v>
      </c>
      <c r="O62" s="17" t="n">
        <f aca="true">SUM(INDIRECT($X62),INDIRECT($Y62),INDIRECT($Z62))</f>
        <v>2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2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 t="n">
        <v>4</v>
      </c>
      <c r="D63" s="17" t="str">
        <f aca="false">APOSTAS!D63</f>
        <v>x</v>
      </c>
      <c r="E63" s="21" t="n">
        <v>0</v>
      </c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4</v>
      </c>
      <c r="M63" s="17" t="n">
        <f aca="false">N63-O63</f>
        <v>4</v>
      </c>
      <c r="N63" s="17" t="n">
        <f aca="true">SUM(INDIRECT($U63),INDIRECT($V63),INDIRECT($W63))</f>
        <v>4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1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 t="n">
        <v>2</v>
      </c>
      <c r="D64" s="17" t="str">
        <f aca="false">APOSTAS!D64</f>
        <v>x</v>
      </c>
      <c r="E64" s="21" t="n">
        <v>2</v>
      </c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2</v>
      </c>
      <c r="M64" s="37" t="n">
        <f aca="false">N64-O64</f>
        <v>0</v>
      </c>
      <c r="N64" s="37" t="n">
        <f aca="true">SUM(INDIRECT($U64),INDIRECT($V64),INDIRECT($W64))</f>
        <v>3</v>
      </c>
      <c r="O64" s="37" t="n">
        <f aca="true">SUM(INDIRECT($X64),INDIRECT($Y64),INDIRECT($Z64))</f>
        <v>3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2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7" t="n">
        <f aca="false">N69-O69</f>
        <v>5</v>
      </c>
      <c r="N69" s="17" t="n">
        <f aca="true">SUM(INDIRECT($U69),INDIRECT($V69),INDIRECT($W69))</f>
        <v>6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2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-6</v>
      </c>
      <c r="N70" s="17" t="n">
        <f aca="true">SUM(INDIRECT($U70),INDIRECT($V70),INDIRECT($W70))</f>
        <v>1</v>
      </c>
      <c r="O70" s="17" t="n">
        <f aca="true">SUM(INDIRECT($X70),INDIRECT($Y70),INDIRECT($Z70))</f>
        <v>7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2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 t="n">
        <v>3</v>
      </c>
      <c r="D71" s="17" t="str">
        <f aca="false">APOSTAS!D71</f>
        <v>x</v>
      </c>
      <c r="E71" s="21" t="n">
        <v>0</v>
      </c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3</v>
      </c>
      <c r="M71" s="17" t="n">
        <f aca="false">N71-O71</f>
        <v>3</v>
      </c>
      <c r="N71" s="17" t="n">
        <f aca="true">SUM(INDIRECT($U71),INDIRECT($V71),INDIRECT($W71))</f>
        <v>4</v>
      </c>
      <c r="O71" s="17" t="n">
        <f aca="true">SUM(INDIRECT($X71),INDIRECT($Y71),INDIRECT($Z71))</f>
        <v>1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1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/>
      <c r="D72" s="17" t="str">
        <f aca="false">APOSTAS!D72</f>
        <v>x</v>
      </c>
      <c r="E72" s="21"/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-2</v>
      </c>
      <c r="N72" s="37" t="n">
        <f aca="true">SUM(INDIRECT($U72),INDIRECT($V72),INDIRECT($W72))</f>
        <v>1</v>
      </c>
      <c r="O72" s="37" t="n">
        <f aca="true">SUM(INDIRECT($X72),INDIRECT($Y72),INDIRECT($Z72))</f>
        <v>3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1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7" t="n">
        <f aca="false">N77-O77</f>
        <v>5</v>
      </c>
      <c r="N77" s="17" t="n">
        <f aca="true">SUM(INDIRECT($U77),INDIRECT($V77),INDIRECT($W77))</f>
        <v>5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2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 t="n">
        <v>2</v>
      </c>
      <c r="D79" s="17" t="str">
        <f aca="false">APOSTAS!D79</f>
        <v>x</v>
      </c>
      <c r="E79" s="21" t="n">
        <v>0</v>
      </c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0</v>
      </c>
      <c r="N80" s="37" t="n">
        <f aca="true">SUM(INDIRECT($U80),INDIRECT($V80),INDIRECT($W80))</f>
        <v>3</v>
      </c>
      <c r="O80" s="37" t="n">
        <f aca="true">SUM(INDIRECT($X80),INDIRECT($Y80),INDIRECT($Z80))</f>
        <v>3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1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1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1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4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2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0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4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2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4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2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4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2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1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1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4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2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2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4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2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str">
        <f aca="false">IF(AND(ISNUMBER(RESULTADOS!C30),ISNUMBER(RESULTADOS!E30),ISNUMBER(C30),ISNUMBER(E30),AND(Z30=1,OR(C30=RESULTADOS!C30,E30=RESULTADOS!E30))),1,0)</f>
        <v>1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42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4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2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2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2026-06-22T21:49:53Z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