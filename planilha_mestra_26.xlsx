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<sst xmlns="http://schemas.openxmlformats.org/spreadsheetml/2006/main" count="12030" uniqueCount="258">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</sst>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1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0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3</v>
      </c>
      <c r="M6" s="19" t="str">
        <f t="shared" si="3"/>
        <v>2</v>
      </c>
      <c r="N6" s="19" t="str">
        <f t="shared" si="4"/>
        <v>2</v>
      </c>
      <c r="O6" s="19" t="str">
        <f t="shared" si="5"/>
        <v>0</v>
      </c>
      <c r="P6" s="19" t="str">
        <f t="shared" si="6"/>
        <v>1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/>
      <c r="D7" s="19" t="str">
        <f>APOSTAS!D7</f>
        <v>x</v>
      </c>
      <c r="E7" s="23"/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0</v>
      </c>
      <c r="M7" s="19" t="str">
        <f t="shared" si="3"/>
        <v>-1</v>
      </c>
      <c r="N7" s="19" t="str">
        <f t="shared" si="4"/>
        <v>1</v>
      </c>
      <c r="O7" s="19" t="str">
        <f t="shared" si="5"/>
        <v>2</v>
      </c>
      <c r="P7" s="19" t="str">
        <f t="shared" si="6"/>
        <v>0</v>
      </c>
      <c r="Q7" s="19" t="str">
        <f t="shared" si="7"/>
        <v>0</v>
      </c>
      <c r="R7" s="36" t="str">
        <f t="shared" si="8"/>
        <v>1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/>
      <c r="D8" s="19" t="str">
        <f>APOSTAS!D8</f>
        <v>x</v>
      </c>
      <c r="E8" s="23"/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0</v>
      </c>
      <c r="M8" s="38" t="str">
        <f t="shared" si="3"/>
        <v>-2</v>
      </c>
      <c r="N8" s="38" t="str">
        <f t="shared" si="4"/>
        <v>0</v>
      </c>
      <c r="O8" s="38" t="str">
        <f t="shared" si="5"/>
        <v>2</v>
      </c>
      <c r="P8" s="38" t="str">
        <f t="shared" si="6"/>
        <v>0</v>
      </c>
      <c r="Q8" s="38" t="str">
        <f t="shared" si="7"/>
        <v>0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/>
      <c r="D9" s="19" t="str">
        <f>APOSTAS!D9</f>
        <v>x</v>
      </c>
      <c r="E9" s="23"/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/>
      <c r="D10" s="38" t="str">
        <f>APOSTAS!D10</f>
        <v>x</v>
      </c>
      <c r="E10" s="42"/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9" t="str">
        <f t="shared" ref="M13:M16" si="14">N13-O13</f>
        <v>0</v>
      </c>
      <c r="N13" s="19" t="str">
        <f t="shared" ref="N13:N16" si="15">SUM(INDIRECT($U13),INDIRECT($V13),INDIRECT($W13))</f>
        <v>1</v>
      </c>
      <c r="O13" s="19" t="str">
        <f t="shared" ref="O13:O16" si="16">SUM(INDIRECT($X13),INDIRECT($Y13),INDIRECT($Z13))</f>
        <v>1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0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0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1</v>
      </c>
      <c r="M14" s="19" t="str">
        <f t="shared" si="14"/>
        <v>0</v>
      </c>
      <c r="N14" s="19" t="str">
        <f t="shared" si="15"/>
        <v>1</v>
      </c>
      <c r="O14" s="19" t="str">
        <f t="shared" si="16"/>
        <v>1</v>
      </c>
      <c r="P14" s="19" t="str">
        <f t="shared" si="17"/>
        <v>0</v>
      </c>
      <c r="Q14" s="19" t="str">
        <f t="shared" si="18"/>
        <v>1</v>
      </c>
      <c r="R14" s="36" t="str">
        <f t="shared" si="19"/>
        <v>0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/>
      <c r="D15" s="19" t="str">
        <f>APOSTAS!D15</f>
        <v>x</v>
      </c>
      <c r="E15" s="23"/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0</v>
      </c>
      <c r="N15" s="19" t="str">
        <f t="shared" si="15"/>
        <v>1</v>
      </c>
      <c r="O15" s="19" t="str">
        <f t="shared" si="16"/>
        <v>1</v>
      </c>
      <c r="P15" s="19" t="str">
        <f t="shared" si="17"/>
        <v>0</v>
      </c>
      <c r="Q15" s="19" t="str">
        <f t="shared" si="18"/>
        <v>1</v>
      </c>
      <c r="R15" s="36" t="str">
        <f t="shared" si="19"/>
        <v>0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/>
      <c r="D16" s="19" t="str">
        <f>APOSTAS!D16</f>
        <v>x</v>
      </c>
      <c r="E16" s="23"/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1</v>
      </c>
      <c r="M16" s="38" t="str">
        <f t="shared" si="14"/>
        <v>0</v>
      </c>
      <c r="N16" s="38" t="str">
        <f t="shared" si="15"/>
        <v>1</v>
      </c>
      <c r="O16" s="38" t="str">
        <f t="shared" si="16"/>
        <v>1</v>
      </c>
      <c r="P16" s="38" t="str">
        <f t="shared" si="17"/>
        <v>0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/>
      <c r="D17" s="19" t="str">
        <f>APOSTAS!D17</f>
        <v>x</v>
      </c>
      <c r="E17" s="23"/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/>
      <c r="D18" s="38" t="str">
        <f>APOSTAS!D18</f>
        <v>x</v>
      </c>
      <c r="E18" s="42"/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6" t="str">
        <f t="shared" ref="M21:M24" si="25">N21-O21</f>
        <v>0</v>
      </c>
      <c r="N21" s="46" t="str">
        <f>SUM(C21,C23,C26)</f>
        <v>1</v>
      </c>
      <c r="O21" s="46" t="str">
        <f>SUM(E21,E23,E26)</f>
        <v>1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/>
      <c r="D22" s="19" t="str">
        <f>APOSTAS!D22</f>
        <v>x</v>
      </c>
      <c r="E22" s="23"/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0</v>
      </c>
      <c r="M22" s="46" t="str">
        <f t="shared" si="25"/>
        <v>0</v>
      </c>
      <c r="N22" s="46" t="str">
        <f>SUM(E21,C24,C25)</f>
        <v>1</v>
      </c>
      <c r="O22" s="46" t="str">
        <f>SUM(C21,E24,E25)</f>
        <v>1</v>
      </c>
      <c r="P22" s="46" t="str">
        <f>SUM(IF(AND(ISNUMBER(E21),E21&gt;C21),1,0),IF(AND(ISNUMBER(C24),C24&gt;E24),1,0),IF(AND(ISNUMBER(C25),C25&gt;E25),1,0))</f>
        <v>0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/>
      <c r="D23" s="19" t="str">
        <f>APOSTAS!D23</f>
        <v>x</v>
      </c>
      <c r="E23" s="23"/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0</v>
      </c>
      <c r="N23" s="46" t="str">
        <f>SUM(C22,E23,E25)</f>
        <v>0</v>
      </c>
      <c r="O23" s="46" t="str">
        <f>SUM(E22,C23,C25)</f>
        <v>0</v>
      </c>
      <c r="P23" s="46" t="str">
        <f>SUM(IF(AND(ISNUMBER(C22),C22&gt;E22),1,0),IF(AND(ISNUMBER(E23),E23&gt;C23),1,0),IF(AND(ISNUMBER(E25),E25&gt;C25),1,0))</f>
        <v>0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0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/>
      <c r="D24" s="19" t="str">
        <f>APOSTAS!D24</f>
        <v>x</v>
      </c>
      <c r="E24" s="23"/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1</v>
      </c>
      <c r="M24" s="56" t="str">
        <f t="shared" si="25"/>
        <v>0</v>
      </c>
      <c r="N24" s="56" t="str">
        <f>SUM(E22,E24,E26)</f>
        <v>0</v>
      </c>
      <c r="O24" s="56" t="str">
        <f>SUM(C22,C24,C26)</f>
        <v>0</v>
      </c>
      <c r="P24" s="56" t="str">
        <f>SUM(IF(AND(ISNUMBER(E22),E22&gt;C22),1,0),IF(AND(ISNUMBER(E24),E24&gt;C24),1,0),IF(AND(ISNUMBER(E26),E26&gt;C26),1,0))</f>
        <v>0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/>
      <c r="D25" s="19" t="str">
        <f>APOSTAS!D25</f>
        <v>x</v>
      </c>
      <c r="E25" s="23"/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/>
      <c r="D26" s="38" t="str">
        <f>APOSTAS!D26</f>
        <v>x</v>
      </c>
      <c r="E26" s="42"/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0</v>
      </c>
      <c r="M29" s="19" t="str">
        <f t="shared" ref="M29:M32" si="31">N29-O29</f>
        <v>0</v>
      </c>
      <c r="N29" s="19" t="str">
        <f t="shared" ref="N29:N32" si="32">SUM(INDIRECT($U29),INDIRECT($V29),INDIRECT($W29))</f>
        <v>0</v>
      </c>
      <c r="O29" s="19" t="str">
        <f t="shared" ref="O29:O32" si="33">SUM(INDIRECT($X29),INDIRECT($Y29),INDIRECT($Z29))</f>
        <v>0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0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/>
      <c r="D30" s="19" t="str">
        <f>APOSTAS!D30</f>
        <v>x</v>
      </c>
      <c r="E30" s="23"/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3</v>
      </c>
      <c r="M30" s="19" t="str">
        <f t="shared" si="31"/>
        <v>3</v>
      </c>
      <c r="N30" s="19" t="str">
        <f t="shared" si="32"/>
        <v>4</v>
      </c>
      <c r="O30" s="19" t="str">
        <f t="shared" si="33"/>
        <v>1</v>
      </c>
      <c r="P30" s="19" t="str">
        <f t="shared" si="34"/>
        <v>1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/>
      <c r="D31" s="19" t="str">
        <f>APOSTAS!D31</f>
        <v>x</v>
      </c>
      <c r="E31" s="23"/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0</v>
      </c>
      <c r="M31" s="19" t="str">
        <f t="shared" si="31"/>
        <v>-3</v>
      </c>
      <c r="N31" s="19" t="str">
        <f t="shared" si="32"/>
        <v>1</v>
      </c>
      <c r="O31" s="19" t="str">
        <f t="shared" si="33"/>
        <v>4</v>
      </c>
      <c r="P31" s="19" t="str">
        <f t="shared" si="34"/>
        <v>0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/>
      <c r="D32" s="19" t="str">
        <f>APOSTAS!D32</f>
        <v>x</v>
      </c>
      <c r="E32" s="23"/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0</v>
      </c>
      <c r="N32" s="38" t="str">
        <f t="shared" si="32"/>
        <v>0</v>
      </c>
      <c r="O32" s="38" t="str">
        <f t="shared" si="33"/>
        <v>0</v>
      </c>
      <c r="P32" s="38" t="str">
        <f t="shared" si="34"/>
        <v>0</v>
      </c>
      <c r="Q32" s="38" t="str">
        <f t="shared" si="35"/>
        <v>0</v>
      </c>
      <c r="R32" s="39" t="str">
        <f t="shared" si="36"/>
        <v>0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/>
      <c r="D37" s="19" t="str">
        <f>APOSTAS!D37</f>
        <v>x</v>
      </c>
      <c r="E37" s="23"/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0</v>
      </c>
      <c r="M37" s="19" t="str">
        <f t="shared" ref="M37:M40" si="42">N37-O37</f>
        <v>0</v>
      </c>
      <c r="N37" s="19" t="str">
        <f t="shared" ref="N37:N40" si="43">SUM(INDIRECT($U37),INDIRECT($V37),INDIRECT($W37))</f>
        <v>0</v>
      </c>
      <c r="O37" s="19" t="str">
        <f t="shared" ref="O37:O40" si="44">SUM(INDIRECT($X37),INDIRECT($Y37),INDIRECT($Z37))</f>
        <v>0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0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/>
      <c r="D38" s="19" t="str">
        <f>APOSTAS!D38</f>
        <v>x</v>
      </c>
      <c r="E38" s="23"/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0</v>
      </c>
      <c r="M38" s="19" t="str">
        <f t="shared" si="42"/>
        <v>0</v>
      </c>
      <c r="N38" s="19" t="str">
        <f t="shared" si="43"/>
        <v>0</v>
      </c>
      <c r="O38" s="19" t="str">
        <f t="shared" si="44"/>
        <v>0</v>
      </c>
      <c r="P38" s="19" t="str">
        <f t="shared" si="45"/>
        <v>0</v>
      </c>
      <c r="Q38" s="19" t="str">
        <f t="shared" si="46"/>
        <v>0</v>
      </c>
      <c r="R38" s="36" t="str">
        <f t="shared" si="47"/>
        <v>0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/>
      <c r="D39" s="19" t="str">
        <f>APOSTAS!D39</f>
        <v>x</v>
      </c>
      <c r="E39" s="23"/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0</v>
      </c>
      <c r="M39" s="19" t="str">
        <f t="shared" si="42"/>
        <v>0</v>
      </c>
      <c r="N39" s="19" t="str">
        <f t="shared" si="43"/>
        <v>0</v>
      </c>
      <c r="O39" s="19" t="str">
        <f t="shared" si="44"/>
        <v>0</v>
      </c>
      <c r="P39" s="19" t="str">
        <f t="shared" si="45"/>
        <v>0</v>
      </c>
      <c r="Q39" s="19" t="str">
        <f t="shared" si="46"/>
        <v>0</v>
      </c>
      <c r="R39" s="36" t="str">
        <f t="shared" si="47"/>
        <v>0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/>
      <c r="D40" s="19" t="str">
        <f>APOSTAS!D40</f>
        <v>x</v>
      </c>
      <c r="E40" s="23"/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0</v>
      </c>
      <c r="M40" s="38" t="str">
        <f t="shared" si="42"/>
        <v>0</v>
      </c>
      <c r="N40" s="38" t="str">
        <f t="shared" si="43"/>
        <v>0</v>
      </c>
      <c r="O40" s="38" t="str">
        <f t="shared" si="44"/>
        <v>0</v>
      </c>
      <c r="P40" s="38" t="str">
        <f t="shared" si="45"/>
        <v>0</v>
      </c>
      <c r="Q40" s="38" t="str">
        <f t="shared" si="46"/>
        <v>0</v>
      </c>
      <c r="R40" s="39" t="str">
        <f t="shared" si="47"/>
        <v>0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/>
      <c r="D41" s="19" t="str">
        <f>APOSTAS!D41</f>
        <v>x</v>
      </c>
      <c r="E41" s="23"/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/>
      <c r="D42" s="38" t="str">
        <f>APOSTAS!D42</f>
        <v>x</v>
      </c>
      <c r="E42" s="42"/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/>
      <c r="D45" s="19" t="str">
        <f>APOSTAS!D45</f>
        <v>x</v>
      </c>
      <c r="E45" s="23"/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0</v>
      </c>
      <c r="M45" s="19" t="str">
        <f t="shared" ref="M45:M48" si="53">N45-O45</f>
        <v>0</v>
      </c>
      <c r="N45" s="19" t="str">
        <f t="shared" ref="N45:N48" si="54">SUM(INDIRECT($U45),INDIRECT($V45),INDIRECT($W45))</f>
        <v>0</v>
      </c>
      <c r="O45" s="19" t="str">
        <f t="shared" ref="O45:O48" si="55">SUM(INDIRECT($X45),INDIRECT($Y45),INDIRECT($Z45))</f>
        <v>0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0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0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/>
      <c r="D46" s="19" t="str">
        <f>APOSTAS!D46</f>
        <v>x</v>
      </c>
      <c r="E46" s="23"/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0</v>
      </c>
      <c r="M46" s="19" t="str">
        <f t="shared" si="53"/>
        <v>0</v>
      </c>
      <c r="N46" s="19" t="str">
        <f t="shared" si="54"/>
        <v>0</v>
      </c>
      <c r="O46" s="19" t="str">
        <f t="shared" si="55"/>
        <v>0</v>
      </c>
      <c r="P46" s="19" t="str">
        <f t="shared" si="56"/>
        <v>0</v>
      </c>
      <c r="Q46" s="19" t="str">
        <f t="shared" si="57"/>
        <v>0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/>
      <c r="D47" s="19" t="str">
        <f>APOSTAS!D47</f>
        <v>x</v>
      </c>
      <c r="E47" s="23"/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0</v>
      </c>
      <c r="M47" s="19" t="str">
        <f t="shared" si="53"/>
        <v>0</v>
      </c>
      <c r="N47" s="19" t="str">
        <f t="shared" si="54"/>
        <v>0</v>
      </c>
      <c r="O47" s="19" t="str">
        <f t="shared" si="55"/>
        <v>0</v>
      </c>
      <c r="P47" s="19" t="str">
        <f t="shared" si="56"/>
        <v>0</v>
      </c>
      <c r="Q47" s="19" t="str">
        <f t="shared" si="57"/>
        <v>0</v>
      </c>
      <c r="R47" s="36" t="str">
        <f t="shared" si="58"/>
        <v>0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/>
      <c r="D48" s="19" t="str">
        <f>APOSTAS!D48</f>
        <v>x</v>
      </c>
      <c r="E48" s="23"/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0</v>
      </c>
      <c r="N48" s="38" t="str">
        <f t="shared" si="54"/>
        <v>0</v>
      </c>
      <c r="O48" s="38" t="str">
        <f t="shared" si="55"/>
        <v>0</v>
      </c>
      <c r="P48" s="38" t="str">
        <f t="shared" si="56"/>
        <v>0</v>
      </c>
      <c r="Q48" s="38" t="str">
        <f t="shared" si="57"/>
        <v>0</v>
      </c>
      <c r="R48" s="39" t="str">
        <f t="shared" si="58"/>
        <v>0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22"/>
      <c r="D49" s="19" t="str">
        <f>APOSTAS!D49</f>
        <v>x</v>
      </c>
      <c r="E49" s="23"/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41"/>
      <c r="D50" s="38" t="str">
        <f>APOSTAS!D50</f>
        <v>x</v>
      </c>
      <c r="E50" s="42"/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/>
      <c r="D53" s="19" t="str">
        <f>APOSTAS!D53</f>
        <v>x</v>
      </c>
      <c r="E53" s="23"/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0</v>
      </c>
      <c r="M53" s="19" t="str">
        <f t="shared" ref="M53:M56" si="64">N53-O53</f>
        <v>0</v>
      </c>
      <c r="N53" s="19" t="str">
        <f t="shared" ref="N53:N56" si="65">SUM(INDIRECT($U53),INDIRECT($V53),INDIRECT($W53))</f>
        <v>0</v>
      </c>
      <c r="O53" s="19" t="str">
        <f t="shared" ref="O53:O56" si="66">SUM(INDIRECT($X53),INDIRECT($Y53),INDIRECT($Z53))</f>
        <v>0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0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/>
      <c r="D54" s="19" t="str">
        <f>APOSTAS!D54</f>
        <v>x</v>
      </c>
      <c r="E54" s="23"/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0</v>
      </c>
      <c r="M54" s="19" t="str">
        <f t="shared" si="64"/>
        <v>0</v>
      </c>
      <c r="N54" s="19" t="str">
        <f t="shared" si="65"/>
        <v>0</v>
      </c>
      <c r="O54" s="19" t="str">
        <f t="shared" si="66"/>
        <v>0</v>
      </c>
      <c r="P54" s="19" t="str">
        <f t="shared" si="67"/>
        <v>0</v>
      </c>
      <c r="Q54" s="19" t="str">
        <f t="shared" si="68"/>
        <v>0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/>
      <c r="D55" s="19" t="str">
        <f>APOSTAS!D55</f>
        <v>x</v>
      </c>
      <c r="E55" s="23"/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0</v>
      </c>
      <c r="M55" s="19" t="str">
        <f t="shared" si="64"/>
        <v>0</v>
      </c>
      <c r="N55" s="19" t="str">
        <f t="shared" si="65"/>
        <v>0</v>
      </c>
      <c r="O55" s="19" t="str">
        <f t="shared" si="66"/>
        <v>0</v>
      </c>
      <c r="P55" s="19" t="str">
        <f t="shared" si="67"/>
        <v>0</v>
      </c>
      <c r="Q55" s="19" t="str">
        <f t="shared" si="68"/>
        <v>0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/>
      <c r="D56" s="19" t="str">
        <f>APOSTAS!D56</f>
        <v>x</v>
      </c>
      <c r="E56" s="23"/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0</v>
      </c>
      <c r="M56" s="38" t="str">
        <f t="shared" si="64"/>
        <v>0</v>
      </c>
      <c r="N56" s="38" t="str">
        <f t="shared" si="65"/>
        <v>0</v>
      </c>
      <c r="O56" s="38" t="str">
        <f t="shared" si="66"/>
        <v>0</v>
      </c>
      <c r="P56" s="38" t="str">
        <f t="shared" si="67"/>
        <v>0</v>
      </c>
      <c r="Q56" s="38" t="str">
        <f t="shared" si="68"/>
        <v>0</v>
      </c>
      <c r="R56" s="39" t="str">
        <f t="shared" si="69"/>
        <v>0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/>
      <c r="D61" s="19" t="str">
        <f>APOSTAS!D61</f>
        <v>x</v>
      </c>
      <c r="E61" s="23"/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0</v>
      </c>
      <c r="M61" s="19" t="str">
        <f t="shared" ref="M61:M64" si="75">N61-O61</f>
        <v>0</v>
      </c>
      <c r="N61" s="19" t="str">
        <f t="shared" ref="N61:N64" si="76">SUM(INDIRECT($U61),INDIRECT($V61),INDIRECT($W61))</f>
        <v>0</v>
      </c>
      <c r="O61" s="19" t="str">
        <f t="shared" ref="O61:O64" si="77">SUM(INDIRECT($X61),INDIRECT($Y61),INDIRECT($Z61))</f>
        <v>0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0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/>
      <c r="D62" s="19" t="str">
        <f>APOSTAS!D62</f>
        <v>x</v>
      </c>
      <c r="E62" s="23"/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0</v>
      </c>
      <c r="M62" s="19" t="str">
        <f t="shared" si="75"/>
        <v>0</v>
      </c>
      <c r="N62" s="19" t="str">
        <f t="shared" si="76"/>
        <v>0</v>
      </c>
      <c r="O62" s="19" t="str">
        <f t="shared" si="77"/>
        <v>0</v>
      </c>
      <c r="P62" s="19" t="str">
        <f t="shared" si="78"/>
        <v>0</v>
      </c>
      <c r="Q62" s="19" t="str">
        <f t="shared" si="79"/>
        <v>0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/>
      <c r="D63" s="19" t="str">
        <f>APOSTAS!D63</f>
        <v>x</v>
      </c>
      <c r="E63" s="23"/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0</v>
      </c>
      <c r="M63" s="19" t="str">
        <f t="shared" si="75"/>
        <v>0</v>
      </c>
      <c r="N63" s="19" t="str">
        <f t="shared" si="76"/>
        <v>0</v>
      </c>
      <c r="O63" s="19" t="str">
        <f t="shared" si="77"/>
        <v>0</v>
      </c>
      <c r="P63" s="19" t="str">
        <f t="shared" si="78"/>
        <v>0</v>
      </c>
      <c r="Q63" s="19" t="str">
        <f t="shared" si="79"/>
        <v>0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/>
      <c r="D64" s="19" t="str">
        <f>APOSTAS!D64</f>
        <v>x</v>
      </c>
      <c r="E64" s="23"/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0</v>
      </c>
      <c r="M64" s="38" t="str">
        <f t="shared" si="75"/>
        <v>0</v>
      </c>
      <c r="N64" s="38" t="str">
        <f t="shared" si="76"/>
        <v>0</v>
      </c>
      <c r="O64" s="38" t="str">
        <f t="shared" si="77"/>
        <v>0</v>
      </c>
      <c r="P64" s="38" t="str">
        <f t="shared" si="78"/>
        <v>0</v>
      </c>
      <c r="Q64" s="38" t="str">
        <f t="shared" si="79"/>
        <v>0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/>
      <c r="D69" s="19" t="str">
        <f>APOSTAS!D69</f>
        <v>x</v>
      </c>
      <c r="E69" s="23"/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0</v>
      </c>
      <c r="M69" s="19" t="str">
        <f t="shared" ref="M69:M72" si="86">N69-O69</f>
        <v>0</v>
      </c>
      <c r="N69" s="19" t="str">
        <f t="shared" ref="N69:N72" si="87">SUM(INDIRECT($U69),INDIRECT($V69),INDIRECT($W69))</f>
        <v>0</v>
      </c>
      <c r="O69" s="19" t="str">
        <f t="shared" ref="O69:O72" si="88">SUM(INDIRECT($X69),INDIRECT($Y69),INDIRECT($Z69))</f>
        <v>0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0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/>
      <c r="D70" s="19" t="str">
        <f>APOSTAS!D70</f>
        <v>x</v>
      </c>
      <c r="E70" s="23"/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0</v>
      </c>
      <c r="N70" s="19" t="str">
        <f t="shared" si="87"/>
        <v>0</v>
      </c>
      <c r="O70" s="19" t="str">
        <f t="shared" si="88"/>
        <v>0</v>
      </c>
      <c r="P70" s="19" t="str">
        <f t="shared" si="89"/>
        <v>0</v>
      </c>
      <c r="Q70" s="19" t="str">
        <f t="shared" si="90"/>
        <v>0</v>
      </c>
      <c r="R70" s="36" t="str">
        <f t="shared" si="91"/>
        <v>0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/>
      <c r="D71" s="19" t="str">
        <f>APOSTAS!D71</f>
        <v>x</v>
      </c>
      <c r="E71" s="23"/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0</v>
      </c>
      <c r="M71" s="19" t="str">
        <f t="shared" si="86"/>
        <v>0</v>
      </c>
      <c r="N71" s="19" t="str">
        <f t="shared" si="87"/>
        <v>0</v>
      </c>
      <c r="O71" s="19" t="str">
        <f t="shared" si="88"/>
        <v>0</v>
      </c>
      <c r="P71" s="19" t="str">
        <f t="shared" si="89"/>
        <v>0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/>
      <c r="D72" s="19" t="str">
        <f>APOSTAS!D72</f>
        <v>x</v>
      </c>
      <c r="E72" s="23"/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0</v>
      </c>
      <c r="N72" s="38" t="str">
        <f t="shared" si="87"/>
        <v>0</v>
      </c>
      <c r="O72" s="38" t="str">
        <f t="shared" si="88"/>
        <v>0</v>
      </c>
      <c r="P72" s="38" t="str">
        <f t="shared" si="89"/>
        <v>0</v>
      </c>
      <c r="Q72" s="38" t="str">
        <f t="shared" si="90"/>
        <v>0</v>
      </c>
      <c r="R72" s="39" t="str">
        <f t="shared" si="91"/>
        <v>0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/>
      <c r="D77" s="19" t="str">
        <f>APOSTAS!D77</f>
        <v>x</v>
      </c>
      <c r="E77" s="23"/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0</v>
      </c>
      <c r="M77" s="19" t="str">
        <f t="shared" ref="M77:M80" si="97">N77-O77</f>
        <v>0</v>
      </c>
      <c r="N77" s="19" t="str">
        <f t="shared" ref="N77:N80" si="98">SUM(INDIRECT($U77),INDIRECT($V77),INDIRECT($W77))</f>
        <v>0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0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/>
      <c r="D78" s="19" t="str">
        <f>APOSTAS!D78</f>
        <v>x</v>
      </c>
      <c r="E78" s="23"/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0</v>
      </c>
      <c r="M78" s="19" t="str">
        <f t="shared" si="97"/>
        <v>0</v>
      </c>
      <c r="N78" s="19" t="str">
        <f t="shared" si="98"/>
        <v>0</v>
      </c>
      <c r="O78" s="19" t="str">
        <f t="shared" si="99"/>
        <v>0</v>
      </c>
      <c r="P78" s="19" t="str">
        <f t="shared" si="100"/>
        <v>0</v>
      </c>
      <c r="Q78" s="19" t="str">
        <f t="shared" si="101"/>
        <v>0</v>
      </c>
      <c r="R78" s="36" t="str">
        <f t="shared" si="102"/>
        <v>0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/>
      <c r="D79" s="19" t="str">
        <f>APOSTAS!D79</f>
        <v>x</v>
      </c>
      <c r="E79" s="23"/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0</v>
      </c>
      <c r="N79" s="19" t="str">
        <f t="shared" si="98"/>
        <v>0</v>
      </c>
      <c r="O79" s="19" t="str">
        <f t="shared" si="99"/>
        <v>0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0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/>
      <c r="D80" s="19" t="str">
        <f>APOSTAS!D80</f>
        <v>x</v>
      </c>
      <c r="E80" s="23"/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0</v>
      </c>
      <c r="M80" s="38" t="str">
        <f t="shared" si="97"/>
        <v>0</v>
      </c>
      <c r="N80" s="38" t="str">
        <f t="shared" si="98"/>
        <v>0</v>
      </c>
      <c r="O80" s="38" t="str">
        <f t="shared" si="99"/>
        <v>0</v>
      </c>
      <c r="P80" s="38" t="str">
        <f t="shared" si="100"/>
        <v>0</v>
      </c>
      <c r="Q80" s="38" t="str">
        <f t="shared" si="101"/>
        <v>0</v>
      </c>
      <c r="R80" s="39" t="str">
        <f t="shared" si="102"/>
        <v>0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/>
      <c r="D85" s="19" t="str">
        <f>APOSTAS!D85</f>
        <v>x</v>
      </c>
      <c r="E85" s="23"/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0</v>
      </c>
      <c r="M85" s="19" t="str">
        <f t="shared" ref="M85:M88" si="108">N85-O85</f>
        <v>0</v>
      </c>
      <c r="N85" s="19" t="str">
        <f t="shared" ref="N85:N88" si="109">SUM(INDIRECT($U85),INDIRECT($V85),INDIRECT($W85))</f>
        <v>0</v>
      </c>
      <c r="O85" s="19" t="str">
        <f t="shared" ref="O85:O88" si="110">SUM(INDIRECT($X85),INDIRECT($Y85),INDIRECT($Z85))</f>
        <v>0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0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/>
      <c r="D86" s="19" t="str">
        <f>APOSTAS!D86</f>
        <v>x</v>
      </c>
      <c r="E86" s="23"/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0</v>
      </c>
      <c r="M86" s="19" t="str">
        <f t="shared" si="108"/>
        <v>0</v>
      </c>
      <c r="N86" s="19" t="str">
        <f t="shared" si="109"/>
        <v>0</v>
      </c>
      <c r="O86" s="19" t="str">
        <f t="shared" si="110"/>
        <v>0</v>
      </c>
      <c r="P86" s="19" t="str">
        <f t="shared" si="111"/>
        <v>0</v>
      </c>
      <c r="Q86" s="19" t="str">
        <f t="shared" si="112"/>
        <v>0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/>
      <c r="D87" s="19" t="str">
        <f>APOSTAS!D87</f>
        <v>x</v>
      </c>
      <c r="E87" s="23"/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0</v>
      </c>
      <c r="M87" s="19" t="str">
        <f t="shared" si="108"/>
        <v>0</v>
      </c>
      <c r="N87" s="19" t="str">
        <f t="shared" si="109"/>
        <v>0</v>
      </c>
      <c r="O87" s="19" t="str">
        <f t="shared" si="110"/>
        <v>0</v>
      </c>
      <c r="P87" s="19" t="str">
        <f t="shared" si="111"/>
        <v>0</v>
      </c>
      <c r="Q87" s="19" t="str">
        <f t="shared" si="112"/>
        <v>0</v>
      </c>
      <c r="R87" s="36" t="str">
        <f t="shared" si="113"/>
        <v>0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/>
      <c r="D88" s="19" t="str">
        <f>APOSTAS!D88</f>
        <v>x</v>
      </c>
      <c r="E88" s="23"/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0</v>
      </c>
      <c r="N88" s="38" t="str">
        <f t="shared" si="109"/>
        <v>0</v>
      </c>
      <c r="O88" s="38" t="str">
        <f t="shared" si="110"/>
        <v>0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0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/>
      <c r="D93" s="19" t="str">
        <f>APOSTAS!D93</f>
        <v>x</v>
      </c>
      <c r="E93" s="23"/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9" t="str">
        <f t="shared" ref="M93:M96" si="119">N93-O93</f>
        <v>0</v>
      </c>
      <c r="N93" s="19" t="str">
        <f t="shared" ref="N93:N96" si="120">SUM(INDIRECT($U93),INDIRECT($V93),INDIRECT($W93))</f>
        <v>0</v>
      </c>
      <c r="O93" s="19" t="str">
        <f t="shared" ref="O93:O96" si="121">SUM(INDIRECT($X93),INDIRECT($Y93),INDIRECT($Z93))</f>
        <v>0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0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0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/>
      <c r="D94" s="19" t="str">
        <f>APOSTAS!D94</f>
        <v>x</v>
      </c>
      <c r="E94" s="23"/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0</v>
      </c>
      <c r="M94" s="19" t="str">
        <f t="shared" si="119"/>
        <v>0</v>
      </c>
      <c r="N94" s="19" t="str">
        <f t="shared" si="120"/>
        <v>0</v>
      </c>
      <c r="O94" s="19" t="str">
        <f t="shared" si="121"/>
        <v>0</v>
      </c>
      <c r="P94" s="19" t="str">
        <f t="shared" si="122"/>
        <v>0</v>
      </c>
      <c r="Q94" s="19" t="str">
        <f t="shared" si="123"/>
        <v>0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/>
      <c r="D95" s="19" t="str">
        <f>APOSTAS!D95</f>
        <v>x</v>
      </c>
      <c r="E95" s="23"/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0</v>
      </c>
      <c r="M95" s="19" t="str">
        <f t="shared" si="119"/>
        <v>0</v>
      </c>
      <c r="N95" s="19" t="str">
        <f t="shared" si="120"/>
        <v>0</v>
      </c>
      <c r="O95" s="19" t="str">
        <f t="shared" si="121"/>
        <v>0</v>
      </c>
      <c r="P95" s="19" t="str">
        <f t="shared" si="122"/>
        <v>0</v>
      </c>
      <c r="Q95" s="19" t="str">
        <f t="shared" si="123"/>
        <v>0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/>
      <c r="D96" s="19" t="str">
        <f>APOSTAS!D96</f>
        <v>x</v>
      </c>
      <c r="E96" s="23"/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0</v>
      </c>
      <c r="N96" s="38" t="str">
        <f t="shared" si="120"/>
        <v>0</v>
      </c>
      <c r="O96" s="38" t="str">
        <f t="shared" si="121"/>
        <v>0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0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68:F68"/>
    <mergeCell ref="B76:F76"/>
    <mergeCell ref="B2:F2"/>
    <mergeCell ref="H2:I2"/>
    <mergeCell ref="K2:R2"/>
    <mergeCell ref="B4:F4"/>
    <mergeCell ref="G4:G10"/>
    <mergeCell ref="B12:F12"/>
    <mergeCell ref="B84:F84"/>
    <mergeCell ref="B92:F92"/>
    <mergeCell ref="B28:F28"/>
    <mergeCell ref="B36:F36"/>
    <mergeCell ref="B44:F44"/>
    <mergeCell ref="B52:F52"/>
    <mergeCell ref="B60:F60"/>
    <mergeCell ref="B20:F20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242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ht="18.75" customHeight="1">
      <c r="A2" s="67"/>
      <c r="B2" s="68" t="s">
        <v>245</v>
      </c>
      <c r="C2" s="9"/>
      <c r="D2" s="9"/>
      <c r="E2" s="9"/>
      <c r="F2" s="10"/>
      <c r="G2" s="69"/>
      <c r="H2" s="70" t="s">
        <v>23</v>
      </c>
      <c r="I2" s="10"/>
      <c r="J2" s="69"/>
      <c r="K2" s="70" t="s">
        <v>24</v>
      </c>
      <c r="L2" s="9"/>
      <c r="M2" s="9"/>
      <c r="N2" s="9"/>
      <c r="O2" s="9"/>
      <c r="P2" s="9"/>
      <c r="Q2" s="9"/>
      <c r="R2" s="10"/>
      <c r="S2" s="69"/>
      <c r="T2" s="71" t="s">
        <v>25</v>
      </c>
      <c r="U2" s="9"/>
      <c r="V2" s="9"/>
      <c r="W2" s="9"/>
      <c r="X2" s="10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ht="15.0" customHeight="1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str">
        <f t="array" ref="U3">SUM(U5:U10,U13:U18,U21:U26,U29:U34,U37:U42,U45:U50,U53:U58,U61:U66)</f>
        <v>8</v>
      </c>
      <c r="V3" s="9"/>
      <c r="W3" s="9"/>
      <c r="X3" s="10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ht="13.5" customHeight="1">
      <c r="A4" s="67"/>
      <c r="B4" s="83" t="s">
        <v>27</v>
      </c>
      <c r="C4" s="9"/>
      <c r="D4" s="9"/>
      <c r="E4" s="9"/>
      <c r="F4" s="10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ht="13.5" customHeight="1">
      <c r="A5" s="67"/>
      <c r="B5" s="90" t="s">
        <v>30</v>
      </c>
      <c r="C5" s="91">
        <v>2.0</v>
      </c>
      <c r="D5" s="92" t="s">
        <v>31</v>
      </c>
      <c r="E5" s="93">
        <v>0.0</v>
      </c>
      <c r="F5" s="94" t="s">
        <v>32</v>
      </c>
      <c r="G5" s="69"/>
      <c r="H5" s="95">
        <v>46184.0</v>
      </c>
      <c r="I5" s="96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ht="13.5" customHeight="1">
      <c r="A6" s="67"/>
      <c r="B6" s="102" t="s">
        <v>40</v>
      </c>
      <c r="C6" s="103">
        <v>3.0</v>
      </c>
      <c r="D6" s="104" t="s">
        <v>31</v>
      </c>
      <c r="E6" s="105">
        <v>3.0</v>
      </c>
      <c r="F6" s="106" t="s">
        <v>41</v>
      </c>
      <c r="G6" s="69"/>
      <c r="H6" s="95">
        <v>46184.0</v>
      </c>
      <c r="I6" s="96">
        <v>1.95833333333333</v>
      </c>
      <c r="J6" s="97"/>
      <c r="K6" s="107" t="s">
        <v>40</v>
      </c>
      <c r="L6" s="108">
        <v>0.0</v>
      </c>
      <c r="M6" s="108" t="str">
        <f t="array" ref="M6">N6-O6</f>
        <v>0</v>
      </c>
      <c r="N6" s="108">
        <v>0.0</v>
      </c>
      <c r="O6" s="108">
        <v>0.0</v>
      </c>
      <c r="P6" s="108">
        <v>0.0</v>
      </c>
      <c r="Q6" s="108">
        <v>0.0</v>
      </c>
      <c r="R6" s="109">
        <v>0.0</v>
      </c>
      <c r="S6" s="100"/>
      <c r="T6" s="101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t="array" ref="AF6">IF(ISNUMBER(FIND("C",AC6,1)),SUBSTITUTE(AC6,"C","E"),SUBSTITUTE(AC6,"E","C"))</f>
        <v>E6</v>
      </c>
      <c r="AG6" s="80" t="str">
        <f t="array" ref="AG6">IF(ISNUMBER(FIND("C",AD6,1)),SUBSTITUTE(AD6,"C","E"),SUBSTITUTE(AD6,"E","C"))</f>
        <v>C8</v>
      </c>
      <c r="AH6" s="80" t="str">
        <f t="array" ref="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ht="12.75" customHeight="1">
      <c r="A7" s="67"/>
      <c r="B7" s="102" t="s">
        <v>41</v>
      </c>
      <c r="C7" s="103">
        <v>2.0</v>
      </c>
      <c r="D7" s="104" t="s">
        <v>31</v>
      </c>
      <c r="E7" s="105">
        <v>1.0</v>
      </c>
      <c r="F7" s="106" t="s">
        <v>32</v>
      </c>
      <c r="G7" s="69"/>
      <c r="H7" s="95">
        <v>46191.0</v>
      </c>
      <c r="I7" s="96">
        <v>1.54166666666667</v>
      </c>
      <c r="J7" s="97"/>
      <c r="K7" s="107" t="s">
        <v>30</v>
      </c>
      <c r="L7" s="108">
        <v>0.0</v>
      </c>
      <c r="M7" s="108" t="str">
        <f t="array" ref="M7">N7-O7</f>
        <v>0</v>
      </c>
      <c r="N7" s="108">
        <v>0.0</v>
      </c>
      <c r="O7" s="108">
        <v>0.0</v>
      </c>
      <c r="P7" s="108">
        <v>0.0</v>
      </c>
      <c r="Q7" s="108">
        <v>0.0</v>
      </c>
      <c r="R7" s="109">
        <v>0.0</v>
      </c>
      <c r="S7" s="111"/>
      <c r="T7" s="101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t="array" ref="AF7">IF(ISNUMBER(FIND("C",AC7,1)),SUBSTITUTE(AC7,"C","E"),SUBSTITUTE(AC7,"E","C"))</f>
        <v>E5</v>
      </c>
      <c r="AG7" s="80" t="str">
        <f t="array" ref="AG7">IF(ISNUMBER(FIND("C",AD7,1)),SUBSTITUTE(AD7,"C","E"),SUBSTITUTE(AD7,"E","C"))</f>
        <v>E8</v>
      </c>
      <c r="AH7" s="80" t="str">
        <f t="array" ref="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ht="12.75" customHeight="1">
      <c r="A8" s="67"/>
      <c r="B8" s="102" t="s">
        <v>30</v>
      </c>
      <c r="C8" s="103">
        <v>1.0</v>
      </c>
      <c r="D8" s="104" t="s">
        <v>31</v>
      </c>
      <c r="E8" s="105">
        <v>1.0</v>
      </c>
      <c r="F8" s="106" t="s">
        <v>40</v>
      </c>
      <c r="G8" s="69"/>
      <c r="H8" s="95">
        <v>46191.0</v>
      </c>
      <c r="I8" s="96">
        <v>1.91666666666667</v>
      </c>
      <c r="J8" s="97"/>
      <c r="K8" s="107" t="s">
        <v>41</v>
      </c>
      <c r="L8" s="108">
        <v>0.0</v>
      </c>
      <c r="M8" s="108" t="str">
        <f t="array" ref="M8">N8-O8</f>
        <v>0</v>
      </c>
      <c r="N8" s="108">
        <v>0.0</v>
      </c>
      <c r="O8" s="108">
        <v>0.0</v>
      </c>
      <c r="P8" s="108">
        <v>0.0</v>
      </c>
      <c r="Q8" s="108">
        <v>0.0</v>
      </c>
      <c r="R8" s="109">
        <v>0.0</v>
      </c>
      <c r="S8" s="111"/>
      <c r="T8" s="101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t="array" ref="AF8">IF(ISNUMBER(FIND("C",AC8,1)),SUBSTITUTE(AC8,"C","E"),SUBSTITUTE(AC8,"E","C"))</f>
        <v>C6</v>
      </c>
      <c r="AG8" s="80" t="str">
        <f t="array" ref="AG8">IF(ISNUMBER(FIND("C",AD8,1)),SUBSTITUTE(AD8,"C","E"),SUBSTITUTE(AD8,"E","C"))</f>
        <v>E7</v>
      </c>
      <c r="AH8" s="80" t="str">
        <f t="array" ref="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ht="12.75" customHeight="1">
      <c r="A9" s="67"/>
      <c r="B9" s="102" t="s">
        <v>32</v>
      </c>
      <c r="C9" s="103">
        <v>0.0</v>
      </c>
      <c r="D9" s="104" t="s">
        <v>31</v>
      </c>
      <c r="E9" s="105">
        <v>2.0</v>
      </c>
      <c r="F9" s="106" t="s">
        <v>40</v>
      </c>
      <c r="G9" s="69"/>
      <c r="H9" s="95">
        <v>46197.0</v>
      </c>
      <c r="I9" s="96">
        <v>1.91666666666667</v>
      </c>
      <c r="J9" s="97"/>
      <c r="K9" s="112" t="s">
        <v>32</v>
      </c>
      <c r="L9" s="113">
        <v>0.0</v>
      </c>
      <c r="M9" s="113" t="str">
        <f t="array" ref="M9">N9-O9</f>
        <v>0</v>
      </c>
      <c r="N9" s="113">
        <v>0.0</v>
      </c>
      <c r="O9" s="113">
        <v>0.0</v>
      </c>
      <c r="P9" s="113">
        <v>0.0</v>
      </c>
      <c r="Q9" s="113">
        <v>0.0</v>
      </c>
      <c r="R9" s="114">
        <v>0.0</v>
      </c>
      <c r="S9" s="111"/>
      <c r="T9" s="101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t="array" ref="AF9">IF(ISNUMBER(FIND("C",AC9,1)),SUBSTITUTE(AC9,"C","E"),SUBSTITUTE(AC9,"E","C"))</f>
        <v>C5</v>
      </c>
      <c r="AG9" s="80" t="str">
        <f t="array" ref="AG9">IF(ISNUMBER(FIND("C",AD9,1)),SUBSTITUTE(AD9,"C","E"),SUBSTITUTE(AD9,"E","C"))</f>
        <v>C7</v>
      </c>
      <c r="AH9" s="80" t="str">
        <f t="array" ref="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ht="13.5" customHeight="1">
      <c r="A10" s="67"/>
      <c r="B10" s="115" t="s">
        <v>41</v>
      </c>
      <c r="C10" s="116">
        <v>0.0</v>
      </c>
      <c r="D10" s="117" t="s">
        <v>31</v>
      </c>
      <c r="E10" s="118">
        <v>0.0</v>
      </c>
      <c r="F10" s="119" t="s">
        <v>30</v>
      </c>
      <c r="G10" s="69"/>
      <c r="H10" s="120">
        <v>46197.0</v>
      </c>
      <c r="I10" s="121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ht="13.5" customHeight="1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ht="13.5" customHeight="1">
      <c r="A12" s="67"/>
      <c r="B12" s="83" t="s">
        <v>54</v>
      </c>
      <c r="C12" s="9"/>
      <c r="D12" s="9"/>
      <c r="E12" s="9"/>
      <c r="F12" s="10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9"/>
      <c r="V12" s="19"/>
      <c r="W12" s="19"/>
      <c r="X12" s="20"/>
      <c r="Y12" s="33"/>
      <c r="Z12" s="33"/>
      <c r="AA12" s="33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ht="13.5" customHeight="1">
      <c r="A13" s="67"/>
      <c r="B13" s="90" t="s">
        <v>55</v>
      </c>
      <c r="C13" s="91">
        <v>2.0</v>
      </c>
      <c r="D13" s="92" t="s">
        <v>31</v>
      </c>
      <c r="E13" s="93">
        <v>1.0</v>
      </c>
      <c r="F13" s="94" t="s">
        <v>56</v>
      </c>
      <c r="G13" s="69"/>
      <c r="H13" s="95">
        <v>46185.0</v>
      </c>
      <c r="I13" s="96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ht="13.5" customHeight="1">
      <c r="A14" s="67"/>
      <c r="B14" s="102" t="s">
        <v>57</v>
      </c>
      <c r="C14" s="103">
        <v>0.0</v>
      </c>
      <c r="D14" s="104" t="s">
        <v>31</v>
      </c>
      <c r="E14" s="105">
        <v>3.0</v>
      </c>
      <c r="F14" s="126" t="s">
        <v>58</v>
      </c>
      <c r="G14" s="69"/>
      <c r="H14" s="95">
        <v>46186.0</v>
      </c>
      <c r="I14" s="96">
        <v>1.66666666666667</v>
      </c>
      <c r="J14" s="97"/>
      <c r="K14" s="107" t="s">
        <v>56</v>
      </c>
      <c r="L14" s="108">
        <v>0.0</v>
      </c>
      <c r="M14" s="108" t="str">
        <f t="array" ref="M14">N14-O14</f>
        <v>0</v>
      </c>
      <c r="N14" s="108">
        <v>0.0</v>
      </c>
      <c r="O14" s="108">
        <v>0.0</v>
      </c>
      <c r="P14" s="108">
        <v>0.0</v>
      </c>
      <c r="Q14" s="108">
        <v>0.0</v>
      </c>
      <c r="R14" s="109">
        <v>0.0</v>
      </c>
      <c r="S14" s="100"/>
      <c r="T14" s="101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t="array" ref="AF14">IF(ISNUMBER(FIND("C",AC14,1)),SUBSTITUTE(AC14,"C","E"),SUBSTITUTE(AC14,"E","C"))</f>
        <v>C13</v>
      </c>
      <c r="AG14" s="80" t="str">
        <f t="array" ref="AG14">IF(ISNUMBER(FIND("C",AD14,1)),SUBSTITUTE(AD14,"C","E"),SUBSTITUTE(AD14,"E","C"))</f>
        <v>C15</v>
      </c>
      <c r="AH14" s="80" t="str">
        <f t="array" ref="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ht="12.75" customHeight="1">
      <c r="A15" s="67"/>
      <c r="B15" s="102" t="s">
        <v>58</v>
      </c>
      <c r="C15" s="103">
        <v>0.0</v>
      </c>
      <c r="D15" s="104" t="s">
        <v>31</v>
      </c>
      <c r="E15" s="105">
        <v>0.0</v>
      </c>
      <c r="F15" s="126" t="s">
        <v>56</v>
      </c>
      <c r="G15" s="69"/>
      <c r="H15" s="95">
        <v>46191.0</v>
      </c>
      <c r="I15" s="96">
        <v>1.66666666666667</v>
      </c>
      <c r="J15" s="97"/>
      <c r="K15" s="107" t="s">
        <v>55</v>
      </c>
      <c r="L15" s="108">
        <v>0.0</v>
      </c>
      <c r="M15" s="108" t="str">
        <f t="array" ref="M15">N15-O15</f>
        <v>0</v>
      </c>
      <c r="N15" s="108">
        <v>0.0</v>
      </c>
      <c r="O15" s="108">
        <v>0.0</v>
      </c>
      <c r="P15" s="108">
        <v>0.0</v>
      </c>
      <c r="Q15" s="108">
        <v>0.0</v>
      </c>
      <c r="R15" s="109">
        <v>0.0</v>
      </c>
      <c r="S15" s="111"/>
      <c r="T15" s="101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t="array" ref="AF15">IF(ISNUMBER(FIND("C",AC15,1)),SUBSTITUTE(AC15,"C","E"),SUBSTITUTE(AC15,"E","C"))</f>
        <v>E13</v>
      </c>
      <c r="AG15" s="80" t="str">
        <f t="array" ref="AG15">IF(ISNUMBER(FIND("C",AD15,1)),SUBSTITUTE(AD15,"C","E"),SUBSTITUTE(AD15,"E","C"))</f>
        <v>E16</v>
      </c>
      <c r="AH15" s="80" t="str">
        <f t="array" ref="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ht="12.75" customHeight="1">
      <c r="A16" s="67"/>
      <c r="B16" s="102" t="s">
        <v>55</v>
      </c>
      <c r="C16" s="103">
        <v>1.0</v>
      </c>
      <c r="D16" s="104" t="s">
        <v>31</v>
      </c>
      <c r="E16" s="105">
        <v>0.0</v>
      </c>
      <c r="F16" s="126" t="s">
        <v>57</v>
      </c>
      <c r="G16" s="69"/>
      <c r="H16" s="95">
        <v>46191.0</v>
      </c>
      <c r="I16" s="96">
        <v>1.79166666666667</v>
      </c>
      <c r="J16" s="97"/>
      <c r="K16" s="107" t="s">
        <v>57</v>
      </c>
      <c r="L16" s="108">
        <v>0.0</v>
      </c>
      <c r="M16" s="108" t="str">
        <f t="array" ref="M16">N16-O16</f>
        <v>0</v>
      </c>
      <c r="N16" s="108">
        <v>0.0</v>
      </c>
      <c r="O16" s="108">
        <v>0.0</v>
      </c>
      <c r="P16" s="108">
        <v>0.0</v>
      </c>
      <c r="Q16" s="108">
        <v>0.0</v>
      </c>
      <c r="R16" s="109">
        <v>0.0</v>
      </c>
      <c r="S16" s="111"/>
      <c r="T16" s="101" t="str">
        <f t="array" ref="T16">IF(NOT(AND(ISNUMBER(C16),ISNUMBER(E16))),"XXX","")</f>
        <v/>
      </c>
      <c r="U16" s="19" t="str">
        <f t="shared" si="2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t="array" ref="AF16">IF(ISNUMBER(FIND("C",AC16,1)),SUBSTITUTE(AC16,"C","E"),SUBSTITUTE(AC16,"E","C"))</f>
        <v>E14</v>
      </c>
      <c r="AG16" s="80" t="str">
        <f t="array" ref="AG16">IF(ISNUMBER(FIND("C",AD16,1)),SUBSTITUTE(AD16,"C","E"),SUBSTITUTE(AD16,"E","C"))</f>
        <v>C16</v>
      </c>
      <c r="AH16" s="80" t="str">
        <f t="array" ref="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ht="12.75" customHeight="1">
      <c r="A17" s="67"/>
      <c r="B17" s="102" t="s">
        <v>58</v>
      </c>
      <c r="C17" s="103">
        <v>0.0</v>
      </c>
      <c r="D17" s="104" t="s">
        <v>31</v>
      </c>
      <c r="E17" s="105">
        <v>0.0</v>
      </c>
      <c r="F17" s="126" t="s">
        <v>55</v>
      </c>
      <c r="G17" s="69"/>
      <c r="H17" s="95">
        <v>46197.0</v>
      </c>
      <c r="I17" s="96">
        <v>1.66666666666667</v>
      </c>
      <c r="J17" s="97"/>
      <c r="K17" s="112" t="s">
        <v>58</v>
      </c>
      <c r="L17" s="113">
        <v>0.0</v>
      </c>
      <c r="M17" s="113" t="str">
        <f t="array" ref="M17">N17-O17</f>
        <v>0</v>
      </c>
      <c r="N17" s="113">
        <v>0.0</v>
      </c>
      <c r="O17" s="113">
        <v>0.0</v>
      </c>
      <c r="P17" s="113">
        <v>0.0</v>
      </c>
      <c r="Q17" s="113">
        <v>0.0</v>
      </c>
      <c r="R17" s="114">
        <v>0.0</v>
      </c>
      <c r="S17" s="111"/>
      <c r="T17" s="101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t="array" ref="AF17">IF(ISNUMBER(FIND("C",AC17,1)),SUBSTITUTE(AC17,"C","E"),SUBSTITUTE(AC17,"E","C"))</f>
        <v>C14</v>
      </c>
      <c r="AG17" s="80" t="str">
        <f t="array" ref="AG17">IF(ISNUMBER(FIND("C",AD17,1)),SUBSTITUTE(AD17,"C","E"),SUBSTITUTE(AD17,"E","C"))</f>
        <v>E15</v>
      </c>
      <c r="AH17" s="80" t="str">
        <f t="array" ref="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ht="13.5" customHeight="1">
      <c r="A18" s="67"/>
      <c r="B18" s="115" t="s">
        <v>56</v>
      </c>
      <c r="C18" s="116">
        <v>1.0</v>
      </c>
      <c r="D18" s="117" t="s">
        <v>31</v>
      </c>
      <c r="E18" s="118">
        <v>0.0</v>
      </c>
      <c r="F18" s="127" t="s">
        <v>57</v>
      </c>
      <c r="G18" s="69"/>
      <c r="H18" s="120">
        <v>46197.0</v>
      </c>
      <c r="I18" s="121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t="array" ref="T18">IF(NOT(AND(ISNUMBER(C18),ISNUMBER(E18))),"XXX","")</f>
        <v/>
      </c>
      <c r="U18" s="19" t="str">
        <f t="shared" si="2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ht="13.5" customHeight="1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ht="13.5" customHeight="1">
      <c r="A20" s="67"/>
      <c r="B20" s="83" t="s">
        <v>71</v>
      </c>
      <c r="C20" s="9"/>
      <c r="D20" s="9"/>
      <c r="E20" s="9"/>
      <c r="F20" s="10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9"/>
      <c r="V20" s="19"/>
      <c r="W20" s="19"/>
      <c r="X20" s="20"/>
      <c r="Y20" s="33"/>
      <c r="Z20" s="33"/>
      <c r="AA20" s="33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ht="13.5" customHeight="1">
      <c r="A21" s="67"/>
      <c r="B21" s="90" t="s">
        <v>72</v>
      </c>
      <c r="C21" s="91">
        <v>2.0</v>
      </c>
      <c r="D21" s="92" t="s">
        <v>31</v>
      </c>
      <c r="E21" s="93">
        <v>2.0</v>
      </c>
      <c r="F21" s="94" t="s">
        <v>73</v>
      </c>
      <c r="G21" s="69"/>
      <c r="H21" s="95">
        <v>46186.0</v>
      </c>
      <c r="I21" s="96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ht="13.5" customHeight="1">
      <c r="A22" s="67"/>
      <c r="B22" s="102" t="s">
        <v>74</v>
      </c>
      <c r="C22" s="103">
        <v>1.0</v>
      </c>
      <c r="D22" s="104" t="s">
        <v>31</v>
      </c>
      <c r="E22" s="105">
        <v>1.0</v>
      </c>
      <c r="F22" s="126" t="s">
        <v>75</v>
      </c>
      <c r="G22" s="69"/>
      <c r="H22" s="95">
        <v>46186.0</v>
      </c>
      <c r="I22" s="96">
        <v>1.91666666666667</v>
      </c>
      <c r="J22" s="97"/>
      <c r="K22" s="107" t="s">
        <v>72</v>
      </c>
      <c r="L22" s="108">
        <v>0.0</v>
      </c>
      <c r="M22" s="108" t="str">
        <f t="array" ref="M22">N22-O22</f>
        <v>0</v>
      </c>
      <c r="N22" s="108">
        <v>0.0</v>
      </c>
      <c r="O22" s="108">
        <v>0.0</v>
      </c>
      <c r="P22" s="108">
        <v>0.0</v>
      </c>
      <c r="Q22" s="108">
        <v>0.0</v>
      </c>
      <c r="R22" s="109">
        <v>0.0</v>
      </c>
      <c r="S22" s="100"/>
      <c r="T22" s="101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t="array" ref="AF22">IF(ISNUMBER(FIND("C",AC22,1)),SUBSTITUTE(AC22,"C","E"),SUBSTITUTE(AC22,"E","C"))</f>
        <v>E21</v>
      </c>
      <c r="AG22" s="80" t="str">
        <f t="array" ref="AG22">IF(ISNUMBER(FIND("C",AD22,1)),SUBSTITUTE(AD22,"C","E"),SUBSTITUTE(AD22,"E","C"))</f>
        <v>E24</v>
      </c>
      <c r="AH22" s="80" t="str">
        <f t="array" ref="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ht="12.75" customHeight="1">
      <c r="A23" s="67"/>
      <c r="B23" s="102" t="s">
        <v>75</v>
      </c>
      <c r="C23" s="103">
        <v>1.0</v>
      </c>
      <c r="D23" s="104" t="s">
        <v>31</v>
      </c>
      <c r="E23" s="105">
        <v>3.0</v>
      </c>
      <c r="F23" s="126" t="s">
        <v>73</v>
      </c>
      <c r="G23" s="69"/>
      <c r="H23" s="95">
        <v>46192.0</v>
      </c>
      <c r="I23" s="96">
        <v>1.79166666666667</v>
      </c>
      <c r="J23" s="97"/>
      <c r="K23" s="107" t="s">
        <v>75</v>
      </c>
      <c r="L23" s="108">
        <v>0.0</v>
      </c>
      <c r="M23" s="108" t="str">
        <f t="array" ref="M23">N23-O23</f>
        <v>0</v>
      </c>
      <c r="N23" s="108">
        <v>0.0</v>
      </c>
      <c r="O23" s="108">
        <v>0.0</v>
      </c>
      <c r="P23" s="108">
        <v>0.0</v>
      </c>
      <c r="Q23" s="108">
        <v>0.0</v>
      </c>
      <c r="R23" s="109">
        <v>0.0</v>
      </c>
      <c r="S23" s="111"/>
      <c r="T23" s="101" t="str">
        <f t="array" ref="T23">IF(NOT(AND(ISNUMBER(C23),ISNUMBER(E23))),"XXX","")</f>
        <v/>
      </c>
      <c r="U23" s="19" t="str">
        <f t="shared" si="3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t="array" ref="AF23">IF(ISNUMBER(FIND("C",AC23,1)),SUBSTITUTE(AC23,"C","E"),SUBSTITUTE(AC23,"E","C"))</f>
        <v>C22</v>
      </c>
      <c r="AG23" s="80" t="str">
        <f t="array" ref="AG23">IF(ISNUMBER(FIND("C",AD23,1)),SUBSTITUTE(AD23,"C","E"),SUBSTITUTE(AD23,"E","C"))</f>
        <v>E23</v>
      </c>
      <c r="AH23" s="80" t="str">
        <f t="array" ref="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ht="12.75" customHeight="1">
      <c r="A24" s="67"/>
      <c r="B24" s="102" t="s">
        <v>72</v>
      </c>
      <c r="C24" s="103">
        <v>4.0</v>
      </c>
      <c r="D24" s="104" t="s">
        <v>31</v>
      </c>
      <c r="E24" s="105">
        <v>1.0</v>
      </c>
      <c r="F24" s="126" t="s">
        <v>74</v>
      </c>
      <c r="G24" s="69"/>
      <c r="H24" s="95">
        <v>46192.0</v>
      </c>
      <c r="I24" s="96">
        <v>1.89583333333333</v>
      </c>
      <c r="J24" s="97"/>
      <c r="K24" s="107" t="s">
        <v>74</v>
      </c>
      <c r="L24" s="108">
        <v>0.0</v>
      </c>
      <c r="M24" s="108" t="str">
        <f t="array" ref="M24">N24-O24</f>
        <v>0</v>
      </c>
      <c r="N24" s="108">
        <v>0.0</v>
      </c>
      <c r="O24" s="108">
        <v>0.0</v>
      </c>
      <c r="P24" s="108">
        <v>0.0</v>
      </c>
      <c r="Q24" s="108">
        <v>0.0</v>
      </c>
      <c r="R24" s="109">
        <v>0.0</v>
      </c>
      <c r="S24" s="111"/>
      <c r="T24" s="101" t="str">
        <f t="array" ref="T24">IF(NOT(AND(ISNUMBER(C24),ISNUMBER(E24))),"XXX","")</f>
        <v/>
      </c>
      <c r="U24" s="19" t="str">
        <f t="shared" si="3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110" t="s">
        <v>82</v>
      </c>
      <c r="AD24" s="110" t="s">
        <v>83</v>
      </c>
      <c r="AE24" s="110" t="s">
        <v>84</v>
      </c>
      <c r="AF24" s="80" t="str">
        <f t="array" ref="AF24">IF(ISNUMBER(FIND("C",AC24,1)),SUBSTITUTE(AC24,"C","E"),SUBSTITUTE(AC24,"E","C"))</f>
        <v>E22</v>
      </c>
      <c r="AG24" s="80" t="str">
        <f t="array" ref="AG24">IF(ISNUMBER(FIND("C",AD24,1)),SUBSTITUTE(AD24,"C","E"),SUBSTITUTE(AD24,"E","C"))</f>
        <v>C24</v>
      </c>
      <c r="AH24" s="80" t="str">
        <f t="array" ref="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ht="12.75" customHeight="1">
      <c r="A25" s="67"/>
      <c r="B25" s="102" t="s">
        <v>73</v>
      </c>
      <c r="C25" s="103">
        <v>2.0</v>
      </c>
      <c r="D25" s="104" t="s">
        <v>31</v>
      </c>
      <c r="E25" s="105">
        <v>1.0</v>
      </c>
      <c r="F25" s="126" t="s">
        <v>74</v>
      </c>
      <c r="G25" s="69"/>
      <c r="H25" s="95">
        <v>46197.0</v>
      </c>
      <c r="I25" s="96">
        <v>1.79166666666667</v>
      </c>
      <c r="J25" s="97"/>
      <c r="K25" s="112" t="s">
        <v>73</v>
      </c>
      <c r="L25" s="113">
        <v>0.0</v>
      </c>
      <c r="M25" s="113" t="str">
        <f t="array" ref="M25">N25-O25</f>
        <v>0</v>
      </c>
      <c r="N25" s="113">
        <v>0.0</v>
      </c>
      <c r="O25" s="113">
        <v>0.0</v>
      </c>
      <c r="P25" s="113">
        <v>0.0</v>
      </c>
      <c r="Q25" s="113">
        <v>0.0</v>
      </c>
      <c r="R25" s="114">
        <v>0.0</v>
      </c>
      <c r="S25" s="111"/>
      <c r="T25" s="101" t="str">
        <f t="array" ref="T25">IF(NOT(AND(ISNUMBER(C25),ISNUMBER(E25))),"XXX","")</f>
        <v/>
      </c>
      <c r="U25" s="19" t="str">
        <f t="shared" si="3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t="array" ref="AF25">IF(ISNUMBER(FIND("C",AC25,1)),SUBSTITUTE(AC25,"C","E"),SUBSTITUTE(AC25,"E","C"))</f>
        <v>C21</v>
      </c>
      <c r="AG25" s="80" t="str">
        <f t="array" ref="AG25">IF(ISNUMBER(FIND("C",AD25,1)),SUBSTITUTE(AD25,"C","E"),SUBSTITUTE(AD25,"E","C"))</f>
        <v>C23</v>
      </c>
      <c r="AH25" s="80" t="str">
        <f t="array" ref="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ht="13.5" customHeight="1">
      <c r="A26" s="67"/>
      <c r="B26" s="115" t="s">
        <v>75</v>
      </c>
      <c r="C26" s="116">
        <v>0.0</v>
      </c>
      <c r="D26" s="117" t="s">
        <v>31</v>
      </c>
      <c r="E26" s="118">
        <v>1.0</v>
      </c>
      <c r="F26" s="127" t="s">
        <v>72</v>
      </c>
      <c r="G26" s="69"/>
      <c r="H26" s="120">
        <v>46197.0</v>
      </c>
      <c r="I26" s="121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t="array" ref="T26">IF(NOT(AND(ISNUMBER(C26),ISNUMBER(E26))),"XXX","")</f>
        <v/>
      </c>
      <c r="U26" s="19" t="str">
        <f t="shared" si="3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ht="13.5" customHeight="1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ht="13.5" customHeight="1">
      <c r="A28" s="67"/>
      <c r="B28" s="83" t="s">
        <v>88</v>
      </c>
      <c r="C28" s="9"/>
      <c r="D28" s="9"/>
      <c r="E28" s="9"/>
      <c r="F28" s="10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9"/>
      <c r="V28" s="19"/>
      <c r="W28" s="19"/>
      <c r="X28" s="20"/>
      <c r="Y28" s="33"/>
      <c r="Z28" s="33"/>
      <c r="AA28" s="33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ht="13.5" customHeight="1">
      <c r="A29" s="67"/>
      <c r="B29" s="90" t="s">
        <v>89</v>
      </c>
      <c r="C29" s="91">
        <v>3.0</v>
      </c>
      <c r="D29" s="92" t="s">
        <v>31</v>
      </c>
      <c r="E29" s="93">
        <v>0.0</v>
      </c>
      <c r="F29" s="94" t="s">
        <v>90</v>
      </c>
      <c r="G29" s="69"/>
      <c r="H29" s="95">
        <v>46185.0</v>
      </c>
      <c r="I29" s="96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ht="13.5" customHeight="1">
      <c r="A30" s="67"/>
      <c r="B30" s="102" t="s">
        <v>91</v>
      </c>
      <c r="C30" s="103">
        <v>1.0</v>
      </c>
      <c r="D30" s="104" t="s">
        <v>31</v>
      </c>
      <c r="E30" s="105">
        <v>1.0</v>
      </c>
      <c r="F30" s="126" t="s">
        <v>92</v>
      </c>
      <c r="G30" s="69"/>
      <c r="H30" s="95">
        <v>46187.0</v>
      </c>
      <c r="I30" s="96">
        <v>1.04166666666667</v>
      </c>
      <c r="J30" s="97"/>
      <c r="K30" s="107" t="s">
        <v>91</v>
      </c>
      <c r="L30" s="108">
        <v>0.0</v>
      </c>
      <c r="M30" s="108" t="str">
        <f t="array" ref="M30">N30-O30</f>
        <v>0</v>
      </c>
      <c r="N30" s="108">
        <v>0.0</v>
      </c>
      <c r="O30" s="108">
        <v>0.0</v>
      </c>
      <c r="P30" s="108">
        <v>0.0</v>
      </c>
      <c r="Q30" s="108">
        <v>0.0</v>
      </c>
      <c r="R30" s="109">
        <v>0.0</v>
      </c>
      <c r="S30" s="100"/>
      <c r="T30" s="101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t="array" ref="AF30">IF(ISNUMBER(FIND("C",AC30,1)),SUBSTITUTE(AC30,"C","E"),SUBSTITUTE(AC30,"E","C"))</f>
        <v>E30</v>
      </c>
      <c r="AG30" s="80" t="str">
        <f t="array" ref="AG30">IF(ISNUMBER(FIND("C",AD30,1)),SUBSTITUTE(AD30,"C","E"),SUBSTITUTE(AD30,"E","C"))</f>
        <v>C31</v>
      </c>
      <c r="AH30" s="80" t="str">
        <f t="array" ref="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ht="12.75" customHeight="1">
      <c r="A31" s="67"/>
      <c r="B31" s="102" t="s">
        <v>89</v>
      </c>
      <c r="C31" s="103">
        <v>3.0</v>
      </c>
      <c r="D31" s="104" t="s">
        <v>31</v>
      </c>
      <c r="E31" s="105">
        <v>1.0</v>
      </c>
      <c r="F31" s="126" t="s">
        <v>91</v>
      </c>
      <c r="G31" s="69"/>
      <c r="H31" s="95">
        <v>46192.0</v>
      </c>
      <c r="I31" s="96">
        <v>1.66666666666667</v>
      </c>
      <c r="J31" s="97"/>
      <c r="K31" s="107" t="s">
        <v>89</v>
      </c>
      <c r="L31" s="108">
        <v>0.0</v>
      </c>
      <c r="M31" s="108" t="str">
        <f t="array" ref="M31">N31-O31</f>
        <v>0</v>
      </c>
      <c r="N31" s="108">
        <v>0.0</v>
      </c>
      <c r="O31" s="108">
        <v>0.0</v>
      </c>
      <c r="P31" s="108">
        <v>0.0</v>
      </c>
      <c r="Q31" s="108">
        <v>0.0</v>
      </c>
      <c r="R31" s="109">
        <v>0.0</v>
      </c>
      <c r="S31" s="111"/>
      <c r="T31" s="101" t="str">
        <f t="array" ref="T31">IF(NOT(AND(ISNUMBER(C31),ISNUMBER(E31))),"XXX","")</f>
        <v/>
      </c>
      <c r="U31" s="19" t="str">
        <f t="shared" si="4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110" t="s">
        <v>96</v>
      </c>
      <c r="AD31" s="110" t="s">
        <v>97</v>
      </c>
      <c r="AE31" s="110" t="s">
        <v>98</v>
      </c>
      <c r="AF31" s="80" t="str">
        <f t="array" ref="AF31">IF(ISNUMBER(FIND("C",AC31,1)),SUBSTITUTE(AC31,"C","E"),SUBSTITUTE(AC31,"E","C"))</f>
        <v>E29</v>
      </c>
      <c r="AG31" s="80" t="str">
        <f t="array" ref="AG31">IF(ISNUMBER(FIND("C",AD31,1)),SUBSTITUTE(AD31,"C","E"),SUBSTITUTE(AD31,"E","C"))</f>
        <v>E31</v>
      </c>
      <c r="AH31" s="80" t="str">
        <f t="array" ref="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ht="12.75" customHeight="1">
      <c r="A32" s="67"/>
      <c r="B32" s="102" t="s">
        <v>92</v>
      </c>
      <c r="C32" s="103">
        <v>2.0</v>
      </c>
      <c r="D32" s="104" t="s">
        <v>31</v>
      </c>
      <c r="E32" s="105">
        <v>2.0</v>
      </c>
      <c r="F32" s="126" t="s">
        <v>90</v>
      </c>
      <c r="G32" s="69"/>
      <c r="H32" s="95">
        <v>46193.0</v>
      </c>
      <c r="I32" s="96">
        <v>1.04166666666667</v>
      </c>
      <c r="J32" s="97"/>
      <c r="K32" s="107" t="s">
        <v>90</v>
      </c>
      <c r="L32" s="108">
        <v>0.0</v>
      </c>
      <c r="M32" s="108" t="str">
        <f t="array" ref="M32">N32-O32</f>
        <v>0</v>
      </c>
      <c r="N32" s="108">
        <v>0.0</v>
      </c>
      <c r="O32" s="108">
        <v>0.0</v>
      </c>
      <c r="P32" s="108">
        <v>0.0</v>
      </c>
      <c r="Q32" s="108">
        <v>0.0</v>
      </c>
      <c r="R32" s="109">
        <v>0.0</v>
      </c>
      <c r="S32" s="111"/>
      <c r="T32" s="101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t="array" ref="AF32">IF(ISNUMBER(FIND("C",AC32,1)),SUBSTITUTE(AC32,"C","E"),SUBSTITUTE(AC32,"E","C"))</f>
        <v>C29</v>
      </c>
      <c r="AG32" s="80" t="str">
        <f t="array" ref="AG32">IF(ISNUMBER(FIND("C",AD32,1)),SUBSTITUTE(AD32,"C","E"),SUBSTITUTE(AD32,"E","C"))</f>
        <v>C32</v>
      </c>
      <c r="AH32" s="80" t="str">
        <f t="array" ref="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ht="12.75" customHeight="1">
      <c r="A33" s="67"/>
      <c r="B33" s="102" t="s">
        <v>92</v>
      </c>
      <c r="C33" s="103">
        <v>1.0</v>
      </c>
      <c r="D33" s="104" t="s">
        <v>31</v>
      </c>
      <c r="E33" s="105">
        <v>1.0</v>
      </c>
      <c r="F33" s="126" t="s">
        <v>89</v>
      </c>
      <c r="G33" s="69"/>
      <c r="H33" s="95">
        <v>46198.0</v>
      </c>
      <c r="I33" s="96">
        <v>1.95833333333333</v>
      </c>
      <c r="J33" s="97"/>
      <c r="K33" s="112" t="s">
        <v>92</v>
      </c>
      <c r="L33" s="113">
        <v>0.0</v>
      </c>
      <c r="M33" s="113" t="str">
        <f t="array" ref="M33">N33-O33</f>
        <v>0</v>
      </c>
      <c r="N33" s="113">
        <v>0.0</v>
      </c>
      <c r="O33" s="113">
        <v>0.0</v>
      </c>
      <c r="P33" s="113">
        <v>0.0</v>
      </c>
      <c r="Q33" s="113">
        <v>0.0</v>
      </c>
      <c r="R33" s="114">
        <v>0.0</v>
      </c>
      <c r="S33" s="111"/>
      <c r="T33" s="101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t="array" ref="AF33">IF(ISNUMBER(FIND("C",AC33,1)),SUBSTITUTE(AC33,"C","E"),SUBSTITUTE(AC33,"E","C"))</f>
        <v>C30</v>
      </c>
      <c r="AG33" s="80" t="str">
        <f t="array" ref="AG33">IF(ISNUMBER(FIND("C",AD33,1)),SUBSTITUTE(AD33,"C","E"),SUBSTITUTE(AD33,"E","C"))</f>
        <v>E32</v>
      </c>
      <c r="AH33" s="80" t="str">
        <f t="array" ref="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ht="13.5" customHeight="1">
      <c r="A34" s="67"/>
      <c r="B34" s="115" t="s">
        <v>90</v>
      </c>
      <c r="C34" s="116">
        <v>2.0</v>
      </c>
      <c r="D34" s="117" t="s">
        <v>31</v>
      </c>
      <c r="E34" s="118">
        <v>1.0</v>
      </c>
      <c r="F34" s="127" t="s">
        <v>91</v>
      </c>
      <c r="G34" s="69"/>
      <c r="H34" s="120">
        <v>46198.0</v>
      </c>
      <c r="I34" s="121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ht="13.5" customHeight="1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ht="13.5" customHeight="1">
      <c r="A36" s="67"/>
      <c r="B36" s="83" t="s">
        <v>104</v>
      </c>
      <c r="C36" s="9"/>
      <c r="D36" s="9"/>
      <c r="E36" s="9"/>
      <c r="F36" s="10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9"/>
      <c r="V36" s="19"/>
      <c r="W36" s="19"/>
      <c r="X36" s="20"/>
      <c r="Y36" s="33"/>
      <c r="Z36" s="33"/>
      <c r="AA36" s="33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ht="13.5" customHeight="1">
      <c r="A37" s="67"/>
      <c r="B37" s="90" t="s">
        <v>105</v>
      </c>
      <c r="C37" s="91">
        <v>4.0</v>
      </c>
      <c r="D37" s="92" t="s">
        <v>31</v>
      </c>
      <c r="E37" s="93">
        <v>1.0</v>
      </c>
      <c r="F37" s="129" t="s">
        <v>106</v>
      </c>
      <c r="G37" s="69"/>
      <c r="H37" s="95">
        <v>46187.0</v>
      </c>
      <c r="I37" s="96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t="array" ref="T37">IF(NOT(AND(ISNUMBER(C37),ISNUMBER(E37))),"XXX","")</f>
        <v/>
      </c>
      <c r="U37" s="19" t="str">
        <f t="shared" ref="U37:U42" si="5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ht="13.5" customHeight="1">
      <c r="A38" s="67"/>
      <c r="B38" s="102" t="s">
        <v>107</v>
      </c>
      <c r="C38" s="103">
        <v>3.0</v>
      </c>
      <c r="D38" s="104" t="s">
        <v>31</v>
      </c>
      <c r="E38" s="105">
        <v>0.0</v>
      </c>
      <c r="F38" s="106" t="s">
        <v>108</v>
      </c>
      <c r="G38" s="69"/>
      <c r="H38" s="95">
        <v>46187.0</v>
      </c>
      <c r="I38" s="96">
        <v>1.83333333333333</v>
      </c>
      <c r="J38" s="97"/>
      <c r="K38" s="130" t="s">
        <v>105</v>
      </c>
      <c r="L38" s="108">
        <v>0.0</v>
      </c>
      <c r="M38" s="108" t="str">
        <f t="array" ref="M38">N38-O38</f>
        <v>0</v>
      </c>
      <c r="N38" s="108">
        <v>0.0</v>
      </c>
      <c r="O38" s="108">
        <v>0.0</v>
      </c>
      <c r="P38" s="108">
        <v>0.0</v>
      </c>
      <c r="Q38" s="108">
        <v>0.0</v>
      </c>
      <c r="R38" s="109">
        <v>0.0</v>
      </c>
      <c r="S38" s="100"/>
      <c r="T38" s="101" t="str">
        <f t="array" ref="T38">IF(NOT(AND(ISNUMBER(C38),ISNUMBER(E38))),"XXX","")</f>
        <v/>
      </c>
      <c r="U38" s="19" t="str">
        <f t="shared" si="5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t="array" ref="AF38">IF(ISNUMBER(FIND("C",AC38,1)),SUBSTITUTE(AC38,"C","E"),SUBSTITUTE(AC38,"E","C"))</f>
        <v>E37</v>
      </c>
      <c r="AG38" s="80" t="str">
        <f t="array" ref="AG38">IF(ISNUMBER(FIND("C",AD38,1)),SUBSTITUTE(AD38,"C","E"),SUBSTITUTE(AD38,"E","C"))</f>
        <v>E39</v>
      </c>
      <c r="AH38" s="80" t="str">
        <f t="array" ref="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ht="12.75" customHeight="1">
      <c r="A39" s="67"/>
      <c r="B39" s="102" t="s">
        <v>105</v>
      </c>
      <c r="C39" s="103">
        <v>2.0</v>
      </c>
      <c r="D39" s="104" t="s">
        <v>31</v>
      </c>
      <c r="E39" s="105">
        <v>2.0</v>
      </c>
      <c r="F39" s="106" t="s">
        <v>107</v>
      </c>
      <c r="G39" s="69"/>
      <c r="H39" s="95">
        <v>46193.0</v>
      </c>
      <c r="I39" s="96">
        <v>1.70833333333333</v>
      </c>
      <c r="J39" s="97"/>
      <c r="K39" s="130" t="s">
        <v>107</v>
      </c>
      <c r="L39" s="108">
        <v>0.0</v>
      </c>
      <c r="M39" s="108" t="str">
        <f t="array" ref="M39">N39-O39</f>
        <v>0</v>
      </c>
      <c r="N39" s="108">
        <v>0.0</v>
      </c>
      <c r="O39" s="108">
        <v>0.0</v>
      </c>
      <c r="P39" s="108">
        <v>0.0</v>
      </c>
      <c r="Q39" s="108">
        <v>0.0</v>
      </c>
      <c r="R39" s="109">
        <v>0.0</v>
      </c>
      <c r="S39" s="111"/>
      <c r="T39" s="101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t="array" ref="AF39">IF(ISNUMBER(FIND("C",AC39,1)),SUBSTITUTE(AC39,"C","E"),SUBSTITUTE(AC39,"E","C"))</f>
        <v>E38</v>
      </c>
      <c r="AG39" s="80" t="str">
        <f t="array" ref="AG39">IF(ISNUMBER(FIND("C",AD39,1)),SUBSTITUTE(AD39,"C","E"),SUBSTITUTE(AD39,"E","C"))</f>
        <v>C39</v>
      </c>
      <c r="AH39" s="80" t="str">
        <f t="array" ref="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ht="12.75" customHeight="1">
      <c r="A40" s="67"/>
      <c r="B40" s="102" t="s">
        <v>108</v>
      </c>
      <c r="C40" s="103">
        <v>3.0</v>
      </c>
      <c r="D40" s="104" t="s">
        <v>31</v>
      </c>
      <c r="E40" s="105">
        <v>0.0</v>
      </c>
      <c r="F40" s="106" t="s">
        <v>106</v>
      </c>
      <c r="G40" s="69"/>
      <c r="H40" s="95">
        <v>46193.0</v>
      </c>
      <c r="I40" s="96">
        <v>1.875</v>
      </c>
      <c r="J40" s="97"/>
      <c r="K40" s="130" t="s">
        <v>106</v>
      </c>
      <c r="L40" s="108">
        <v>0.0</v>
      </c>
      <c r="M40" s="108" t="str">
        <f t="array" ref="M40">N40-O40</f>
        <v>0</v>
      </c>
      <c r="N40" s="108">
        <v>0.0</v>
      </c>
      <c r="O40" s="108">
        <v>0.0</v>
      </c>
      <c r="P40" s="108">
        <v>0.0</v>
      </c>
      <c r="Q40" s="108">
        <v>0.0</v>
      </c>
      <c r="R40" s="109">
        <v>0.0</v>
      </c>
      <c r="S40" s="111"/>
      <c r="T40" s="101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t="array" ref="AF40">IF(ISNUMBER(FIND("C",AC40,1)),SUBSTITUTE(AC40,"C","E"),SUBSTITUTE(AC40,"E","C"))</f>
        <v>C37</v>
      </c>
      <c r="AG40" s="80" t="str">
        <f t="array" ref="AG40">IF(ISNUMBER(FIND("C",AD40,1)),SUBSTITUTE(AD40,"C","E"),SUBSTITUTE(AD40,"E","C"))</f>
        <v>C40</v>
      </c>
      <c r="AH40" s="80" t="str">
        <f t="array" ref="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ht="12.75" customHeight="1">
      <c r="A41" s="67"/>
      <c r="B41" s="102" t="s">
        <v>108</v>
      </c>
      <c r="C41" s="103">
        <v>1.0</v>
      </c>
      <c r="D41" s="104" t="s">
        <v>31</v>
      </c>
      <c r="E41" s="105">
        <v>3.0</v>
      </c>
      <c r="F41" s="106" t="s">
        <v>105</v>
      </c>
      <c r="G41" s="69"/>
      <c r="H41" s="95">
        <v>46198.0</v>
      </c>
      <c r="I41" s="96">
        <v>1.70833333333333</v>
      </c>
      <c r="J41" s="97"/>
      <c r="K41" s="131" t="s">
        <v>108</v>
      </c>
      <c r="L41" s="113">
        <v>0.0</v>
      </c>
      <c r="M41" s="113" t="str">
        <f t="array" ref="M41">N41-O41</f>
        <v>0</v>
      </c>
      <c r="N41" s="113">
        <v>0.0</v>
      </c>
      <c r="O41" s="113">
        <v>0.0</v>
      </c>
      <c r="P41" s="113">
        <v>0.0</v>
      </c>
      <c r="Q41" s="113">
        <v>0.0</v>
      </c>
      <c r="R41" s="114">
        <v>0.0</v>
      </c>
      <c r="S41" s="111"/>
      <c r="T41" s="101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t="array" ref="AF41">IF(ISNUMBER(FIND("C",AC41,1)),SUBSTITUTE(AC41,"C","E"),SUBSTITUTE(AC41,"E","C"))</f>
        <v>C38</v>
      </c>
      <c r="AG41" s="80" t="str">
        <f t="array" ref="AG41">IF(ISNUMBER(FIND("C",AD41,1)),SUBSTITUTE(AD41,"C","E"),SUBSTITUTE(AD41,"E","C"))</f>
        <v>E40</v>
      </c>
      <c r="AH41" s="80" t="str">
        <f t="array" ref="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ht="13.5" customHeight="1">
      <c r="A42" s="67"/>
      <c r="B42" s="115" t="s">
        <v>106</v>
      </c>
      <c r="C42" s="116">
        <v>1.0</v>
      </c>
      <c r="D42" s="117" t="s">
        <v>31</v>
      </c>
      <c r="E42" s="118">
        <v>2.0</v>
      </c>
      <c r="F42" s="119" t="s">
        <v>107</v>
      </c>
      <c r="G42" s="69"/>
      <c r="H42" s="120">
        <v>46198.0</v>
      </c>
      <c r="I42" s="121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t="array" ref="T42">IF(NOT(AND(ISNUMBER(C42),ISNUMBER(E42))),"XXX","")</f>
        <v/>
      </c>
      <c r="U42" s="19" t="str">
        <f t="shared" si="5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ht="13.5" customHeight="1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ht="13.5" customHeight="1">
      <c r="A44" s="67"/>
      <c r="B44" s="83" t="s">
        <v>121</v>
      </c>
      <c r="C44" s="9"/>
      <c r="D44" s="9"/>
      <c r="E44" s="9"/>
      <c r="F44" s="10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9"/>
      <c r="V44" s="19"/>
      <c r="W44" s="19"/>
      <c r="X44" s="20"/>
      <c r="Y44" s="33"/>
      <c r="Z44" s="33"/>
      <c r="AA44" s="33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ht="13.5" customHeight="1">
      <c r="A45" s="67"/>
      <c r="B45" s="90" t="s">
        <v>122</v>
      </c>
      <c r="C45" s="91">
        <v>2.0</v>
      </c>
      <c r="D45" s="92" t="s">
        <v>31</v>
      </c>
      <c r="E45" s="93">
        <v>2.0</v>
      </c>
      <c r="F45" s="129" t="s">
        <v>123</v>
      </c>
      <c r="G45" s="69"/>
      <c r="H45" s="95">
        <v>46187.0</v>
      </c>
      <c r="I45" s="96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t="array" ref="T45">IF(NOT(AND(ISNUMBER(C45),ISNUMBER(E45))),"XXX","")</f>
        <v/>
      </c>
      <c r="U45" s="19" t="str">
        <f t="shared" ref="U45:U50" si="6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ht="13.5" customHeight="1">
      <c r="A46" s="67"/>
      <c r="B46" s="102" t="s">
        <v>124</v>
      </c>
      <c r="C46" s="103">
        <v>2.0</v>
      </c>
      <c r="D46" s="104" t="s">
        <v>31</v>
      </c>
      <c r="E46" s="105">
        <v>0.0</v>
      </c>
      <c r="F46" s="106" t="s">
        <v>125</v>
      </c>
      <c r="G46" s="69"/>
      <c r="H46" s="95">
        <v>46187.0</v>
      </c>
      <c r="I46" s="96">
        <v>1.95833333333333</v>
      </c>
      <c r="J46" s="97"/>
      <c r="K46" s="130" t="s">
        <v>122</v>
      </c>
      <c r="L46" s="108">
        <v>0.0</v>
      </c>
      <c r="M46" s="108" t="str">
        <f t="array" ref="M46">N46-O46</f>
        <v>0</v>
      </c>
      <c r="N46" s="108">
        <v>0.0</v>
      </c>
      <c r="O46" s="108">
        <v>0.0</v>
      </c>
      <c r="P46" s="108">
        <v>0.0</v>
      </c>
      <c r="Q46" s="108">
        <v>0.0</v>
      </c>
      <c r="R46" s="109">
        <v>0.0</v>
      </c>
      <c r="S46" s="100"/>
      <c r="T46" s="101" t="str">
        <f t="array" ref="T46">IF(NOT(AND(ISNUMBER(C46),ISNUMBER(E46))),"XXX","")</f>
        <v/>
      </c>
      <c r="U46" s="19" t="str">
        <f t="shared" si="6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t="array" ref="AF46">IF(ISNUMBER(FIND("C",AC46,1)),SUBSTITUTE(AC46,"C","E"),SUBSTITUTE(AC46,"E","C"))</f>
        <v>E45</v>
      </c>
      <c r="AG46" s="80" t="str">
        <f t="array" ref="AG46">IF(ISNUMBER(FIND("C",AD46,1)),SUBSTITUTE(AD46,"C","E"),SUBSTITUTE(AD46,"E","C"))</f>
        <v>E47</v>
      </c>
      <c r="AH46" s="80" t="str">
        <f t="array" ref="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ht="12.75" customHeight="1">
      <c r="A47" s="67"/>
      <c r="B47" s="102" t="s">
        <v>122</v>
      </c>
      <c r="C47" s="103">
        <v>3.0</v>
      </c>
      <c r="D47" s="104" t="s">
        <v>31</v>
      </c>
      <c r="E47" s="105">
        <v>1.0</v>
      </c>
      <c r="F47" s="106" t="s">
        <v>124</v>
      </c>
      <c r="G47" s="69"/>
      <c r="H47" s="95">
        <v>46193.0</v>
      </c>
      <c r="I47" s="96">
        <v>1.58333333333333</v>
      </c>
      <c r="J47" s="97"/>
      <c r="K47" s="130" t="s">
        <v>123</v>
      </c>
      <c r="L47" s="108">
        <v>0.0</v>
      </c>
      <c r="M47" s="108" t="str">
        <f t="array" ref="M47">N47-O47</f>
        <v>0</v>
      </c>
      <c r="N47" s="108">
        <v>0.0</v>
      </c>
      <c r="O47" s="108">
        <v>0.0</v>
      </c>
      <c r="P47" s="108">
        <v>0.0</v>
      </c>
      <c r="Q47" s="108">
        <v>0.0</v>
      </c>
      <c r="R47" s="109">
        <v>0.0</v>
      </c>
      <c r="S47" s="111"/>
      <c r="T47" s="101" t="str">
        <f t="array" ref="T47">IF(NOT(AND(ISNUMBER(C47),ISNUMBER(E47))),"XXX","")</f>
        <v/>
      </c>
      <c r="U47" s="19" t="str">
        <f t="shared" si="6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t="array" ref="AF47">IF(ISNUMBER(FIND("C",AC47,1)),SUBSTITUTE(AC47,"C","E"),SUBSTITUTE(AC47,"E","C"))</f>
        <v>C45</v>
      </c>
      <c r="AG47" s="80" t="str">
        <f t="array" ref="AG47">IF(ISNUMBER(FIND("C",AD47,1)),SUBSTITUTE(AD47,"C","E"),SUBSTITUTE(AD47,"E","C"))</f>
        <v>C48</v>
      </c>
      <c r="AH47" s="80" t="str">
        <f t="array" ref="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ht="12.75" customHeight="1">
      <c r="A48" s="67"/>
      <c r="B48" s="102" t="s">
        <v>125</v>
      </c>
      <c r="C48" s="103">
        <v>0.0</v>
      </c>
      <c r="D48" s="104" t="s">
        <v>31</v>
      </c>
      <c r="E48" s="105">
        <v>2.0</v>
      </c>
      <c r="F48" s="106" t="s">
        <v>123</v>
      </c>
      <c r="G48" s="69"/>
      <c r="H48" s="95">
        <v>46194.0</v>
      </c>
      <c r="I48" s="96">
        <v>1.04166666666667</v>
      </c>
      <c r="J48" s="97"/>
      <c r="K48" s="130" t="s">
        <v>124</v>
      </c>
      <c r="L48" s="108">
        <v>0.0</v>
      </c>
      <c r="M48" s="108" t="str">
        <f t="array" ref="M48">N48-O48</f>
        <v>0</v>
      </c>
      <c r="N48" s="108">
        <v>0.0</v>
      </c>
      <c r="O48" s="108">
        <v>0.0</v>
      </c>
      <c r="P48" s="108">
        <v>0.0</v>
      </c>
      <c r="Q48" s="108">
        <v>0.0</v>
      </c>
      <c r="R48" s="109">
        <v>0.0</v>
      </c>
      <c r="S48" s="111"/>
      <c r="T48" s="101" t="str">
        <f t="array" ref="T48">IF(NOT(AND(ISNUMBER(C48),ISNUMBER(E48))),"XXX","")</f>
        <v/>
      </c>
      <c r="U48" s="19" t="str">
        <f t="shared" si="6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t="array" ref="AF48">IF(ISNUMBER(FIND("C",AC48,1)),SUBSTITUTE(AC48,"C","E"),SUBSTITUTE(AC48,"E","C"))</f>
        <v>E46</v>
      </c>
      <c r="AG48" s="80" t="str">
        <f t="array" ref="AG48">IF(ISNUMBER(FIND("C",AD48,1)),SUBSTITUTE(AD48,"C","E"),SUBSTITUTE(AD48,"E","C"))</f>
        <v>C47</v>
      </c>
      <c r="AH48" s="80" t="str">
        <f t="array" ref="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ht="12.75" customHeight="1">
      <c r="A49" s="67"/>
      <c r="B49" s="102" t="s">
        <v>125</v>
      </c>
      <c r="C49" s="103">
        <v>1.0</v>
      </c>
      <c r="D49" s="104" t="s">
        <v>31</v>
      </c>
      <c r="E49" s="105">
        <v>3.0</v>
      </c>
      <c r="F49" s="106" t="s">
        <v>122</v>
      </c>
      <c r="G49" s="69"/>
      <c r="H49" s="95">
        <v>46198.0</v>
      </c>
      <c r="I49" s="96">
        <v>1.83333333333333</v>
      </c>
      <c r="J49" s="97"/>
      <c r="K49" s="131" t="s">
        <v>125</v>
      </c>
      <c r="L49" s="113">
        <v>0.0</v>
      </c>
      <c r="M49" s="113" t="str">
        <f t="array" ref="M49">N49-O49</f>
        <v>0</v>
      </c>
      <c r="N49" s="113">
        <v>0.0</v>
      </c>
      <c r="O49" s="113">
        <v>0.0</v>
      </c>
      <c r="P49" s="113">
        <v>0.0</v>
      </c>
      <c r="Q49" s="113">
        <v>0.0</v>
      </c>
      <c r="R49" s="114">
        <v>0.0</v>
      </c>
      <c r="S49" s="111"/>
      <c r="T49" s="101" t="str">
        <f t="array" ref="T49">IF(NOT(AND(ISNUMBER(C49),ISNUMBER(E49))),"XXX","")</f>
        <v/>
      </c>
      <c r="U49" s="19" t="str">
        <f t="shared" si="6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t="array" ref="AF49">IF(ISNUMBER(FIND("C",AC49,1)),SUBSTITUTE(AC49,"C","E"),SUBSTITUTE(AC49,"E","C"))</f>
        <v>C46</v>
      </c>
      <c r="AG49" s="80" t="str">
        <f t="array" ref="AG49">IF(ISNUMBER(FIND("C",AD49,1)),SUBSTITUTE(AD49,"C","E"),SUBSTITUTE(AD49,"E","C"))</f>
        <v>E48</v>
      </c>
      <c r="AH49" s="80" t="str">
        <f t="array" ref="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ht="13.5" customHeight="1">
      <c r="A50" s="67"/>
      <c r="B50" s="115" t="s">
        <v>123</v>
      </c>
      <c r="C50" s="116">
        <v>1.0</v>
      </c>
      <c r="D50" s="117" t="s">
        <v>31</v>
      </c>
      <c r="E50" s="118">
        <v>1.0</v>
      </c>
      <c r="F50" s="119" t="s">
        <v>124</v>
      </c>
      <c r="G50" s="69"/>
      <c r="H50" s="120">
        <v>46198.0</v>
      </c>
      <c r="I50" s="121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t="array" ref="T50">IF(NOT(AND(ISNUMBER(C50),ISNUMBER(E50))),"XXX","")</f>
        <v/>
      </c>
      <c r="U50" s="19" t="str">
        <f t="shared" si="6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ht="13.5" customHeight="1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ht="13.5" customHeight="1">
      <c r="A52" s="67"/>
      <c r="B52" s="83" t="s">
        <v>138</v>
      </c>
      <c r="C52" s="9"/>
      <c r="D52" s="9"/>
      <c r="E52" s="9"/>
      <c r="F52" s="10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9"/>
      <c r="V52" s="19"/>
      <c r="W52" s="19"/>
      <c r="X52" s="20"/>
      <c r="Y52" s="33"/>
      <c r="Z52" s="33"/>
      <c r="AA52" s="33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ht="13.5" customHeight="1">
      <c r="A53" s="67"/>
      <c r="B53" s="90" t="s">
        <v>139</v>
      </c>
      <c r="C53" s="91">
        <v>2.0</v>
      </c>
      <c r="D53" s="92" t="s">
        <v>31</v>
      </c>
      <c r="E53" s="93">
        <v>2.0</v>
      </c>
      <c r="F53" s="129" t="s">
        <v>140</v>
      </c>
      <c r="G53" s="69"/>
      <c r="H53" s="95">
        <v>46188.0</v>
      </c>
      <c r="I53" s="96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t="array" ref="T53">IF(NOT(AND(ISNUMBER(C53),ISNUMBER(E53))),"XXX","")</f>
        <v/>
      </c>
      <c r="U53" s="19" t="str">
        <f t="shared" ref="U53:U58" si="7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ht="13.5" customHeight="1">
      <c r="A54" s="67"/>
      <c r="B54" s="102" t="s">
        <v>141</v>
      </c>
      <c r="C54" s="103">
        <v>2.0</v>
      </c>
      <c r="D54" s="104" t="s">
        <v>31</v>
      </c>
      <c r="E54" s="105">
        <v>0.0</v>
      </c>
      <c r="F54" s="106" t="s">
        <v>142</v>
      </c>
      <c r="G54" s="69"/>
      <c r="H54" s="95">
        <v>46188.0</v>
      </c>
      <c r="I54" s="96">
        <v>1.91666666666667</v>
      </c>
      <c r="J54" s="97"/>
      <c r="K54" s="130" t="s">
        <v>139</v>
      </c>
      <c r="L54" s="108">
        <v>0.0</v>
      </c>
      <c r="M54" s="108" t="str">
        <f t="array" ref="M54">N54-O54</f>
        <v>0</v>
      </c>
      <c r="N54" s="108">
        <v>0.0</v>
      </c>
      <c r="O54" s="108">
        <v>0.0</v>
      </c>
      <c r="P54" s="108">
        <v>0.0</v>
      </c>
      <c r="Q54" s="108">
        <v>0.0</v>
      </c>
      <c r="R54" s="109">
        <v>0.0</v>
      </c>
      <c r="S54" s="100"/>
      <c r="T54" s="101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t="array" ref="AF54">IF(ISNUMBER(FIND("C",AC54,1)),SUBSTITUTE(AC54,"C","E"),SUBSTITUTE(AC54,"E","C"))</f>
        <v>E53</v>
      </c>
      <c r="AG54" s="80" t="str">
        <f t="array" ref="AG54">IF(ISNUMBER(FIND("C",AD54,1)),SUBSTITUTE(AD54,"C","E"),SUBSTITUTE(AD54,"E","C"))</f>
        <v>E55</v>
      </c>
      <c r="AH54" s="80" t="str">
        <f t="array" ref="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ht="12.75" customHeight="1">
      <c r="A55" s="67"/>
      <c r="B55" s="102" t="s">
        <v>139</v>
      </c>
      <c r="C55" s="103">
        <v>1.0</v>
      </c>
      <c r="D55" s="104" t="s">
        <v>31</v>
      </c>
      <c r="E55" s="105">
        <v>1.0</v>
      </c>
      <c r="F55" s="106" t="s">
        <v>141</v>
      </c>
      <c r="G55" s="69"/>
      <c r="H55" s="95">
        <v>46194.0</v>
      </c>
      <c r="I55" s="96">
        <v>1.66666666666667</v>
      </c>
      <c r="J55" s="97"/>
      <c r="K55" s="130" t="s">
        <v>140</v>
      </c>
      <c r="L55" s="108">
        <v>0.0</v>
      </c>
      <c r="M55" s="108" t="str">
        <f t="array" ref="M55">N55-O55</f>
        <v>0</v>
      </c>
      <c r="N55" s="108">
        <v>0.0</v>
      </c>
      <c r="O55" s="108">
        <v>0.0</v>
      </c>
      <c r="P55" s="108">
        <v>0.0</v>
      </c>
      <c r="Q55" s="108">
        <v>0.0</v>
      </c>
      <c r="R55" s="109">
        <v>0.0</v>
      </c>
      <c r="S55" s="111"/>
      <c r="T55" s="101" t="str">
        <f t="array" ref="T55">IF(NOT(AND(ISNUMBER(C55),ISNUMBER(E55))),"XXX","")</f>
        <v/>
      </c>
      <c r="U55" s="19" t="str">
        <f t="shared" si="7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t="array" ref="AF55">IF(ISNUMBER(FIND("C",AC55,1)),SUBSTITUTE(AC55,"C","E"),SUBSTITUTE(AC55,"E","C"))</f>
        <v>C53</v>
      </c>
      <c r="AG55" s="80" t="str">
        <f t="array" ref="AG55">IF(ISNUMBER(FIND("C",AD55,1)),SUBSTITUTE(AD55,"C","E"),SUBSTITUTE(AD55,"E","C"))</f>
        <v>C56</v>
      </c>
      <c r="AH55" s="80" t="str">
        <f t="array" ref="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ht="12.75" customHeight="1">
      <c r="A56" s="67"/>
      <c r="B56" s="102" t="s">
        <v>142</v>
      </c>
      <c r="C56" s="103">
        <v>0.0</v>
      </c>
      <c r="D56" s="104" t="s">
        <v>31</v>
      </c>
      <c r="E56" s="105">
        <v>3.0</v>
      </c>
      <c r="F56" s="106" t="s">
        <v>140</v>
      </c>
      <c r="G56" s="69"/>
      <c r="H56" s="95">
        <v>46194.0</v>
      </c>
      <c r="I56" s="96">
        <v>1.91666666666667</v>
      </c>
      <c r="J56" s="97"/>
      <c r="K56" s="130" t="s">
        <v>141</v>
      </c>
      <c r="L56" s="108">
        <v>0.0</v>
      </c>
      <c r="M56" s="108" t="str">
        <f t="array" ref="M56">N56-O56</f>
        <v>0</v>
      </c>
      <c r="N56" s="108">
        <v>0.0</v>
      </c>
      <c r="O56" s="108">
        <v>0.0</v>
      </c>
      <c r="P56" s="108">
        <v>0.0</v>
      </c>
      <c r="Q56" s="108">
        <v>0.0</v>
      </c>
      <c r="R56" s="109">
        <v>0.0</v>
      </c>
      <c r="S56" s="111"/>
      <c r="T56" s="101" t="str">
        <f t="array" ref="T56">IF(NOT(AND(ISNUMBER(C56),ISNUMBER(E56))),"XXX","")</f>
        <v/>
      </c>
      <c r="U56" s="19" t="str">
        <f t="shared" si="7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t="array" ref="AF56">IF(ISNUMBER(FIND("C",AC56,1)),SUBSTITUTE(AC56,"C","E"),SUBSTITUTE(AC56,"E","C"))</f>
        <v>E54</v>
      </c>
      <c r="AG56" s="80" t="str">
        <f t="array" ref="AG56">IF(ISNUMBER(FIND("C",AD56,1)),SUBSTITUTE(AD56,"C","E"),SUBSTITUTE(AD56,"E","C"))</f>
        <v>C55</v>
      </c>
      <c r="AH56" s="80" t="str">
        <f t="array" ref="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ht="12.75" customHeight="1">
      <c r="A57" s="67"/>
      <c r="B57" s="102" t="s">
        <v>140</v>
      </c>
      <c r="C57" s="103">
        <v>0.0</v>
      </c>
      <c r="D57" s="104" t="s">
        <v>31</v>
      </c>
      <c r="E57" s="105">
        <v>0.0</v>
      </c>
      <c r="F57" s="106" t="s">
        <v>141</v>
      </c>
      <c r="G57" s="69"/>
      <c r="H57" s="95">
        <v>46200.0</v>
      </c>
      <c r="I57" s="96">
        <v>1.0</v>
      </c>
      <c r="J57" s="97"/>
      <c r="K57" s="131" t="s">
        <v>142</v>
      </c>
      <c r="L57" s="113">
        <v>0.0</v>
      </c>
      <c r="M57" s="113" t="str">
        <f t="array" ref="M57">N57-O57</f>
        <v>0</v>
      </c>
      <c r="N57" s="113">
        <v>0.0</v>
      </c>
      <c r="O57" s="113">
        <v>0.0</v>
      </c>
      <c r="P57" s="113">
        <v>0.0</v>
      </c>
      <c r="Q57" s="113">
        <v>0.0</v>
      </c>
      <c r="R57" s="114">
        <v>0.0</v>
      </c>
      <c r="S57" s="111"/>
      <c r="T57" s="101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t="array" ref="AF57">IF(ISNUMBER(FIND("C",AC57,1)),SUBSTITUTE(AC57,"C","E"),SUBSTITUTE(AC57,"E","C"))</f>
        <v>C54</v>
      </c>
      <c r="AG57" s="80" t="str">
        <f t="array" ref="AG57">IF(ISNUMBER(FIND("C",AD57,1)),SUBSTITUTE(AD57,"C","E"),SUBSTITUTE(AD57,"E","C"))</f>
        <v>E56</v>
      </c>
      <c r="AH57" s="80" t="str">
        <f t="array" ref="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ht="13.5" customHeight="1">
      <c r="A58" s="67"/>
      <c r="B58" s="115" t="s">
        <v>142</v>
      </c>
      <c r="C58" s="116">
        <v>0.0</v>
      </c>
      <c r="D58" s="117" t="s">
        <v>31</v>
      </c>
      <c r="E58" s="118">
        <v>4.0</v>
      </c>
      <c r="F58" s="119" t="s">
        <v>139</v>
      </c>
      <c r="G58" s="69"/>
      <c r="H58" s="120">
        <v>46200.0</v>
      </c>
      <c r="I58" s="121">
        <v>1.0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ht="13.5" customHeight="1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ht="13.5" customHeight="1">
      <c r="A60" s="67"/>
      <c r="B60" s="83" t="s">
        <v>155</v>
      </c>
      <c r="C60" s="9"/>
      <c r="D60" s="9"/>
      <c r="E60" s="9"/>
      <c r="F60" s="10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9"/>
      <c r="V60" s="19"/>
      <c r="W60" s="19"/>
      <c r="X60" s="20"/>
      <c r="Y60" s="33"/>
      <c r="Z60" s="33"/>
      <c r="AA60" s="33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ht="13.5" customHeight="1">
      <c r="A61" s="67"/>
      <c r="B61" s="90" t="s">
        <v>156</v>
      </c>
      <c r="C61" s="91">
        <v>4.0</v>
      </c>
      <c r="D61" s="92" t="s">
        <v>31</v>
      </c>
      <c r="E61" s="93">
        <v>0.0</v>
      </c>
      <c r="F61" s="129" t="s">
        <v>157</v>
      </c>
      <c r="G61" s="69"/>
      <c r="H61" s="95">
        <v>46188.0</v>
      </c>
      <c r="I61" s="96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ht="13.5" customHeight="1">
      <c r="A62" s="67"/>
      <c r="B62" s="102" t="s">
        <v>158</v>
      </c>
      <c r="C62" s="103">
        <v>2.0</v>
      </c>
      <c r="D62" s="104" t="s">
        <v>31</v>
      </c>
      <c r="E62" s="105">
        <v>1.0</v>
      </c>
      <c r="F62" s="106" t="s">
        <v>159</v>
      </c>
      <c r="G62" s="69"/>
      <c r="H62" s="95">
        <v>46188.0</v>
      </c>
      <c r="I62" s="96">
        <v>1.79166666666667</v>
      </c>
      <c r="J62" s="97"/>
      <c r="K62" s="130" t="s">
        <v>158</v>
      </c>
      <c r="L62" s="108">
        <v>0.0</v>
      </c>
      <c r="M62" s="108" t="str">
        <f t="array" ref="M62">N62-O62</f>
        <v>0</v>
      </c>
      <c r="N62" s="108">
        <v>0.0</v>
      </c>
      <c r="O62" s="108">
        <v>0.0</v>
      </c>
      <c r="P62" s="108">
        <v>0.0</v>
      </c>
      <c r="Q62" s="108">
        <v>0.0</v>
      </c>
      <c r="R62" s="109">
        <v>0.0</v>
      </c>
      <c r="S62" s="100"/>
      <c r="T62" s="101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t="array" ref="AF62">IF(ISNUMBER(FIND("C",AC62,1)),SUBSTITUTE(AC62,"C","E"),SUBSTITUTE(AC62,"E","C"))</f>
        <v>E62</v>
      </c>
      <c r="AG62" s="80" t="str">
        <f t="array" ref="AG62">IF(ISNUMBER(FIND("C",AD62,1)),SUBSTITUTE(AD62,"C","E"),SUBSTITUTE(AD62,"E","C"))</f>
        <v>C63</v>
      </c>
      <c r="AH62" s="80" t="str">
        <f t="array" ref="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ht="12.75" customHeight="1">
      <c r="A63" s="67"/>
      <c r="B63" s="102" t="s">
        <v>156</v>
      </c>
      <c r="C63" s="103">
        <v>2.0</v>
      </c>
      <c r="D63" s="104" t="s">
        <v>31</v>
      </c>
      <c r="E63" s="105">
        <v>2.0</v>
      </c>
      <c r="F63" s="106" t="s">
        <v>158</v>
      </c>
      <c r="G63" s="69"/>
      <c r="H63" s="95">
        <v>46194.0</v>
      </c>
      <c r="I63" s="96">
        <v>1.54166666666667</v>
      </c>
      <c r="J63" s="97"/>
      <c r="K63" s="130" t="s">
        <v>157</v>
      </c>
      <c r="L63" s="108">
        <v>0.0</v>
      </c>
      <c r="M63" s="108" t="str">
        <f t="array" ref="M63">N63-O63</f>
        <v>0</v>
      </c>
      <c r="N63" s="108">
        <v>0.0</v>
      </c>
      <c r="O63" s="108">
        <v>0.0</v>
      </c>
      <c r="P63" s="108">
        <v>0.0</v>
      </c>
      <c r="Q63" s="108">
        <v>0.0</v>
      </c>
      <c r="R63" s="109">
        <v>0.0</v>
      </c>
      <c r="S63" s="111"/>
      <c r="T63" s="101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t="array" ref="AF63">IF(ISNUMBER(FIND("C",AC63,1)),SUBSTITUTE(AC63,"C","E"),SUBSTITUTE(AC63,"E","C"))</f>
        <v>C61</v>
      </c>
      <c r="AG63" s="80" t="str">
        <f t="array" ref="AG63">IF(ISNUMBER(FIND("C",AD63,1)),SUBSTITUTE(AD63,"C","E"),SUBSTITUTE(AD63,"E","C"))</f>
        <v>C64</v>
      </c>
      <c r="AH63" s="80" t="str">
        <f t="array" ref="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ht="12.75" customHeight="1">
      <c r="A64" s="67"/>
      <c r="B64" s="102" t="s">
        <v>159</v>
      </c>
      <c r="C64" s="103">
        <v>2.0</v>
      </c>
      <c r="D64" s="104" t="s">
        <v>31</v>
      </c>
      <c r="E64" s="105">
        <v>1.0</v>
      </c>
      <c r="F64" s="106" t="s">
        <v>157</v>
      </c>
      <c r="G64" s="69"/>
      <c r="H64" s="95">
        <v>46194.0</v>
      </c>
      <c r="I64" s="96">
        <v>1.79166666666667</v>
      </c>
      <c r="J64" s="97"/>
      <c r="K64" s="130" t="s">
        <v>156</v>
      </c>
      <c r="L64" s="108">
        <v>0.0</v>
      </c>
      <c r="M64" s="108" t="str">
        <f t="array" ref="M64">N64-O64</f>
        <v>0</v>
      </c>
      <c r="N64" s="108">
        <v>0.0</v>
      </c>
      <c r="O64" s="108">
        <v>0.0</v>
      </c>
      <c r="P64" s="108">
        <v>0.0</v>
      </c>
      <c r="Q64" s="108">
        <v>0.0</v>
      </c>
      <c r="R64" s="109">
        <v>0.0</v>
      </c>
      <c r="S64" s="111"/>
      <c r="T64" s="101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t="array" ref="AF64">IF(ISNUMBER(FIND("C",AC64,1)),SUBSTITUTE(AC64,"C","E"),SUBSTITUTE(AC64,"E","C"))</f>
        <v>E61</v>
      </c>
      <c r="AG64" s="80" t="str">
        <f t="array" ref="AG64">IF(ISNUMBER(FIND("C",AD64,1)),SUBSTITUTE(AD64,"C","E"),SUBSTITUTE(AD64,"E","C"))</f>
        <v>E63</v>
      </c>
      <c r="AH64" s="80" t="str">
        <f t="array" ref="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ht="12.75" customHeight="1">
      <c r="A65" s="67"/>
      <c r="B65" s="102" t="s">
        <v>157</v>
      </c>
      <c r="C65" s="103">
        <v>1.0</v>
      </c>
      <c r="D65" s="104" t="s">
        <v>31</v>
      </c>
      <c r="E65" s="105">
        <v>1.0</v>
      </c>
      <c r="F65" s="106" t="s">
        <v>158</v>
      </c>
      <c r="G65" s="69"/>
      <c r="H65" s="95">
        <v>46199.0</v>
      </c>
      <c r="I65" s="96">
        <v>1.875</v>
      </c>
      <c r="J65" s="97"/>
      <c r="K65" s="131" t="s">
        <v>159</v>
      </c>
      <c r="L65" s="113">
        <v>0.0</v>
      </c>
      <c r="M65" s="113" t="str">
        <f t="array" ref="M65">N65-O65</f>
        <v>0</v>
      </c>
      <c r="N65" s="113">
        <v>0.0</v>
      </c>
      <c r="O65" s="113">
        <v>0.0</v>
      </c>
      <c r="P65" s="113">
        <v>0.0</v>
      </c>
      <c r="Q65" s="113">
        <v>0.0</v>
      </c>
      <c r="R65" s="114">
        <v>0.0</v>
      </c>
      <c r="S65" s="111"/>
      <c r="T65" s="101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t="array" ref="AF65">IF(ISNUMBER(FIND("C",AC65,1)),SUBSTITUTE(AC65,"C","E"),SUBSTITUTE(AC65,"E","C"))</f>
        <v>C62</v>
      </c>
      <c r="AG65" s="80" t="str">
        <f t="array" ref="AG65">IF(ISNUMBER(FIND("C",AD65,1)),SUBSTITUTE(AD65,"C","E"),SUBSTITUTE(AD65,"E","C"))</f>
        <v>E64</v>
      </c>
      <c r="AH65" s="80" t="str">
        <f t="array" ref="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ht="13.5" customHeight="1">
      <c r="A66" s="67"/>
      <c r="B66" s="115" t="s">
        <v>159</v>
      </c>
      <c r="C66" s="116">
        <v>0.0</v>
      </c>
      <c r="D66" s="117" t="s">
        <v>31</v>
      </c>
      <c r="E66" s="118">
        <v>3.0</v>
      </c>
      <c r="F66" s="119" t="s">
        <v>156</v>
      </c>
      <c r="G66" s="69"/>
      <c r="H66" s="120">
        <v>46199.0</v>
      </c>
      <c r="I66" s="121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ht="12.75" customHeight="1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ht="12.75" customHeight="1">
      <c r="A68" s="67"/>
      <c r="B68" s="83" t="s">
        <v>172</v>
      </c>
      <c r="C68" s="9"/>
      <c r="D68" s="9"/>
      <c r="E68" s="9"/>
      <c r="F68" s="10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9"/>
      <c r="V68" s="19"/>
      <c r="W68" s="19"/>
      <c r="X68" s="20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ht="12.75" customHeight="1">
      <c r="A69" s="67"/>
      <c r="B69" s="90" t="s">
        <v>173</v>
      </c>
      <c r="C69" s="91">
        <v>2.0</v>
      </c>
      <c r="D69" s="92" t="s">
        <v>31</v>
      </c>
      <c r="E69" s="93">
        <v>2.0</v>
      </c>
      <c r="F69" s="129" t="s">
        <v>174</v>
      </c>
      <c r="G69" s="69"/>
      <c r="H69" s="95">
        <v>46189.0</v>
      </c>
      <c r="I69" s="96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ht="12.75" customHeight="1">
      <c r="A70" s="67"/>
      <c r="B70" s="102" t="s">
        <v>175</v>
      </c>
      <c r="C70" s="103">
        <v>1.0</v>
      </c>
      <c r="D70" s="104" t="s">
        <v>31</v>
      </c>
      <c r="E70" s="105">
        <v>3.0</v>
      </c>
      <c r="F70" s="106" t="s">
        <v>176</v>
      </c>
      <c r="G70" s="69"/>
      <c r="H70" s="95">
        <v>46189.0</v>
      </c>
      <c r="I70" s="96">
        <v>1.79166666666667</v>
      </c>
      <c r="J70" s="97"/>
      <c r="K70" s="130" t="s">
        <v>173</v>
      </c>
      <c r="L70" s="108">
        <v>0.0</v>
      </c>
      <c r="M70" s="108" t="str">
        <f t="array" ref="M70">N70-O70</f>
        <v>0</v>
      </c>
      <c r="N70" s="108">
        <v>0.0</v>
      </c>
      <c r="O70" s="108">
        <v>0.0</v>
      </c>
      <c r="P70" s="108">
        <v>0.0</v>
      </c>
      <c r="Q70" s="108">
        <v>0.0</v>
      </c>
      <c r="R70" s="109">
        <v>0.0</v>
      </c>
      <c r="S70" s="100"/>
      <c r="T70" s="101" t="str">
        <f t="array" ref="T70">IF(NOT(AND(ISNUMBER(C70),ISNUMBER(E70))),"XXX","")</f>
        <v/>
      </c>
      <c r="U70" s="19" t="str">
        <f t="shared" si="9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t="array" ref="AF70">IF(ISNUMBER(FIND("C",AC70,1)),SUBSTITUTE(AC70,"C","E"),SUBSTITUTE(AC70,"E","C"))</f>
        <v>E69</v>
      </c>
      <c r="AG70" s="80" t="str">
        <f t="array" ref="AG70">IF(ISNUMBER(FIND("C",AD70,1)),SUBSTITUTE(AD70,"C","E"),SUBSTITUTE(AD70,"E","C"))</f>
        <v>E71</v>
      </c>
      <c r="AH70" s="80" t="str">
        <f t="array" ref="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ht="12.75" customHeight="1">
      <c r="A71" s="67"/>
      <c r="B71" s="102" t="s">
        <v>173</v>
      </c>
      <c r="C71" s="103">
        <v>1.0</v>
      </c>
      <c r="D71" s="104" t="s">
        <v>31</v>
      </c>
      <c r="E71" s="105">
        <v>1.0</v>
      </c>
      <c r="F71" s="106" t="s">
        <v>175</v>
      </c>
      <c r="G71" s="69"/>
      <c r="H71" s="95">
        <v>46195.0</v>
      </c>
      <c r="I71" s="96">
        <v>1.75</v>
      </c>
      <c r="J71" s="97"/>
      <c r="K71" s="130" t="s">
        <v>175</v>
      </c>
      <c r="L71" s="108">
        <v>0.0</v>
      </c>
      <c r="M71" s="108" t="str">
        <f t="array" ref="M71">N71-O71</f>
        <v>0</v>
      </c>
      <c r="N71" s="108">
        <v>0.0</v>
      </c>
      <c r="O71" s="108">
        <v>0.0</v>
      </c>
      <c r="P71" s="108">
        <v>0.0</v>
      </c>
      <c r="Q71" s="108">
        <v>0.0</v>
      </c>
      <c r="R71" s="109">
        <v>0.0</v>
      </c>
      <c r="S71" s="111"/>
      <c r="T71" s="101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t="array" ref="AF71">IF(ISNUMBER(FIND("C",AC71,1)),SUBSTITUTE(AC71,"C","E"),SUBSTITUTE(AC71,"E","C"))</f>
        <v>E70</v>
      </c>
      <c r="AG71" s="80" t="str">
        <f t="array" ref="AG71">IF(ISNUMBER(FIND("C",AD71,1)),SUBSTITUTE(AD71,"C","E"),SUBSTITUTE(AD71,"E","C"))</f>
        <v>C71</v>
      </c>
      <c r="AH71" s="80" t="str">
        <f t="array" ref="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ht="12.75" customHeight="1">
      <c r="A72" s="67"/>
      <c r="B72" s="102" t="s">
        <v>176</v>
      </c>
      <c r="C72" s="103">
        <v>2.0</v>
      </c>
      <c r="D72" s="104" t="s">
        <v>31</v>
      </c>
      <c r="E72" s="105">
        <v>2.0</v>
      </c>
      <c r="F72" s="106" t="s">
        <v>174</v>
      </c>
      <c r="G72" s="69"/>
      <c r="H72" s="95">
        <v>46195.0</v>
      </c>
      <c r="I72" s="96">
        <v>1.875</v>
      </c>
      <c r="J72" s="97"/>
      <c r="K72" s="130" t="s">
        <v>176</v>
      </c>
      <c r="L72" s="108">
        <v>0.0</v>
      </c>
      <c r="M72" s="108" t="str">
        <f t="array" ref="M72">N72-O72</f>
        <v>0</v>
      </c>
      <c r="N72" s="108">
        <v>0.0</v>
      </c>
      <c r="O72" s="108">
        <v>0.0</v>
      </c>
      <c r="P72" s="108">
        <v>0.0</v>
      </c>
      <c r="Q72" s="108">
        <v>0.0</v>
      </c>
      <c r="R72" s="109">
        <v>0.0</v>
      </c>
      <c r="S72" s="111"/>
      <c r="T72" s="101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t="array" ref="AF72">IF(ISNUMBER(FIND("C",AC72,1)),SUBSTITUTE(AC72,"C","E"),SUBSTITUTE(AC72,"E","C"))</f>
        <v>C70</v>
      </c>
      <c r="AG72" s="80" t="str">
        <f t="array" ref="AG72">IF(ISNUMBER(FIND("C",AD72,1)),SUBSTITUTE(AD72,"C","E"),SUBSTITUTE(AD72,"E","C"))</f>
        <v>E72</v>
      </c>
      <c r="AH72" s="80" t="str">
        <f t="array" ref="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ht="12.75" customHeight="1">
      <c r="A73" s="67"/>
      <c r="B73" s="102" t="s">
        <v>174</v>
      </c>
      <c r="C73" s="103">
        <v>3.0</v>
      </c>
      <c r="D73" s="104" t="s">
        <v>31</v>
      </c>
      <c r="E73" s="105">
        <v>1.0</v>
      </c>
      <c r="F73" s="106" t="s">
        <v>175</v>
      </c>
      <c r="G73" s="69"/>
      <c r="H73" s="95">
        <v>46199.0</v>
      </c>
      <c r="I73" s="96">
        <v>1.66666666666667</v>
      </c>
      <c r="J73" s="97"/>
      <c r="K73" s="131" t="s">
        <v>174</v>
      </c>
      <c r="L73" s="113">
        <v>0.0</v>
      </c>
      <c r="M73" s="113" t="str">
        <f t="array" ref="M73">N73-O73</f>
        <v>0</v>
      </c>
      <c r="N73" s="113">
        <v>0.0</v>
      </c>
      <c r="O73" s="113">
        <v>0.0</v>
      </c>
      <c r="P73" s="113">
        <v>0.0</v>
      </c>
      <c r="Q73" s="113">
        <v>0.0</v>
      </c>
      <c r="R73" s="114">
        <v>0.0</v>
      </c>
      <c r="S73" s="111"/>
      <c r="T73" s="101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t="array" ref="AF73">IF(ISNUMBER(FIND("C",AC73,1)),SUBSTITUTE(AC73,"C","E"),SUBSTITUTE(AC73,"E","C"))</f>
        <v>C69</v>
      </c>
      <c r="AG73" s="80" t="str">
        <f t="array" ref="AG73">IF(ISNUMBER(FIND("C",AD73,1)),SUBSTITUTE(AD73,"C","E"),SUBSTITUTE(AD73,"E","C"))</f>
        <v>C72</v>
      </c>
      <c r="AH73" s="80" t="str">
        <f t="array" ref="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ht="12.75" customHeight="1">
      <c r="A74" s="67"/>
      <c r="B74" s="115" t="s">
        <v>176</v>
      </c>
      <c r="C74" s="116">
        <v>1.0</v>
      </c>
      <c r="D74" s="117" t="s">
        <v>31</v>
      </c>
      <c r="E74" s="118">
        <v>2.0</v>
      </c>
      <c r="F74" s="119" t="s">
        <v>173</v>
      </c>
      <c r="G74" s="69"/>
      <c r="H74" s="120">
        <v>46199.0</v>
      </c>
      <c r="I74" s="121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ht="12.75" customHeight="1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ht="12.75" customHeight="1">
      <c r="A76" s="67"/>
      <c r="B76" s="83" t="s">
        <v>189</v>
      </c>
      <c r="C76" s="9"/>
      <c r="D76" s="9"/>
      <c r="E76" s="9"/>
      <c r="F76" s="10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9"/>
      <c r="V76" s="19"/>
      <c r="W76" s="19"/>
      <c r="X76" s="20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ht="12.75" customHeight="1">
      <c r="A77" s="67"/>
      <c r="B77" s="90" t="s">
        <v>190</v>
      </c>
      <c r="C77" s="91">
        <v>2.0</v>
      </c>
      <c r="D77" s="92" t="s">
        <v>31</v>
      </c>
      <c r="E77" s="93">
        <v>1.0</v>
      </c>
      <c r="F77" s="129" t="s">
        <v>191</v>
      </c>
      <c r="G77" s="69"/>
      <c r="H77" s="95">
        <v>46189.0</v>
      </c>
      <c r="I77" s="96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t="array" ref="T77">IF(NOT(AND(ISNUMBER(C77),ISNUMBER(E77))),"XXX","")</f>
        <v/>
      </c>
      <c r="U77" s="19" t="str">
        <f t="shared" ref="U77:U82" si="10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ht="12.75" customHeight="1">
      <c r="A78" s="67"/>
      <c r="B78" s="102" t="s">
        <v>192</v>
      </c>
      <c r="C78" s="103">
        <v>2.0</v>
      </c>
      <c r="D78" s="104" t="s">
        <v>31</v>
      </c>
      <c r="E78" s="105">
        <v>2.0</v>
      </c>
      <c r="F78" s="106" t="s">
        <v>193</v>
      </c>
      <c r="G78" s="69"/>
      <c r="H78" s="95">
        <v>46190.0</v>
      </c>
      <c r="I78" s="96">
        <v>1.04166666666667</v>
      </c>
      <c r="J78" s="97"/>
      <c r="K78" s="130" t="s">
        <v>190</v>
      </c>
      <c r="L78" s="108">
        <v>0.0</v>
      </c>
      <c r="M78" s="108" t="str">
        <f t="array" ref="M78">N78-O78</f>
        <v>0</v>
      </c>
      <c r="N78" s="108">
        <v>0.0</v>
      </c>
      <c r="O78" s="108">
        <v>0.0</v>
      </c>
      <c r="P78" s="108">
        <v>0.0</v>
      </c>
      <c r="Q78" s="108">
        <v>0.0</v>
      </c>
      <c r="R78" s="109">
        <v>0.0</v>
      </c>
      <c r="S78" s="100"/>
      <c r="T78" s="101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t="array" ref="AF78">IF(ISNUMBER(FIND("C",AC78,1)),SUBSTITUTE(AC78,"C","E"),SUBSTITUTE(AC78,"E","C"))</f>
        <v>E77</v>
      </c>
      <c r="AG78" s="80" t="str">
        <f t="array" ref="AG78">IF(ISNUMBER(FIND("C",AD78,1)),SUBSTITUTE(AD78,"C","E"),SUBSTITUTE(AD78,"E","C"))</f>
        <v>E79</v>
      </c>
      <c r="AH78" s="80" t="str">
        <f t="array" ref="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ht="12.75" customHeight="1">
      <c r="A79" s="67"/>
      <c r="B79" s="102" t="s">
        <v>190</v>
      </c>
      <c r="C79" s="103">
        <v>2.0</v>
      </c>
      <c r="D79" s="104" t="s">
        <v>31</v>
      </c>
      <c r="E79" s="105">
        <v>2.0</v>
      </c>
      <c r="F79" s="106" t="s">
        <v>192</v>
      </c>
      <c r="G79" s="69"/>
      <c r="H79" s="95">
        <v>46195.0</v>
      </c>
      <c r="I79" s="96">
        <v>1.58333333333333</v>
      </c>
      <c r="J79" s="97"/>
      <c r="K79" s="130" t="s">
        <v>191</v>
      </c>
      <c r="L79" s="108">
        <v>0.0</v>
      </c>
      <c r="M79" s="108" t="str">
        <f t="array" ref="M79">N79-O79</f>
        <v>0</v>
      </c>
      <c r="N79" s="108">
        <v>0.0</v>
      </c>
      <c r="O79" s="108">
        <v>0.0</v>
      </c>
      <c r="P79" s="108">
        <v>0.0</v>
      </c>
      <c r="Q79" s="108">
        <v>0.0</v>
      </c>
      <c r="R79" s="109">
        <v>0.0</v>
      </c>
      <c r="S79" s="111"/>
      <c r="T79" s="101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t="array" ref="AF79">IF(ISNUMBER(FIND("C",AC79,1)),SUBSTITUTE(AC79,"C","E"),SUBSTITUTE(AC79,"E","C"))</f>
        <v>C77</v>
      </c>
      <c r="AG79" s="80" t="str">
        <f t="array" ref="AG79">IF(ISNUMBER(FIND("C",AD79,1)),SUBSTITUTE(AD79,"C","E"),SUBSTITUTE(AD79,"E","C"))</f>
        <v>C80</v>
      </c>
      <c r="AH79" s="80" t="str">
        <f t="array" ref="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ht="12.75" customHeight="1">
      <c r="A80" s="67"/>
      <c r="B80" s="102" t="s">
        <v>193</v>
      </c>
      <c r="C80" s="103">
        <v>1.0</v>
      </c>
      <c r="D80" s="104" t="s">
        <v>31</v>
      </c>
      <c r="E80" s="105">
        <v>1.0</v>
      </c>
      <c r="F80" s="106" t="s">
        <v>191</v>
      </c>
      <c r="G80" s="69"/>
      <c r="H80" s="95">
        <v>46196.0</v>
      </c>
      <c r="I80" s="96">
        <v>1.0</v>
      </c>
      <c r="J80" s="97"/>
      <c r="K80" s="130" t="s">
        <v>193</v>
      </c>
      <c r="L80" s="108">
        <v>0.0</v>
      </c>
      <c r="M80" s="108" t="str">
        <f t="array" ref="M80">N80-O80</f>
        <v>0</v>
      </c>
      <c r="N80" s="108">
        <v>0.0</v>
      </c>
      <c r="O80" s="108">
        <v>0.0</v>
      </c>
      <c r="P80" s="108">
        <v>0.0</v>
      </c>
      <c r="Q80" s="108">
        <v>0.0</v>
      </c>
      <c r="R80" s="109">
        <v>0.0</v>
      </c>
      <c r="S80" s="111"/>
      <c r="T80" s="101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t="array" ref="AF80">IF(ISNUMBER(FIND("C",AC80,1)),SUBSTITUTE(AC80,"C","E"),SUBSTITUTE(AC80,"E","C"))</f>
        <v>C78</v>
      </c>
      <c r="AG80" s="80" t="str">
        <f t="array" ref="AG80">IF(ISNUMBER(FIND("C",AD80,1)),SUBSTITUTE(AD80,"C","E"),SUBSTITUTE(AD80,"E","C"))</f>
        <v>E80</v>
      </c>
      <c r="AH80" s="80" t="str">
        <f t="array" ref="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ht="12.75" customHeight="1">
      <c r="A81" s="67"/>
      <c r="B81" s="102" t="s">
        <v>193</v>
      </c>
      <c r="C81" s="103">
        <v>1.0</v>
      </c>
      <c r="D81" s="104" t="s">
        <v>31</v>
      </c>
      <c r="E81" s="105">
        <v>2.0</v>
      </c>
      <c r="F81" s="106" t="s">
        <v>190</v>
      </c>
      <c r="G81" s="69"/>
      <c r="H81" s="95">
        <v>46200.0</v>
      </c>
      <c r="I81" s="96">
        <v>1.95833333333333</v>
      </c>
      <c r="J81" s="97"/>
      <c r="K81" s="131" t="s">
        <v>192</v>
      </c>
      <c r="L81" s="113">
        <v>0.0</v>
      </c>
      <c r="M81" s="113" t="str">
        <f t="array" ref="M81">N81-O81</f>
        <v>0</v>
      </c>
      <c r="N81" s="113">
        <v>0.0</v>
      </c>
      <c r="O81" s="113">
        <v>0.0</v>
      </c>
      <c r="P81" s="113">
        <v>0.0</v>
      </c>
      <c r="Q81" s="113">
        <v>0.0</v>
      </c>
      <c r="R81" s="114">
        <v>0.0</v>
      </c>
      <c r="S81" s="111"/>
      <c r="T81" s="101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t="array" ref="AF81">IF(ISNUMBER(FIND("C",AC81,1)),SUBSTITUTE(AC81,"C","E"),SUBSTITUTE(AC81,"E","C"))</f>
        <v>E78</v>
      </c>
      <c r="AG81" s="80" t="str">
        <f t="array" ref="AG81">IF(ISNUMBER(FIND("C",AD81,1)),SUBSTITUTE(AD81,"C","E"),SUBSTITUTE(AD81,"E","C"))</f>
        <v>C79</v>
      </c>
      <c r="AH81" s="80" t="str">
        <f t="array" ref="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ht="12.75" customHeight="1">
      <c r="A82" s="67"/>
      <c r="B82" s="115" t="s">
        <v>191</v>
      </c>
      <c r="C82" s="116">
        <v>2.0</v>
      </c>
      <c r="D82" s="117" t="s">
        <v>31</v>
      </c>
      <c r="E82" s="118">
        <v>1.0</v>
      </c>
      <c r="F82" s="119" t="s">
        <v>192</v>
      </c>
      <c r="G82" s="69"/>
      <c r="H82" s="120">
        <v>46200.0</v>
      </c>
      <c r="I82" s="121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ht="12.75" customHeight="1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ht="12.75" customHeight="1">
      <c r="A84" s="67"/>
      <c r="B84" s="83" t="s">
        <v>206</v>
      </c>
      <c r="C84" s="9"/>
      <c r="D84" s="9"/>
      <c r="E84" s="9"/>
      <c r="F84" s="10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9"/>
      <c r="V84" s="19"/>
      <c r="W84" s="19"/>
      <c r="X84" s="20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ht="12.75" customHeight="1">
      <c r="A85" s="67"/>
      <c r="B85" s="90" t="s">
        <v>207</v>
      </c>
      <c r="C85" s="91">
        <v>3.0</v>
      </c>
      <c r="D85" s="92" t="s">
        <v>31</v>
      </c>
      <c r="E85" s="93">
        <v>1.0</v>
      </c>
      <c r="F85" s="129" t="s">
        <v>208</v>
      </c>
      <c r="G85" s="69"/>
      <c r="H85" s="95">
        <v>46190.0</v>
      </c>
      <c r="I85" s="96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ht="12.75" customHeight="1">
      <c r="A86" s="67"/>
      <c r="B86" s="102" t="s">
        <v>209</v>
      </c>
      <c r="C86" s="103">
        <v>0.0</v>
      </c>
      <c r="D86" s="104" t="s">
        <v>31</v>
      </c>
      <c r="E86" s="105">
        <v>2.0</v>
      </c>
      <c r="F86" s="106" t="s">
        <v>210</v>
      </c>
      <c r="G86" s="69"/>
      <c r="H86" s="95">
        <v>46190.0</v>
      </c>
      <c r="I86" s="96">
        <v>1.95833333333333</v>
      </c>
      <c r="J86" s="97"/>
      <c r="K86" s="130" t="s">
        <v>210</v>
      </c>
      <c r="L86" s="108">
        <v>0.0</v>
      </c>
      <c r="M86" s="108" t="str">
        <f t="array" ref="M86">N86-O86</f>
        <v>0</v>
      </c>
      <c r="N86" s="108">
        <v>0.0</v>
      </c>
      <c r="O86" s="108">
        <v>0.0</v>
      </c>
      <c r="P86" s="108">
        <v>0.0</v>
      </c>
      <c r="Q86" s="108">
        <v>0.0</v>
      </c>
      <c r="R86" s="109">
        <v>0.0</v>
      </c>
      <c r="S86" s="100"/>
      <c r="T86" s="101" t="str">
        <f t="array" ref="T86">IF(NOT(AND(ISNUMBER(C86),ISNUMBER(E86))),"XXX","")</f>
        <v/>
      </c>
      <c r="U86" s="19" t="str">
        <f t="shared" si="11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110" t="s">
        <v>211</v>
      </c>
      <c r="AD86" s="110" t="s">
        <v>212</v>
      </c>
      <c r="AE86" s="110" t="s">
        <v>213</v>
      </c>
      <c r="AF86" s="80" t="str">
        <f t="array" ref="AF86">IF(ISNUMBER(FIND("C",AC86,1)),SUBSTITUTE(AC86,"C","E"),SUBSTITUTE(AC86,"E","C"))</f>
        <v>C86</v>
      </c>
      <c r="AG86" s="80" t="str">
        <f t="array" ref="AG86">IF(ISNUMBER(FIND("C",AD86,1)),SUBSTITUTE(AD86,"C","E"),SUBSTITUTE(AD86,"E","C"))</f>
        <v>E88</v>
      </c>
      <c r="AH86" s="80" t="str">
        <f t="array" ref="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ht="12.75" customHeight="1">
      <c r="A87" s="67"/>
      <c r="B87" s="102" t="s">
        <v>207</v>
      </c>
      <c r="C87" s="103">
        <v>4.0</v>
      </c>
      <c r="D87" s="104" t="s">
        <v>31</v>
      </c>
      <c r="E87" s="105">
        <v>1.0</v>
      </c>
      <c r="F87" s="106" t="s">
        <v>209</v>
      </c>
      <c r="G87" s="69"/>
      <c r="H87" s="95">
        <v>46196.0</v>
      </c>
      <c r="I87" s="96">
        <v>1.58333333333333</v>
      </c>
      <c r="J87" s="97"/>
      <c r="K87" s="130" t="s">
        <v>207</v>
      </c>
      <c r="L87" s="108">
        <v>0.0</v>
      </c>
      <c r="M87" s="108" t="str">
        <f t="array" ref="M87">N87-O87</f>
        <v>0</v>
      </c>
      <c r="N87" s="108">
        <v>0.0</v>
      </c>
      <c r="O87" s="108">
        <v>0.0</v>
      </c>
      <c r="P87" s="108">
        <v>0.0</v>
      </c>
      <c r="Q87" s="108">
        <v>0.0</v>
      </c>
      <c r="R87" s="109">
        <v>0.0</v>
      </c>
      <c r="S87" s="111"/>
      <c r="T87" s="101" t="str">
        <f t="array" ref="T87">IF(NOT(AND(ISNUMBER(C87),ISNUMBER(E87))),"XXX","")</f>
        <v/>
      </c>
      <c r="U87" s="19" t="str">
        <f t="shared" si="11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t="array" ref="AF87">IF(ISNUMBER(FIND("C",AC87,1)),SUBSTITUTE(AC87,"C","E"),SUBSTITUTE(AC87,"E","C"))</f>
        <v>E85</v>
      </c>
      <c r="AG87" s="80" t="str">
        <f t="array" ref="AG87">IF(ISNUMBER(FIND("C",AD87,1)),SUBSTITUTE(AD87,"C","E"),SUBSTITUTE(AD87,"E","C"))</f>
        <v>E87</v>
      </c>
      <c r="AH87" s="80" t="str">
        <f t="array" ref="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ht="12.75" customHeight="1">
      <c r="A88" s="67"/>
      <c r="B88" s="102" t="s">
        <v>210</v>
      </c>
      <c r="C88" s="103">
        <v>2.0</v>
      </c>
      <c r="D88" s="104" t="s">
        <v>31</v>
      </c>
      <c r="E88" s="105">
        <v>0.0</v>
      </c>
      <c r="F88" s="106" t="s">
        <v>208</v>
      </c>
      <c r="G88" s="69"/>
      <c r="H88" s="95">
        <v>46196.0</v>
      </c>
      <c r="I88" s="96">
        <v>1.95833333333333</v>
      </c>
      <c r="J88" s="97"/>
      <c r="K88" s="130" t="s">
        <v>208</v>
      </c>
      <c r="L88" s="108">
        <v>0.0</v>
      </c>
      <c r="M88" s="108" t="str">
        <f t="array" ref="M88">N88-O88</f>
        <v>0</v>
      </c>
      <c r="N88" s="108">
        <v>0.0</v>
      </c>
      <c r="O88" s="108">
        <v>0.0</v>
      </c>
      <c r="P88" s="108">
        <v>0.0</v>
      </c>
      <c r="Q88" s="108">
        <v>0.0</v>
      </c>
      <c r="R88" s="109">
        <v>0.0</v>
      </c>
      <c r="S88" s="111"/>
      <c r="T88" s="101" t="str">
        <f t="array" ref="T88">IF(NOT(AND(ISNUMBER(C88),ISNUMBER(E88))),"XXX","")</f>
        <v/>
      </c>
      <c r="U88" s="19" t="str">
        <f t="shared" si="11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t="array" ref="AF88">IF(ISNUMBER(FIND("C",AC88,1)),SUBSTITUTE(AC88,"C","E"),SUBSTITUTE(AC88,"E","C"))</f>
        <v>C85</v>
      </c>
      <c r="AG88" s="80" t="str">
        <f t="array" ref="AG88">IF(ISNUMBER(FIND("C",AD88,1)),SUBSTITUTE(AD88,"C","E"),SUBSTITUTE(AD88,"E","C"))</f>
        <v>C88</v>
      </c>
      <c r="AH88" s="80" t="str">
        <f t="array" ref="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ht="12.75" customHeight="1">
      <c r="A89" s="67"/>
      <c r="B89" s="102" t="s">
        <v>208</v>
      </c>
      <c r="C89" s="103">
        <v>0.0</v>
      </c>
      <c r="D89" s="104" t="s">
        <v>31</v>
      </c>
      <c r="E89" s="105">
        <v>0.0</v>
      </c>
      <c r="F89" s="106" t="s">
        <v>209</v>
      </c>
      <c r="G89" s="69"/>
      <c r="H89" s="95">
        <v>46200.0</v>
      </c>
      <c r="I89" s="96">
        <v>1.85416666666667</v>
      </c>
      <c r="J89" s="97"/>
      <c r="K89" s="131" t="s">
        <v>209</v>
      </c>
      <c r="L89" s="113">
        <v>0.0</v>
      </c>
      <c r="M89" s="113" t="str">
        <f t="array" ref="M89">N89-O89</f>
        <v>0</v>
      </c>
      <c r="N89" s="113">
        <v>0.0</v>
      </c>
      <c r="O89" s="113">
        <v>0.0</v>
      </c>
      <c r="P89" s="113">
        <v>0.0</v>
      </c>
      <c r="Q89" s="113">
        <v>0.0</v>
      </c>
      <c r="R89" s="114">
        <v>0.0</v>
      </c>
      <c r="S89" s="111"/>
      <c r="T89" s="101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t="array" ref="AF89">IF(ISNUMBER(FIND("C",AC89,1)),SUBSTITUTE(AC89,"C","E"),SUBSTITUTE(AC89,"E","C"))</f>
        <v>E86</v>
      </c>
      <c r="AG89" s="80" t="str">
        <f t="array" ref="AG89">IF(ISNUMBER(FIND("C",AD89,1)),SUBSTITUTE(AD89,"C","E"),SUBSTITUTE(AD89,"E","C"))</f>
        <v>C87</v>
      </c>
      <c r="AH89" s="80" t="str">
        <f t="array" ref="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ht="12.75" customHeight="1">
      <c r="A90" s="67"/>
      <c r="B90" s="115" t="s">
        <v>210</v>
      </c>
      <c r="C90" s="116">
        <v>1.0</v>
      </c>
      <c r="D90" s="117" t="s">
        <v>31</v>
      </c>
      <c r="E90" s="118">
        <v>2.0</v>
      </c>
      <c r="F90" s="119" t="s">
        <v>207</v>
      </c>
      <c r="G90" s="69"/>
      <c r="H90" s="120">
        <v>46200.0</v>
      </c>
      <c r="I90" s="121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ht="12.75" customHeight="1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ht="12.75" customHeight="1">
      <c r="A92" s="67"/>
      <c r="B92" s="83" t="s">
        <v>223</v>
      </c>
      <c r="C92" s="9"/>
      <c r="D92" s="9"/>
      <c r="E92" s="9"/>
      <c r="F92" s="10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9"/>
      <c r="V92" s="19"/>
      <c r="W92" s="19"/>
      <c r="X92" s="20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ht="12.75" customHeight="1">
      <c r="A93" s="67"/>
      <c r="B93" s="90" t="s">
        <v>224</v>
      </c>
      <c r="C93" s="91">
        <v>1.0</v>
      </c>
      <c r="D93" s="92" t="s">
        <v>31</v>
      </c>
      <c r="E93" s="93">
        <v>2.0</v>
      </c>
      <c r="F93" s="129" t="s">
        <v>225</v>
      </c>
      <c r="G93" s="69"/>
      <c r="H93" s="95">
        <v>46190.0</v>
      </c>
      <c r="I93" s="96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ht="12.75" customHeight="1">
      <c r="A94" s="67"/>
      <c r="B94" s="102" t="s">
        <v>226</v>
      </c>
      <c r="C94" s="103">
        <v>4.0</v>
      </c>
      <c r="D94" s="104" t="s">
        <v>31</v>
      </c>
      <c r="E94" s="105">
        <v>0.0</v>
      </c>
      <c r="F94" s="106" t="s">
        <v>227</v>
      </c>
      <c r="G94" s="69"/>
      <c r="H94" s="95">
        <v>46190.0</v>
      </c>
      <c r="I94" s="96">
        <v>1.83333333333333</v>
      </c>
      <c r="J94" s="97"/>
      <c r="K94" s="130" t="s">
        <v>225</v>
      </c>
      <c r="L94" s="108">
        <v>0.0</v>
      </c>
      <c r="M94" s="108" t="str">
        <f t="array" ref="M94">N94-O94</f>
        <v>0</v>
      </c>
      <c r="N94" s="108">
        <v>0.0</v>
      </c>
      <c r="O94" s="108">
        <v>0.0</v>
      </c>
      <c r="P94" s="108">
        <v>0.0</v>
      </c>
      <c r="Q94" s="108">
        <v>0.0</v>
      </c>
      <c r="R94" s="109">
        <v>0.0</v>
      </c>
      <c r="S94" s="100"/>
      <c r="T94" s="101" t="str">
        <f t="array" ref="T94">IF(NOT(AND(ISNUMBER(C94),ISNUMBER(E94))),"XXX","")</f>
        <v/>
      </c>
      <c r="U94" s="19" t="str">
        <f t="shared" si="12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t="array" ref="AF94">IF(ISNUMBER(FIND("C",AC94,1)),SUBSTITUTE(AC94,"C","E"),SUBSTITUTE(AC94,"E","C"))</f>
        <v>C93</v>
      </c>
      <c r="AG94" s="80" t="str">
        <f t="array" ref="AG94">IF(ISNUMBER(FIND("C",AD94,1)),SUBSTITUTE(AD94,"C","E"),SUBSTITUTE(AD94,"E","C"))</f>
        <v>C96</v>
      </c>
      <c r="AH94" s="80" t="str">
        <f t="array" ref="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ht="12.75" customHeight="1">
      <c r="A95" s="67"/>
      <c r="B95" s="102" t="s">
        <v>224</v>
      </c>
      <c r="C95" s="103">
        <v>2.0</v>
      </c>
      <c r="D95" s="104" t="s">
        <v>31</v>
      </c>
      <c r="E95" s="105">
        <v>2.0</v>
      </c>
      <c r="F95" s="106" t="s">
        <v>226</v>
      </c>
      <c r="G95" s="69"/>
      <c r="H95" s="95">
        <v>46196.0</v>
      </c>
      <c r="I95" s="96">
        <v>1.70833333333333</v>
      </c>
      <c r="J95" s="97"/>
      <c r="K95" s="130" t="s">
        <v>226</v>
      </c>
      <c r="L95" s="108">
        <v>0.0</v>
      </c>
      <c r="M95" s="108" t="str">
        <f t="array" ref="M95">N95-O95</f>
        <v>0</v>
      </c>
      <c r="N95" s="108">
        <v>0.0</v>
      </c>
      <c r="O95" s="108">
        <v>0.0</v>
      </c>
      <c r="P95" s="108">
        <v>0.0</v>
      </c>
      <c r="Q95" s="108">
        <v>0.0</v>
      </c>
      <c r="R95" s="109">
        <v>0.0</v>
      </c>
      <c r="S95" s="111"/>
      <c r="T95" s="101" t="str">
        <f t="array" ref="T95">IF(NOT(AND(ISNUMBER(C95),ISNUMBER(E95))),"XXX","")</f>
        <v/>
      </c>
      <c r="U95" s="19" t="str">
        <f t="shared" si="12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t="array" ref="AF95">IF(ISNUMBER(FIND("C",AC95,1)),SUBSTITUTE(AC95,"C","E"),SUBSTITUTE(AC95,"E","C"))</f>
        <v>E94</v>
      </c>
      <c r="AG95" s="80" t="str">
        <f t="array" ref="AG95">IF(ISNUMBER(FIND("C",AD95,1)),SUBSTITUTE(AD95,"C","E"),SUBSTITUTE(AD95,"E","C"))</f>
        <v>C95</v>
      </c>
      <c r="AH95" s="80" t="str">
        <f t="array" ref="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ht="12.75" customHeight="1">
      <c r="A96" s="67"/>
      <c r="B96" s="102" t="s">
        <v>227</v>
      </c>
      <c r="C96" s="103">
        <v>1.0</v>
      </c>
      <c r="D96" s="104" t="s">
        <v>31</v>
      </c>
      <c r="E96" s="105">
        <v>3.0</v>
      </c>
      <c r="F96" s="106" t="s">
        <v>225</v>
      </c>
      <c r="G96" s="69"/>
      <c r="H96" s="95">
        <v>46196.0</v>
      </c>
      <c r="I96" s="96">
        <v>1.83333333333333</v>
      </c>
      <c r="J96" s="97"/>
      <c r="K96" s="130" t="s">
        <v>224</v>
      </c>
      <c r="L96" s="108">
        <v>0.0</v>
      </c>
      <c r="M96" s="108" t="str">
        <f t="array" ref="M96">N96-O96</f>
        <v>0</v>
      </c>
      <c r="N96" s="108">
        <v>0.0</v>
      </c>
      <c r="O96" s="108">
        <v>0.0</v>
      </c>
      <c r="P96" s="108">
        <v>0.0</v>
      </c>
      <c r="Q96" s="108">
        <v>0.0</v>
      </c>
      <c r="R96" s="109">
        <v>0.0</v>
      </c>
      <c r="S96" s="111"/>
      <c r="T96" s="101" t="str">
        <f t="array" ref="T96">IF(NOT(AND(ISNUMBER(C96),ISNUMBER(E96))),"XXX","")</f>
        <v/>
      </c>
      <c r="U96" s="19" t="str">
        <f t="shared" si="12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t="array" ref="AF96">IF(ISNUMBER(FIND("C",AC96,1)),SUBSTITUTE(AC96,"C","E"),SUBSTITUTE(AC96,"E","C"))</f>
        <v>E93</v>
      </c>
      <c r="AG96" s="80" t="str">
        <f t="array" ref="AG96">IF(ISNUMBER(FIND("C",AD96,1)),SUBSTITUTE(AD96,"C","E"),SUBSTITUTE(AD96,"E","C"))</f>
        <v>E95</v>
      </c>
      <c r="AH96" s="80" t="str">
        <f t="array" ref="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ht="12.75" customHeight="1">
      <c r="A97" s="67"/>
      <c r="B97" s="102" t="s">
        <v>225</v>
      </c>
      <c r="C97" s="103">
        <v>1.0</v>
      </c>
      <c r="D97" s="104" t="s">
        <v>31</v>
      </c>
      <c r="E97" s="105">
        <v>2.0</v>
      </c>
      <c r="F97" s="106" t="s">
        <v>226</v>
      </c>
      <c r="G97" s="69"/>
      <c r="H97" s="95">
        <v>46200.0</v>
      </c>
      <c r="I97" s="96">
        <v>1.75</v>
      </c>
      <c r="J97" s="97"/>
      <c r="K97" s="131" t="s">
        <v>227</v>
      </c>
      <c r="L97" s="113">
        <v>0.0</v>
      </c>
      <c r="M97" s="113" t="str">
        <f t="array" ref="M97">N97-O97</f>
        <v>0</v>
      </c>
      <c r="N97" s="113">
        <v>0.0</v>
      </c>
      <c r="O97" s="113">
        <v>0.0</v>
      </c>
      <c r="P97" s="113">
        <v>0.0</v>
      </c>
      <c r="Q97" s="113">
        <v>0.0</v>
      </c>
      <c r="R97" s="114">
        <v>0.0</v>
      </c>
      <c r="S97" s="111"/>
      <c r="T97" s="101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t="array" ref="AF97">IF(ISNUMBER(FIND("C",AC97,1)),SUBSTITUTE(AC97,"C","E"),SUBSTITUTE(AC97,"E","C"))</f>
        <v>C94</v>
      </c>
      <c r="AG97" s="80" t="str">
        <f t="array" ref="AG97">IF(ISNUMBER(FIND("C",AD97,1)),SUBSTITUTE(AD97,"C","E"),SUBSTITUTE(AD97,"E","C"))</f>
        <v>E96</v>
      </c>
      <c r="AH97" s="80" t="str">
        <f t="array" ref="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ht="12.75" customHeight="1">
      <c r="A98" s="67"/>
      <c r="B98" s="115" t="s">
        <v>227</v>
      </c>
      <c r="C98" s="116">
        <v>0.0</v>
      </c>
      <c r="D98" s="117" t="s">
        <v>31</v>
      </c>
      <c r="E98" s="118">
        <v>3.0</v>
      </c>
      <c r="F98" s="119" t="s">
        <v>224</v>
      </c>
      <c r="G98" s="69"/>
      <c r="H98" s="120">
        <v>46200.0</v>
      </c>
      <c r="I98" s="121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ht="12.75" customHeight="1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ht="12.75" customHeight="1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ht="13.5" customHeight="1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ht="12.75" customHeight="1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ht="12.75" customHeight="1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ht="12.75" customHeight="1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ht="12.75" customHeight="1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ht="12.75" customHeight="1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ht="12.75" customHeight="1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ht="12.75" customHeight="1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ht="12.75" customHeight="1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ht="12.75" customHeight="1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ht="12.75" customHeight="1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ht="12.75" customHeight="1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ht="12.75" customHeight="1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ht="12.75" customHeight="1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ht="12.75" customHeight="1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ht="12.75" customHeight="1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ht="12.75" customHeight="1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ht="12.75" customHeight="1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ht="12.75" customHeight="1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ht="12.75" customHeight="1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ht="12.75" customHeight="1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ht="12.75" customHeight="1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ht="12.75" customHeight="1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ht="12.75" customHeight="1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ht="12.75" customHeight="1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ht="12.75" customHeight="1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ht="12.75" customHeight="1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ht="12.75" customHeight="1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ht="12.75" customHeight="1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ht="12.75" customHeight="1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ht="12.75" customHeight="1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ht="12.75" customHeight="1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ht="12.75" customHeight="1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ht="12.75" customHeight="1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ht="12.75" customHeight="1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ht="12.75" customHeight="1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ht="12.75" customHeight="1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ht="12.75" customHeight="1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ht="12.75" customHeight="1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ht="12.75" customHeight="1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ht="12.75" customHeight="1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ht="12.75" customHeight="1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ht="12.75" customHeight="1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ht="12.75" customHeight="1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ht="12.75" customHeight="1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ht="12.75" customHeight="1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ht="12.75" customHeight="1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ht="12.75" customHeight="1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ht="12.75" customHeight="1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ht="12.75" customHeight="1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ht="12.75" customHeight="1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ht="12.75" customHeight="1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ht="12.75" customHeight="1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ht="12.75" customHeight="1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ht="12.75" customHeight="1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ht="12.75" customHeight="1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ht="12.75" customHeight="1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ht="12.75" customHeight="1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ht="12.75" customHeight="1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ht="12.75" customHeight="1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ht="12.75" customHeight="1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ht="12.75" customHeight="1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ht="12.75" customHeight="1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ht="12.75" customHeight="1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ht="12.75" customHeight="1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ht="12.75" customHeight="1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ht="12.75" customHeight="1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ht="12.75" customHeight="1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ht="12.75" customHeight="1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ht="12.75" customHeight="1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ht="12.75" customHeight="1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ht="12.75" customHeight="1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ht="12.75" customHeight="1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ht="12.75" customHeight="1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ht="12.75" customHeight="1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ht="12.75" customHeight="1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ht="12.75" customHeight="1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ht="12.75" customHeight="1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ht="12.75" customHeight="1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ht="12.75" customHeight="1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ht="12.75" customHeight="1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ht="12.75" customHeight="1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ht="12.75" customHeight="1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ht="12.75" customHeight="1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ht="12.75" customHeight="1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ht="12.75" customHeight="1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ht="12.75" customHeight="1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ht="12.75" customHeight="1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ht="12.75" customHeight="1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ht="12.75" customHeight="1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ht="12.75" customHeight="1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ht="12.75" customHeight="1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ht="12.75" customHeight="1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ht="12.75" customHeight="1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ht="12.75" customHeight="1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ht="12.75" customHeight="1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ht="12.75" customHeight="1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ht="12.75" customHeight="1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ht="12.75" customHeight="1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ht="12.75" customHeight="1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ht="12.75" customHeight="1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ht="12.75" customHeight="1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ht="12.75" customHeight="1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ht="12.75" customHeight="1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ht="12.75" customHeight="1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ht="12.75" customHeight="1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ht="12.75" customHeight="1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ht="12.75" customHeight="1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ht="12.75" customHeight="1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ht="12.75" customHeight="1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ht="12.75" customHeight="1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ht="12.75" customHeight="1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ht="12.75" customHeight="1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ht="12.75" customHeight="1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ht="12.75" customHeight="1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ht="12.75" customHeight="1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ht="12.75" customHeight="1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ht="12.75" customHeight="1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ht="12.75" customHeight="1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ht="12.75" customHeight="1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ht="12.75" customHeight="1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ht="12.75" customHeight="1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ht="12.75" customHeight="1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ht="12.75" customHeight="1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ht="12.75" customHeight="1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ht="12.75" customHeight="1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ht="12.75" customHeight="1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ht="12.75" customHeight="1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ht="12.75" customHeight="1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ht="12.75" customHeight="1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ht="12.75" customHeight="1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ht="12.75" customHeight="1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ht="12.75" customHeight="1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ht="12.75" customHeight="1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ht="12.75" customHeight="1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ht="12.75" customHeight="1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ht="12.75" customHeight="1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ht="12.75" customHeight="1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ht="12.75" customHeight="1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ht="12.75" customHeight="1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ht="12.75" customHeight="1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ht="12.75" customHeight="1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ht="12.75" customHeight="1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ht="12.75" customHeight="1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ht="12.75" customHeight="1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ht="12.75" customHeight="1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ht="12.75" customHeight="1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ht="12.75" customHeight="1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ht="12.75" customHeight="1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ht="12.75" customHeight="1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ht="12.75" customHeight="1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ht="12.75" customHeight="1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ht="12.75" customHeight="1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ht="12.75" customHeight="1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ht="12.75" customHeight="1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ht="12.75" customHeight="1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ht="12.75" customHeight="1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ht="12.75" customHeight="1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ht="12.75" customHeight="1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ht="12.75" customHeight="1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ht="12.75" customHeight="1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ht="12.75" customHeight="1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ht="12.75" customHeight="1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ht="12.75" customHeight="1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ht="12.75" customHeight="1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ht="12.75" customHeight="1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ht="12.75" customHeight="1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ht="12.75" customHeight="1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ht="12.75" customHeight="1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ht="12.75" customHeight="1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ht="12.75" customHeight="1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ht="12.75" customHeight="1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ht="12.75" customHeight="1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ht="12.75" customHeight="1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ht="12.75" customHeight="1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ht="12.75" customHeight="1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ht="12.75" customHeight="1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ht="12.75" customHeight="1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ht="12.75" customHeight="1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ht="12.75" customHeight="1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ht="12.75" customHeight="1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ht="12.75" customHeight="1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ht="12.75" customHeight="1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ht="12.75" customHeight="1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ht="12.75" customHeight="1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ht="12.75" customHeight="1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ht="12.75" customHeight="1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ht="12.75" customHeight="1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ht="12.75" customHeight="1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ht="12.75" customHeight="1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ht="12.75" customHeight="1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ht="12.75" customHeight="1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ht="12.75" customHeight="1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ht="12.75" customHeight="1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ht="12.75" customHeight="1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ht="12.75" customHeight="1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ht="12.75" customHeight="1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ht="12.75" customHeight="1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8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248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249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9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t="shared" ref="AF6:AH6" si="3">IF(ISNUMBER(FIND("C", AC6, 1)), SUBSTITUTE(AC6, "C", "E"), SUBSTITUTE(AC6, "E", "C"))</f>
        <v>E6</v>
      </c>
      <c r="AG6" s="81" t="str">
        <f t="shared" si="3"/>
        <v>C8</v>
      </c>
      <c r="AH6" s="81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t="shared" ref="AF7:AH7" si="11">IF(ISNUMBER(FIND("C", AC7, 1)), SUBSTITUTE(AC7, "C", "E"), SUBSTITUTE(AC7, "E", "C"))</f>
        <v>E5</v>
      </c>
      <c r="AG7" s="81" t="str">
        <f t="shared" si="11"/>
        <v>E8</v>
      </c>
      <c r="AH7" s="81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t="shared" ref="AF8:AH8" si="12">IF(ISNUMBER(FIND("C", AC8, 1)), SUBSTITUTE(AC8, "C", "E"), SUBSTITUTE(AC8, "E", "C"))</f>
        <v>C6</v>
      </c>
      <c r="AG8" s="81" t="str">
        <f t="shared" si="12"/>
        <v>E7</v>
      </c>
      <c r="AH8" s="81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t="shared" ref="AF9:AH9" si="13">IF(ISNUMBER(FIND("C", AC9, 1)), SUBSTITUTE(AC9, "C", "E"), SUBSTITUTE(AC9, "E", "C"))</f>
        <v>C5</v>
      </c>
      <c r="AG9" s="81" t="str">
        <f t="shared" si="13"/>
        <v>C7</v>
      </c>
      <c r="AH9" s="81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1"/>
      <c r="AD12" s="81"/>
      <c r="AE12" s="81"/>
      <c r="AF12" s="81"/>
      <c r="AG12" s="81"/>
      <c r="AH12" s="81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t="shared" ref="AF14:AH14" si="16">IF(ISNUMBER(FIND("C", AC14, 1)), SUBSTITUTE(AC14, "C", "E"), SUBSTITUTE(AC14, "E", "C"))</f>
        <v>C13</v>
      </c>
      <c r="AG14" s="81" t="str">
        <f t="shared" si="16"/>
        <v>C15</v>
      </c>
      <c r="AH14" s="81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t="shared" ref="AF15:AH15" si="24">IF(ISNUMBER(FIND("C", AC15, 1)), SUBSTITUTE(AC15, "C", "E"), SUBSTITUTE(AC15, "E", "C"))</f>
        <v>E13</v>
      </c>
      <c r="AG15" s="81" t="str">
        <f t="shared" si="24"/>
        <v>E16</v>
      </c>
      <c r="AH15" s="81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t="shared" ref="AF16:AH16" si="25">IF(ISNUMBER(FIND("C", AC16, 1)), SUBSTITUTE(AC16, "C", "E"), SUBSTITUTE(AC16, "E", "C"))</f>
        <v>E14</v>
      </c>
      <c r="AG16" s="81" t="str">
        <f t="shared" si="25"/>
        <v>C16</v>
      </c>
      <c r="AH16" s="81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t="shared" ref="AF17:AH17" si="26">IF(ISNUMBER(FIND("C", AC17, 1)), SUBSTITUTE(AC17, "C", "E"), SUBSTITUTE(AC17, "E", "C"))</f>
        <v>C14</v>
      </c>
      <c r="AG17" s="81" t="str">
        <f t="shared" si="26"/>
        <v>E15</v>
      </c>
      <c r="AH17" s="81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1"/>
      <c r="AD20" s="81"/>
      <c r="AE20" s="81"/>
      <c r="AF20" s="81"/>
      <c r="AG20" s="81"/>
      <c r="AH20" s="81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t="shared" ref="AF22:AH22" si="29">IF(ISNUMBER(FIND("C", AC22, 1)), SUBSTITUTE(AC22, "C", "E"), SUBSTITUTE(AC22, "E", "C"))</f>
        <v>E21</v>
      </c>
      <c r="AG22" s="81" t="str">
        <f t="shared" si="29"/>
        <v>E24</v>
      </c>
      <c r="AH22" s="81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t="shared" ref="AF23:AH23" si="37">IF(ISNUMBER(FIND("C", AC23, 1)), SUBSTITUTE(AC23, "C", "E"), SUBSTITUTE(AC23, "E", "C"))</f>
        <v>C22</v>
      </c>
      <c r="AG23" s="81" t="str">
        <f t="shared" si="37"/>
        <v>E23</v>
      </c>
      <c r="AH23" s="81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t="shared" ref="AF24:AH24" si="38">IF(ISNUMBER(FIND("C", AC24, 1)), SUBSTITUTE(AC24, "C", "E"), SUBSTITUTE(AC24, "E", "C"))</f>
        <v>E22</v>
      </c>
      <c r="AG24" s="81" t="str">
        <f t="shared" si="38"/>
        <v>C24</v>
      </c>
      <c r="AH24" s="81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t="shared" ref="AF25:AH25" si="39">IF(ISNUMBER(FIND("C", AC25, 1)), SUBSTITUTE(AC25, "C", "E"), SUBSTITUTE(AC25, "E", "C"))</f>
        <v>C21</v>
      </c>
      <c r="AG25" s="81" t="str">
        <f t="shared" si="39"/>
        <v>C23</v>
      </c>
      <c r="AH25" s="81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1"/>
      <c r="AD28" s="81"/>
      <c r="AE28" s="81"/>
      <c r="AF28" s="81"/>
      <c r="AG28" s="81"/>
      <c r="AH28" s="81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t="shared" ref="AF30:AH30" si="42">IF(ISNUMBER(FIND("C", AC30, 1)), SUBSTITUTE(AC30, "C", "E"), SUBSTITUTE(AC30, "E", "C"))</f>
        <v>E30</v>
      </c>
      <c r="AG30" s="81" t="str">
        <f t="shared" si="42"/>
        <v>C31</v>
      </c>
      <c r="AH30" s="81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t="shared" ref="AF31:AH31" si="50">IF(ISNUMBER(FIND("C", AC31, 1)), SUBSTITUTE(AC31, "C", "E"), SUBSTITUTE(AC31, "E", "C"))</f>
        <v>E29</v>
      </c>
      <c r="AG31" s="81" t="str">
        <f t="shared" si="50"/>
        <v>E31</v>
      </c>
      <c r="AH31" s="81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t="shared" ref="AF32:AH32" si="51">IF(ISNUMBER(FIND("C", AC32, 1)), SUBSTITUTE(AC32, "C", "E"), SUBSTITUTE(AC32, "E", "C"))</f>
        <v>C29</v>
      </c>
      <c r="AG32" s="81" t="str">
        <f t="shared" si="51"/>
        <v>C32</v>
      </c>
      <c r="AH32" s="81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t="shared" ref="AF33:AH33" si="52">IF(ISNUMBER(FIND("C", AC33, 1)), SUBSTITUTE(AC33, "C", "E"), SUBSTITUTE(AC33, "E", "C"))</f>
        <v>C30</v>
      </c>
      <c r="AG33" s="81" t="str">
        <f t="shared" si="52"/>
        <v>E32</v>
      </c>
      <c r="AH33" s="81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1"/>
      <c r="AD36" s="81"/>
      <c r="AE36" s="81"/>
      <c r="AF36" s="81"/>
      <c r="AG36" s="81"/>
      <c r="AH36" s="81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t="shared" ref="AF38:AH38" si="55">IF(ISNUMBER(FIND("C", AC38, 1)), SUBSTITUTE(AC38, "C", "E"), SUBSTITUTE(AC38, "E", "C"))</f>
        <v>E37</v>
      </c>
      <c r="AG38" s="81" t="str">
        <f t="shared" si="55"/>
        <v>E39</v>
      </c>
      <c r="AH38" s="81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t="shared" ref="AF39:AH39" si="63">IF(ISNUMBER(FIND("C", AC39, 1)), SUBSTITUTE(AC39, "C", "E"), SUBSTITUTE(AC39, "E", "C"))</f>
        <v>E38</v>
      </c>
      <c r="AG39" s="81" t="str">
        <f t="shared" si="63"/>
        <v>C39</v>
      </c>
      <c r="AH39" s="81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t="shared" ref="AF40:AH40" si="64">IF(ISNUMBER(FIND("C", AC40, 1)), SUBSTITUTE(AC40, "C", "E"), SUBSTITUTE(AC40, "E", "C"))</f>
        <v>C37</v>
      </c>
      <c r="AG40" s="81" t="str">
        <f t="shared" si="64"/>
        <v>C40</v>
      </c>
      <c r="AH40" s="81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t="shared" ref="AF41:AH41" si="65">IF(ISNUMBER(FIND("C", AC41, 1)), SUBSTITUTE(AC41, "C", "E"), SUBSTITUTE(AC41, "E", "C"))</f>
        <v>C38</v>
      </c>
      <c r="AG41" s="81" t="str">
        <f t="shared" si="65"/>
        <v>E40</v>
      </c>
      <c r="AH41" s="81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1"/>
      <c r="AD44" s="81"/>
      <c r="AE44" s="81"/>
      <c r="AF44" s="81"/>
      <c r="AG44" s="81"/>
      <c r="AH44" s="81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t="shared" ref="AF46:AH46" si="68">IF(ISNUMBER(FIND("C", AC46, 1)), SUBSTITUTE(AC46, "C", "E"), SUBSTITUTE(AC46, "E", "C"))</f>
        <v>E45</v>
      </c>
      <c r="AG46" s="81" t="str">
        <f t="shared" si="68"/>
        <v>E47</v>
      </c>
      <c r="AH46" s="81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t="shared" ref="AF47:AH47" si="76">IF(ISNUMBER(FIND("C", AC47, 1)), SUBSTITUTE(AC47, "C", "E"), SUBSTITUTE(AC47, "E", "C"))</f>
        <v>C45</v>
      </c>
      <c r="AG47" s="81" t="str">
        <f t="shared" si="76"/>
        <v>C48</v>
      </c>
      <c r="AH47" s="81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t="shared" ref="AF48:AH48" si="77">IF(ISNUMBER(FIND("C", AC48, 1)), SUBSTITUTE(AC48, "C", "E"), SUBSTITUTE(AC48, "E", "C"))</f>
        <v>E46</v>
      </c>
      <c r="AG48" s="81" t="str">
        <f t="shared" si="77"/>
        <v>C47</v>
      </c>
      <c r="AH48" s="81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t="shared" ref="AF49:AH49" si="78">IF(ISNUMBER(FIND("C", AC49, 1)), SUBSTITUTE(AC49, "C", "E"), SUBSTITUTE(AC49, "E", "C"))</f>
        <v>C46</v>
      </c>
      <c r="AG49" s="81" t="str">
        <f t="shared" si="78"/>
        <v>E48</v>
      </c>
      <c r="AH49" s="81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1"/>
      <c r="AD52" s="81"/>
      <c r="AE52" s="81"/>
      <c r="AF52" s="81"/>
      <c r="AG52" s="81"/>
      <c r="AH52" s="81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t="shared" ref="AF54:AH54" si="81">IF(ISNUMBER(FIND("C", AC54, 1)), SUBSTITUTE(AC54, "C", "E"), SUBSTITUTE(AC54, "E", "C"))</f>
        <v>E53</v>
      </c>
      <c r="AG54" s="81" t="str">
        <f t="shared" si="81"/>
        <v>E55</v>
      </c>
      <c r="AH54" s="81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t="shared" ref="AF55:AH55" si="89">IF(ISNUMBER(FIND("C", AC55, 1)), SUBSTITUTE(AC55, "C", "E"), SUBSTITUTE(AC55, "E", "C"))</f>
        <v>C53</v>
      </c>
      <c r="AG55" s="81" t="str">
        <f t="shared" si="89"/>
        <v>C56</v>
      </c>
      <c r="AH55" s="81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t="shared" ref="AF56:AH56" si="90">IF(ISNUMBER(FIND("C", AC56, 1)), SUBSTITUTE(AC56, "C", "E"), SUBSTITUTE(AC56, "E", "C"))</f>
        <v>E54</v>
      </c>
      <c r="AG56" s="81" t="str">
        <f t="shared" si="90"/>
        <v>C55</v>
      </c>
      <c r="AH56" s="81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t="shared" ref="AF57:AH57" si="91">IF(ISNUMBER(FIND("C", AC57, 1)), SUBSTITUTE(AC57, "C", "E"), SUBSTITUTE(AC57, "E", "C"))</f>
        <v>C54</v>
      </c>
      <c r="AG57" s="81" t="str">
        <f t="shared" si="91"/>
        <v>E56</v>
      </c>
      <c r="AH57" s="81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1"/>
      <c r="AD60" s="81"/>
      <c r="AE60" s="81"/>
      <c r="AF60" s="81"/>
      <c r="AG60" s="81"/>
      <c r="AH60" s="81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t="shared" ref="AF62:AH62" si="94">IF(ISNUMBER(FIND("C", AC62, 1)), SUBSTITUTE(AC62, "C", "E"), SUBSTITUTE(AC62, "E", "C"))</f>
        <v>E62</v>
      </c>
      <c r="AG62" s="81" t="str">
        <f t="shared" si="94"/>
        <v>C63</v>
      </c>
      <c r="AH62" s="81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t="shared" ref="AF63:AH63" si="102">IF(ISNUMBER(FIND("C", AC63, 1)), SUBSTITUTE(AC63, "C", "E"), SUBSTITUTE(AC63, "E", "C"))</f>
        <v>C61</v>
      </c>
      <c r="AG63" s="81" t="str">
        <f t="shared" si="102"/>
        <v>C64</v>
      </c>
      <c r="AH63" s="81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t="shared" ref="AF64:AH64" si="103">IF(ISNUMBER(FIND("C", AC64, 1)), SUBSTITUTE(AC64, "C", "E"), SUBSTITUTE(AC64, "E", "C"))</f>
        <v>E61</v>
      </c>
      <c r="AG64" s="81" t="str">
        <f t="shared" si="103"/>
        <v>E63</v>
      </c>
      <c r="AH64" s="81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t="shared" ref="AF65:AH65" si="104">IF(ISNUMBER(FIND("C", AC65, 1)), SUBSTITUTE(AC65, "C", "E"), SUBSTITUTE(AC65, "E", "C"))</f>
        <v>C62</v>
      </c>
      <c r="AG65" s="81" t="str">
        <f t="shared" si="104"/>
        <v>E64</v>
      </c>
      <c r="AH65" s="81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t="shared" ref="AF70:AH70" si="107">IF(ISNUMBER(FIND("C", AC70, 1)), SUBSTITUTE(AC70, "C", "E"), SUBSTITUTE(AC70, "E", "C"))</f>
        <v>E69</v>
      </c>
      <c r="AG70" s="81" t="str">
        <f t="shared" si="107"/>
        <v>E71</v>
      </c>
      <c r="AH70" s="81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t="shared" ref="AF71:AH71" si="115">IF(ISNUMBER(FIND("C", AC71, 1)), SUBSTITUTE(AC71, "C", "E"), SUBSTITUTE(AC71, "E", "C"))</f>
        <v>E70</v>
      </c>
      <c r="AG71" s="81" t="str">
        <f t="shared" si="115"/>
        <v>C71</v>
      </c>
      <c r="AH71" s="81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t="shared" ref="AF72:AH72" si="116">IF(ISNUMBER(FIND("C", AC72, 1)), SUBSTITUTE(AC72, "C", "E"), SUBSTITUTE(AC72, "E", "C"))</f>
        <v>C70</v>
      </c>
      <c r="AG72" s="81" t="str">
        <f t="shared" si="116"/>
        <v>E72</v>
      </c>
      <c r="AH72" s="81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t="shared" ref="AF73:AH73" si="117">IF(ISNUMBER(FIND("C", AC73, 1)), SUBSTITUTE(AC73, "C", "E"), SUBSTITUTE(AC73, "E", "C"))</f>
        <v>C69</v>
      </c>
      <c r="AG73" s="81" t="str">
        <f t="shared" si="117"/>
        <v>C72</v>
      </c>
      <c r="AH73" s="81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t="shared" ref="AF78:AH78" si="120">IF(ISNUMBER(FIND("C", AC78, 1)), SUBSTITUTE(AC78, "C", "E"), SUBSTITUTE(AC78, "E", "C"))</f>
        <v>E77</v>
      </c>
      <c r="AG78" s="81" t="str">
        <f t="shared" si="120"/>
        <v>E79</v>
      </c>
      <c r="AH78" s="81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t="shared" ref="AF79:AH79" si="128">IF(ISNUMBER(FIND("C", AC79, 1)), SUBSTITUTE(AC79, "C", "E"), SUBSTITUTE(AC79, "E", "C"))</f>
        <v>C77</v>
      </c>
      <c r="AG79" s="81" t="str">
        <f t="shared" si="128"/>
        <v>C80</v>
      </c>
      <c r="AH79" s="81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t="shared" ref="AF80:AH80" si="129">IF(ISNUMBER(FIND("C", AC80, 1)), SUBSTITUTE(AC80, "C", "E"), SUBSTITUTE(AC80, "E", "C"))</f>
        <v>C78</v>
      </c>
      <c r="AG80" s="81" t="str">
        <f t="shared" si="129"/>
        <v>E80</v>
      </c>
      <c r="AH80" s="81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t="shared" ref="AF81:AH81" si="130">IF(ISNUMBER(FIND("C", AC81, 1)), SUBSTITUTE(AC81, "C", "E"), SUBSTITUTE(AC81, "E", "C"))</f>
        <v>E78</v>
      </c>
      <c r="AG81" s="81" t="str">
        <f t="shared" si="130"/>
        <v>C79</v>
      </c>
      <c r="AH81" s="81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t="shared" ref="AF86:AH86" si="133">IF(ISNUMBER(FIND("C", AC86, 1)), SUBSTITUTE(AC86, "C", "E"), SUBSTITUTE(AC86, "E", "C"))</f>
        <v>C86</v>
      </c>
      <c r="AG86" s="81" t="str">
        <f t="shared" si="133"/>
        <v>E88</v>
      </c>
      <c r="AH86" s="81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t="shared" ref="AF87:AH87" si="141">IF(ISNUMBER(FIND("C", AC87, 1)), SUBSTITUTE(AC87, "C", "E"), SUBSTITUTE(AC87, "E", "C"))</f>
        <v>E85</v>
      </c>
      <c r="AG87" s="81" t="str">
        <f t="shared" si="141"/>
        <v>E87</v>
      </c>
      <c r="AH87" s="81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t="shared" ref="AF88:AH88" si="142">IF(ISNUMBER(FIND("C", AC88, 1)), SUBSTITUTE(AC88, "C", "E"), SUBSTITUTE(AC88, "E", "C"))</f>
        <v>C85</v>
      </c>
      <c r="AG88" s="81" t="str">
        <f t="shared" si="142"/>
        <v>C88</v>
      </c>
      <c r="AH88" s="81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t="shared" ref="AF89:AH89" si="143">IF(ISNUMBER(FIND("C", AC89, 1)), SUBSTITUTE(AC89, "C", "E"), SUBSTITUTE(AC89, "E", "C"))</f>
        <v>E86</v>
      </c>
      <c r="AG89" s="81" t="str">
        <f t="shared" si="143"/>
        <v>C87</v>
      </c>
      <c r="AH89" s="81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t="shared" ref="AF94:AH94" si="146">IF(ISNUMBER(FIND("C", AC94, 1)), SUBSTITUTE(AC94, "C", "E"), SUBSTITUTE(AC94, "E", "C"))</f>
        <v>C93</v>
      </c>
      <c r="AG94" s="81" t="str">
        <f t="shared" si="146"/>
        <v>C96</v>
      </c>
      <c r="AH94" s="81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t="shared" ref="AF95:AH95" si="154">IF(ISNUMBER(FIND("C", AC95, 1)), SUBSTITUTE(AC95, "C", "E"), SUBSTITUTE(AC95, "E", "C"))</f>
        <v>E94</v>
      </c>
      <c r="AG95" s="81" t="str">
        <f t="shared" si="154"/>
        <v>C95</v>
      </c>
      <c r="AH95" s="81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t="shared" ref="AF96:AH96" si="155">IF(ISNUMBER(FIND("C", AC96, 1)), SUBSTITUTE(AC96, "C", "E"), SUBSTITUTE(AC96, "E", "C"))</f>
        <v>E93</v>
      </c>
      <c r="AG96" s="81" t="str">
        <f t="shared" si="155"/>
        <v>E95</v>
      </c>
      <c r="AH96" s="81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t="shared" ref="AF97:AH97" si="156">IF(ISNUMBER(FIND("C", AC97, 1)), SUBSTITUTE(AC97, "C", "E"), SUBSTITUTE(AC97, "E", "C"))</f>
        <v>C94</v>
      </c>
      <c r="AG97" s="81" t="str">
        <f t="shared" si="156"/>
        <v>E96</v>
      </c>
      <c r="AH97" s="81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ht="12.75" customHeight="1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ht="12.75" customHeight="1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8</v>
      </c>
      <c r="V3" s="9"/>
      <c r="W3" s="9"/>
      <c r="X3" s="10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t="shared" ref="AF6:AH6" si="3">IF(ISNUMBER(FIND("C", AC6, 1)), SUBSTITUTE(AC6, "C", "E"), SUBSTITUTE(AC6, "E", "C"))</f>
        <v>E6</v>
      </c>
      <c r="AG6" s="81" t="str">
        <f t="shared" si="3"/>
        <v>C8</v>
      </c>
      <c r="AH6" s="81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t="shared" ref="AF7:AH7" si="11">IF(ISNUMBER(FIND("C", AC7, 1)), SUBSTITUTE(AC7, "C", "E"), SUBSTITUTE(AC7, "E", "C"))</f>
        <v>E5</v>
      </c>
      <c r="AG7" s="81" t="str">
        <f t="shared" si="11"/>
        <v>E8</v>
      </c>
      <c r="AH7" s="81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t="shared" ref="AF8:AH8" si="12">IF(ISNUMBER(FIND("C", AC8, 1)), SUBSTITUTE(AC8, "C", "E"), SUBSTITUTE(AC8, "E", "C"))</f>
        <v>C6</v>
      </c>
      <c r="AG8" s="81" t="str">
        <f t="shared" si="12"/>
        <v>E7</v>
      </c>
      <c r="AH8" s="81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t="shared" ref="AF9:AH9" si="13">IF(ISNUMBER(FIND("C", AC9, 1)), SUBSTITUTE(AC9, "C", "E"), SUBSTITUTE(AC9, "E", "C"))</f>
        <v>C5</v>
      </c>
      <c r="AG9" s="81" t="str">
        <f t="shared" si="13"/>
        <v>C7</v>
      </c>
      <c r="AH9" s="81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1"/>
      <c r="AD12" s="81"/>
      <c r="AE12" s="81"/>
      <c r="AF12" s="81"/>
      <c r="AG12" s="81"/>
      <c r="AH12" s="81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t="shared" ref="AF14:AH14" si="16">IF(ISNUMBER(FIND("C", AC14, 1)), SUBSTITUTE(AC14, "C", "E"), SUBSTITUTE(AC14, "E", "C"))</f>
        <v>C13</v>
      </c>
      <c r="AG14" s="81" t="str">
        <f t="shared" si="16"/>
        <v>C15</v>
      </c>
      <c r="AH14" s="81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t="shared" ref="AF15:AH15" si="24">IF(ISNUMBER(FIND("C", AC15, 1)), SUBSTITUTE(AC15, "C", "E"), SUBSTITUTE(AC15, "E", "C"))</f>
        <v>E13</v>
      </c>
      <c r="AG15" s="81" t="str">
        <f t="shared" si="24"/>
        <v>E16</v>
      </c>
      <c r="AH15" s="81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t="shared" ref="AF16:AH16" si="25">IF(ISNUMBER(FIND("C", AC16, 1)), SUBSTITUTE(AC16, "C", "E"), SUBSTITUTE(AC16, "E", "C"))</f>
        <v>E14</v>
      </c>
      <c r="AG16" s="81" t="str">
        <f t="shared" si="25"/>
        <v>C16</v>
      </c>
      <c r="AH16" s="81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t="shared" ref="AF17:AH17" si="26">IF(ISNUMBER(FIND("C", AC17, 1)), SUBSTITUTE(AC17, "C", "E"), SUBSTITUTE(AC17, "E", "C"))</f>
        <v>C14</v>
      </c>
      <c r="AG17" s="81" t="str">
        <f t="shared" si="26"/>
        <v>E15</v>
      </c>
      <c r="AH17" s="81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1"/>
      <c r="AD20" s="81"/>
      <c r="AE20" s="81"/>
      <c r="AF20" s="81"/>
      <c r="AG20" s="81"/>
      <c r="AH20" s="81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t="shared" ref="AF22:AH22" si="29">IF(ISNUMBER(FIND("C", AC22, 1)), SUBSTITUTE(AC22, "C", "E"), SUBSTITUTE(AC22, "E", "C"))</f>
        <v>E21</v>
      </c>
      <c r="AG22" s="81" t="str">
        <f t="shared" si="29"/>
        <v>E24</v>
      </c>
      <c r="AH22" s="81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t="shared" ref="AF23:AH23" si="37">IF(ISNUMBER(FIND("C", AC23, 1)), SUBSTITUTE(AC23, "C", "E"), SUBSTITUTE(AC23, "E", "C"))</f>
        <v>C22</v>
      </c>
      <c r="AG23" s="81" t="str">
        <f t="shared" si="37"/>
        <v>E23</v>
      </c>
      <c r="AH23" s="81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t="shared" ref="AF24:AH24" si="38">IF(ISNUMBER(FIND("C", AC24, 1)), SUBSTITUTE(AC24, "C", "E"), SUBSTITUTE(AC24, "E", "C"))</f>
        <v>E22</v>
      </c>
      <c r="AG24" s="81" t="str">
        <f t="shared" si="38"/>
        <v>C24</v>
      </c>
      <c r="AH24" s="81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t="shared" ref="AF25:AH25" si="39">IF(ISNUMBER(FIND("C", AC25, 1)), SUBSTITUTE(AC25, "C", "E"), SUBSTITUTE(AC25, "E", "C"))</f>
        <v>C21</v>
      </c>
      <c r="AG25" s="81" t="str">
        <f t="shared" si="39"/>
        <v>C23</v>
      </c>
      <c r="AH25" s="81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1"/>
      <c r="AD28" s="81"/>
      <c r="AE28" s="81"/>
      <c r="AF28" s="81"/>
      <c r="AG28" s="81"/>
      <c r="AH28" s="81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t="shared" ref="AF30:AH30" si="42">IF(ISNUMBER(FIND("C", AC30, 1)), SUBSTITUTE(AC30, "C", "E"), SUBSTITUTE(AC30, "E", "C"))</f>
        <v>E30</v>
      </c>
      <c r="AG30" s="81" t="str">
        <f t="shared" si="42"/>
        <v>C31</v>
      </c>
      <c r="AH30" s="81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t="shared" ref="AF31:AH31" si="50">IF(ISNUMBER(FIND("C", AC31, 1)), SUBSTITUTE(AC31, "C", "E"), SUBSTITUTE(AC31, "E", "C"))</f>
        <v>E29</v>
      </c>
      <c r="AG31" s="81" t="str">
        <f t="shared" si="50"/>
        <v>E31</v>
      </c>
      <c r="AH31" s="81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t="shared" ref="AF32:AH32" si="51">IF(ISNUMBER(FIND("C", AC32, 1)), SUBSTITUTE(AC32, "C", "E"), SUBSTITUTE(AC32, "E", "C"))</f>
        <v>C29</v>
      </c>
      <c r="AG32" s="81" t="str">
        <f t="shared" si="51"/>
        <v>C32</v>
      </c>
      <c r="AH32" s="81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t="shared" ref="AF33:AH33" si="52">IF(ISNUMBER(FIND("C", AC33, 1)), SUBSTITUTE(AC33, "C", "E"), SUBSTITUTE(AC33, "E", "C"))</f>
        <v>C30</v>
      </c>
      <c r="AG33" s="81" t="str">
        <f t="shared" si="52"/>
        <v>E32</v>
      </c>
      <c r="AH33" s="81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1"/>
      <c r="AD36" s="81"/>
      <c r="AE36" s="81"/>
      <c r="AF36" s="81"/>
      <c r="AG36" s="81"/>
      <c r="AH36" s="81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t="shared" ref="AF38:AH38" si="55">IF(ISNUMBER(FIND("C", AC38, 1)), SUBSTITUTE(AC38, "C", "E"), SUBSTITUTE(AC38, "E", "C"))</f>
        <v>E37</v>
      </c>
      <c r="AG38" s="81" t="str">
        <f t="shared" si="55"/>
        <v>E39</v>
      </c>
      <c r="AH38" s="81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t="shared" ref="AF39:AH39" si="63">IF(ISNUMBER(FIND("C", AC39, 1)), SUBSTITUTE(AC39, "C", "E"), SUBSTITUTE(AC39, "E", "C"))</f>
        <v>E38</v>
      </c>
      <c r="AG39" s="81" t="str">
        <f t="shared" si="63"/>
        <v>C39</v>
      </c>
      <c r="AH39" s="81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t="shared" ref="AF40:AH40" si="64">IF(ISNUMBER(FIND("C", AC40, 1)), SUBSTITUTE(AC40, "C", "E"), SUBSTITUTE(AC40, "E", "C"))</f>
        <v>C37</v>
      </c>
      <c r="AG40" s="81" t="str">
        <f t="shared" si="64"/>
        <v>C40</v>
      </c>
      <c r="AH40" s="81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t="shared" ref="AF41:AH41" si="65">IF(ISNUMBER(FIND("C", AC41, 1)), SUBSTITUTE(AC41, "C", "E"), SUBSTITUTE(AC41, "E", "C"))</f>
        <v>C38</v>
      </c>
      <c r="AG41" s="81" t="str">
        <f t="shared" si="65"/>
        <v>E40</v>
      </c>
      <c r="AH41" s="81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1"/>
      <c r="AD44" s="81"/>
      <c r="AE44" s="81"/>
      <c r="AF44" s="81"/>
      <c r="AG44" s="81"/>
      <c r="AH44" s="81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t="shared" ref="AF46:AH46" si="68">IF(ISNUMBER(FIND("C", AC46, 1)), SUBSTITUTE(AC46, "C", "E"), SUBSTITUTE(AC46, "E", "C"))</f>
        <v>E45</v>
      </c>
      <c r="AG46" s="81" t="str">
        <f t="shared" si="68"/>
        <v>E47</v>
      </c>
      <c r="AH46" s="81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t="shared" ref="AF47:AH47" si="76">IF(ISNUMBER(FIND("C", AC47, 1)), SUBSTITUTE(AC47, "C", "E"), SUBSTITUTE(AC47, "E", "C"))</f>
        <v>C45</v>
      </c>
      <c r="AG47" s="81" t="str">
        <f t="shared" si="76"/>
        <v>C48</v>
      </c>
      <c r="AH47" s="81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t="shared" ref="AF48:AH48" si="77">IF(ISNUMBER(FIND("C", AC48, 1)), SUBSTITUTE(AC48, "C", "E"), SUBSTITUTE(AC48, "E", "C"))</f>
        <v>E46</v>
      </c>
      <c r="AG48" s="81" t="str">
        <f t="shared" si="77"/>
        <v>C47</v>
      </c>
      <c r="AH48" s="81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t="shared" ref="AF49:AH49" si="78">IF(ISNUMBER(FIND("C", AC49, 1)), SUBSTITUTE(AC49, "C", "E"), SUBSTITUTE(AC49, "E", "C"))</f>
        <v>C46</v>
      </c>
      <c r="AG49" s="81" t="str">
        <f t="shared" si="78"/>
        <v>E48</v>
      </c>
      <c r="AH49" s="81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1"/>
      <c r="AD52" s="81"/>
      <c r="AE52" s="81"/>
      <c r="AF52" s="81"/>
      <c r="AG52" s="81"/>
      <c r="AH52" s="81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t="shared" ref="AF54:AH54" si="81">IF(ISNUMBER(FIND("C", AC54, 1)), SUBSTITUTE(AC54, "C", "E"), SUBSTITUTE(AC54, "E", "C"))</f>
        <v>E53</v>
      </c>
      <c r="AG54" s="81" t="str">
        <f t="shared" si="81"/>
        <v>E55</v>
      </c>
      <c r="AH54" s="81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t="shared" ref="AF55:AH55" si="89">IF(ISNUMBER(FIND("C", AC55, 1)), SUBSTITUTE(AC55, "C", "E"), SUBSTITUTE(AC55, "E", "C"))</f>
        <v>C53</v>
      </c>
      <c r="AG55" s="81" t="str">
        <f t="shared" si="89"/>
        <v>C56</v>
      </c>
      <c r="AH55" s="81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t="shared" ref="AF56:AH56" si="90">IF(ISNUMBER(FIND("C", AC56, 1)), SUBSTITUTE(AC56, "C", "E"), SUBSTITUTE(AC56, "E", "C"))</f>
        <v>E54</v>
      </c>
      <c r="AG56" s="81" t="str">
        <f t="shared" si="90"/>
        <v>C55</v>
      </c>
      <c r="AH56" s="81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t="shared" ref="AF57:AH57" si="91">IF(ISNUMBER(FIND("C", AC57, 1)), SUBSTITUTE(AC57, "C", "E"), SUBSTITUTE(AC57, "E", "C"))</f>
        <v>C54</v>
      </c>
      <c r="AG57" s="81" t="str">
        <f t="shared" si="91"/>
        <v>E56</v>
      </c>
      <c r="AH57" s="81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1"/>
      <c r="AD60" s="81"/>
      <c r="AE60" s="81"/>
      <c r="AF60" s="81"/>
      <c r="AG60" s="81"/>
      <c r="AH60" s="81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t="shared" ref="AF62:AH62" si="94">IF(ISNUMBER(FIND("C", AC62, 1)), SUBSTITUTE(AC62, "C", "E"), SUBSTITUTE(AC62, "E", "C"))</f>
        <v>E62</v>
      </c>
      <c r="AG62" s="81" t="str">
        <f t="shared" si="94"/>
        <v>C63</v>
      </c>
      <c r="AH62" s="81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t="shared" ref="AF63:AH63" si="102">IF(ISNUMBER(FIND("C", AC63, 1)), SUBSTITUTE(AC63, "C", "E"), SUBSTITUTE(AC63, "E", "C"))</f>
        <v>C61</v>
      </c>
      <c r="AG63" s="81" t="str">
        <f t="shared" si="102"/>
        <v>C64</v>
      </c>
      <c r="AH63" s="81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t="shared" ref="AF64:AH64" si="103">IF(ISNUMBER(FIND("C", AC64, 1)), SUBSTITUTE(AC64, "C", "E"), SUBSTITUTE(AC64, "E", "C"))</f>
        <v>E61</v>
      </c>
      <c r="AG64" s="81" t="str">
        <f t="shared" si="103"/>
        <v>E63</v>
      </c>
      <c r="AH64" s="81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t="shared" ref="AF65:AH65" si="104">IF(ISNUMBER(FIND("C", AC65, 1)), SUBSTITUTE(AC65, "C", "E"), SUBSTITUTE(AC65, "E", "C"))</f>
        <v>C62</v>
      </c>
      <c r="AG65" s="81" t="str">
        <f t="shared" si="104"/>
        <v>E64</v>
      </c>
      <c r="AH65" s="81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t="shared" ref="AF70:AH70" si="107">IF(ISNUMBER(FIND("C", AC70, 1)), SUBSTITUTE(AC70, "C", "E"), SUBSTITUTE(AC70, "E", "C"))</f>
        <v>E69</v>
      </c>
      <c r="AG70" s="81" t="str">
        <f t="shared" si="107"/>
        <v>E71</v>
      </c>
      <c r="AH70" s="81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t="shared" ref="AF71:AH71" si="115">IF(ISNUMBER(FIND("C", AC71, 1)), SUBSTITUTE(AC71, "C", "E"), SUBSTITUTE(AC71, "E", "C"))</f>
        <v>E70</v>
      </c>
      <c r="AG71" s="81" t="str">
        <f t="shared" si="115"/>
        <v>C71</v>
      </c>
      <c r="AH71" s="81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t="shared" ref="AF72:AH72" si="116">IF(ISNUMBER(FIND("C", AC72, 1)), SUBSTITUTE(AC72, "C", "E"), SUBSTITUTE(AC72, "E", "C"))</f>
        <v>C70</v>
      </c>
      <c r="AG72" s="81" t="str">
        <f t="shared" si="116"/>
        <v>E72</v>
      </c>
      <c r="AH72" s="81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t="shared" ref="AF73:AH73" si="117">IF(ISNUMBER(FIND("C", AC73, 1)), SUBSTITUTE(AC73, "C", "E"), SUBSTITUTE(AC73, "E", "C"))</f>
        <v>C69</v>
      </c>
      <c r="AG73" s="81" t="str">
        <f t="shared" si="117"/>
        <v>C72</v>
      </c>
      <c r="AH73" s="81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t="shared" ref="AF78:AH78" si="120">IF(ISNUMBER(FIND("C", AC78, 1)), SUBSTITUTE(AC78, "C", "E"), SUBSTITUTE(AC78, "E", "C"))</f>
        <v>E77</v>
      </c>
      <c r="AG78" s="81" t="str">
        <f t="shared" si="120"/>
        <v>E79</v>
      </c>
      <c r="AH78" s="81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t="shared" ref="AF79:AH79" si="128">IF(ISNUMBER(FIND("C", AC79, 1)), SUBSTITUTE(AC79, "C", "E"), SUBSTITUTE(AC79, "E", "C"))</f>
        <v>C77</v>
      </c>
      <c r="AG79" s="81" t="str">
        <f t="shared" si="128"/>
        <v>C80</v>
      </c>
      <c r="AH79" s="81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t="shared" ref="AF80:AH80" si="129">IF(ISNUMBER(FIND("C", AC80, 1)), SUBSTITUTE(AC80, "C", "E"), SUBSTITUTE(AC80, "E", "C"))</f>
        <v>C78</v>
      </c>
      <c r="AG80" s="81" t="str">
        <f t="shared" si="129"/>
        <v>E80</v>
      </c>
      <c r="AH80" s="81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t="shared" ref="AF81:AH81" si="130">IF(ISNUMBER(FIND("C", AC81, 1)), SUBSTITUTE(AC81, "C", "E"), SUBSTITUTE(AC81, "E", "C"))</f>
        <v>E78</v>
      </c>
      <c r="AG81" s="81" t="str">
        <f t="shared" si="130"/>
        <v>C79</v>
      </c>
      <c r="AH81" s="81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t="shared" ref="AF86:AH86" si="133">IF(ISNUMBER(FIND("C", AC86, 1)), SUBSTITUTE(AC86, "C", "E"), SUBSTITUTE(AC86, "E", "C"))</f>
        <v>C86</v>
      </c>
      <c r="AG86" s="81" t="str">
        <f t="shared" si="133"/>
        <v>E88</v>
      </c>
      <c r="AH86" s="81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t="shared" ref="AF87:AH87" si="141">IF(ISNUMBER(FIND("C", AC87, 1)), SUBSTITUTE(AC87, "C", "E"), SUBSTITUTE(AC87, "E", "C"))</f>
        <v>E85</v>
      </c>
      <c r="AG87" s="81" t="str">
        <f t="shared" si="141"/>
        <v>E87</v>
      </c>
      <c r="AH87" s="81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t="shared" ref="AF88:AH88" si="142">IF(ISNUMBER(FIND("C", AC88, 1)), SUBSTITUTE(AC88, "C", "E"), SUBSTITUTE(AC88, "E", "C"))</f>
        <v>C85</v>
      </c>
      <c r="AG88" s="81" t="str">
        <f t="shared" si="142"/>
        <v>C88</v>
      </c>
      <c r="AH88" s="81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t="shared" ref="AF89:AH89" si="143">IF(ISNUMBER(FIND("C", AC89, 1)), SUBSTITUTE(AC89, "C", "E"), SUBSTITUTE(AC89, "E", "C"))</f>
        <v>E86</v>
      </c>
      <c r="AG89" s="81" t="str">
        <f t="shared" si="143"/>
        <v>C87</v>
      </c>
      <c r="AH89" s="81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t="shared" ref="AF94:AH94" si="146">IF(ISNUMBER(FIND("C", AC94, 1)), SUBSTITUTE(AC94, "C", "E"), SUBSTITUTE(AC94, "E", "C"))</f>
        <v>C93</v>
      </c>
      <c r="AG94" s="81" t="str">
        <f t="shared" si="146"/>
        <v>C96</v>
      </c>
      <c r="AH94" s="81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t="shared" ref="AF95:AH95" si="154">IF(ISNUMBER(FIND("C", AC95, 1)), SUBSTITUTE(AC95, "C", "E"), SUBSTITUTE(AC95, "E", "C"))</f>
        <v>E94</v>
      </c>
      <c r="AG95" s="81" t="str">
        <f t="shared" si="154"/>
        <v>C95</v>
      </c>
      <c r="AH95" s="81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t="shared" ref="AF96:AH96" si="155">IF(ISNUMBER(FIND("C", AC96, 1)), SUBSTITUTE(AC96, "C", "E"), SUBSTITUTE(AC96, "E", "C"))</f>
        <v>E93</v>
      </c>
      <c r="AG96" s="81" t="str">
        <f t="shared" si="155"/>
        <v>E95</v>
      </c>
      <c r="AH96" s="81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t="shared" ref="AF97:AH97" si="156">IF(ISNUMBER(FIND("C", AC97, 1)), SUBSTITUTE(AC97, "C", "E"), SUBSTITUTE(AC97, "E", "C"))</f>
        <v>C94</v>
      </c>
      <c r="AG97" s="81" t="str">
        <f t="shared" si="156"/>
        <v>E96</v>
      </c>
      <c r="AH97" s="81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ht="12.75" customHeight="1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ht="12.75" customHeight="1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B2" s="8" t="s">
        <v>253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A2" s="134"/>
      <c r="B2" s="8" t="s">
        <v>254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ht="13.5" customHeight="1">
      <c r="A4" s="134"/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T4" s="134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ht="13.5" customHeight="1">
      <c r="A5" s="134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ht="13.5" customHeight="1">
      <c r="A6" s="134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ht="12.75" customHeight="1">
      <c r="A7" s="134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ht="12.75" customHeight="1">
      <c r="A8" s="134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ht="12.75" customHeight="1">
      <c r="A9" s="134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ht="13.5" customHeight="1">
      <c r="A10" s="134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L10" s="134"/>
      <c r="M10" s="134"/>
      <c r="N10" s="134"/>
      <c r="O10" s="134"/>
      <c r="P10" s="134"/>
      <c r="Q10" s="134"/>
      <c r="R10" s="134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ht="13.5" customHeight="1">
      <c r="A11" s="134"/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ht="13.5" customHeight="1">
      <c r="A12" s="134"/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ht="13.5" customHeight="1">
      <c r="A13" s="134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ht="13.5" customHeight="1">
      <c r="A14" s="134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ht="12.75" customHeight="1">
      <c r="A15" s="134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ht="12.75" customHeight="1">
      <c r="A16" s="134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ht="12.75" customHeight="1">
      <c r="A17" s="134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ht="13.5" customHeight="1">
      <c r="A18" s="134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L18" s="134"/>
      <c r="M18" s="134"/>
      <c r="N18" s="134"/>
      <c r="O18" s="134"/>
      <c r="P18" s="134"/>
      <c r="Q18" s="134"/>
      <c r="R18" s="134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ht="13.5" customHeight="1">
      <c r="A19" s="134"/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ht="13.5" customHeight="1">
      <c r="A20" s="134"/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ht="13.5" customHeight="1">
      <c r="A21" s="134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ht="13.5" customHeight="1">
      <c r="A22" s="134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ht="12.75" customHeight="1">
      <c r="A23" s="134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ht="12.75" customHeight="1">
      <c r="A24" s="134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ht="12.75" customHeight="1">
      <c r="A25" s="134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ht="13.5" customHeight="1">
      <c r="A26" s="134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L26" s="134"/>
      <c r="M26" s="134"/>
      <c r="N26" s="134"/>
      <c r="O26" s="134"/>
      <c r="P26" s="134"/>
      <c r="Q26" s="134"/>
      <c r="R26" s="134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ht="13.5" customHeight="1">
      <c r="A27" s="134"/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ht="13.5" customHeight="1">
      <c r="A28" s="134"/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ht="13.5" customHeight="1">
      <c r="A29" s="134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ht="13.5" customHeight="1">
      <c r="A30" s="134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ht="12.75" customHeight="1">
      <c r="A31" s="134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ht="12.75" customHeight="1">
      <c r="A32" s="134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ht="12.75" customHeight="1">
      <c r="A33" s="134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ht="13.5" customHeight="1">
      <c r="A34" s="134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L34" s="134"/>
      <c r="M34" s="134"/>
      <c r="N34" s="134"/>
      <c r="O34" s="134"/>
      <c r="P34" s="134"/>
      <c r="Q34" s="134"/>
      <c r="R34" s="134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ht="13.5" customHeight="1">
      <c r="A35" s="134"/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ht="13.5" customHeight="1">
      <c r="A36" s="134"/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ht="13.5" customHeight="1">
      <c r="A37" s="134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ht="13.5" customHeight="1">
      <c r="A38" s="134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ht="12.75" customHeight="1">
      <c r="A39" s="134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ht="12.75" customHeight="1">
      <c r="A40" s="134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ht="12.75" customHeight="1">
      <c r="A41" s="134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ht="13.5" customHeight="1">
      <c r="A42" s="134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L42" s="134"/>
      <c r="M42" s="134"/>
      <c r="N42" s="134"/>
      <c r="O42" s="134"/>
      <c r="P42" s="134"/>
      <c r="Q42" s="134"/>
      <c r="R42" s="134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ht="13.5" customHeight="1">
      <c r="A43" s="134"/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ht="13.5" customHeight="1">
      <c r="A44" s="134"/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ht="13.5" customHeight="1">
      <c r="A45" s="134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ht="13.5" customHeight="1">
      <c r="A46" s="134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ht="12.75" customHeight="1">
      <c r="A47" s="134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ht="12.75" customHeight="1">
      <c r="A48" s="134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ht="12.75" customHeight="1">
      <c r="A49" s="134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ht="13.5" customHeight="1">
      <c r="A50" s="134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L50" s="134"/>
      <c r="M50" s="134"/>
      <c r="N50" s="134"/>
      <c r="O50" s="134"/>
      <c r="P50" s="134"/>
      <c r="Q50" s="134"/>
      <c r="R50" s="134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ht="13.5" customHeight="1">
      <c r="A51" s="134"/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ht="13.5" customHeight="1">
      <c r="A52" s="134"/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ht="13.5" customHeight="1">
      <c r="A53" s="134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ht="13.5" customHeight="1">
      <c r="A54" s="134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ht="12.75" customHeight="1">
      <c r="A55" s="134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ht="12.75" customHeight="1">
      <c r="A56" s="134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ht="12.75" customHeight="1">
      <c r="A57" s="134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ht="13.5" customHeight="1">
      <c r="A58" s="134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L58" s="134"/>
      <c r="M58" s="134"/>
      <c r="N58" s="134"/>
      <c r="O58" s="134"/>
      <c r="P58" s="134"/>
      <c r="Q58" s="134"/>
      <c r="R58" s="134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ht="13.5" customHeight="1">
      <c r="A59" s="134"/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ht="13.5" customHeight="1">
      <c r="A60" s="134"/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ht="13.5" customHeight="1">
      <c r="A61" s="134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ht="13.5" customHeight="1">
      <c r="A62" s="134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ht="12.75" customHeight="1">
      <c r="A63" s="134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ht="12.75" customHeight="1">
      <c r="A64" s="134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ht="12.75" customHeight="1">
      <c r="A65" s="134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ht="13.5" customHeight="1">
      <c r="A66" s="134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L66" s="134"/>
      <c r="M66" s="134"/>
      <c r="N66" s="134"/>
      <c r="O66" s="134"/>
      <c r="P66" s="134"/>
      <c r="Q66" s="134"/>
      <c r="R66" s="134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ht="12.75" customHeight="1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ht="12.75" customHeight="1">
      <c r="A68" s="134"/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ht="12.75" customHeight="1">
      <c r="A69" s="134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ht="12.75" customHeight="1">
      <c r="A70" s="134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ht="12.75" customHeight="1">
      <c r="A71" s="134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ht="12.75" customHeight="1">
      <c r="A72" s="134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ht="12.75" customHeight="1">
      <c r="A73" s="134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ht="12.75" customHeight="1">
      <c r="A74" s="134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L74" s="134"/>
      <c r="M74" s="134"/>
      <c r="N74" s="134"/>
      <c r="O74" s="134"/>
      <c r="P74" s="134"/>
      <c r="Q74" s="134"/>
      <c r="R74" s="134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ht="12.75" customHeight="1">
      <c r="A75" s="134"/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ht="12.75" customHeight="1">
      <c r="A76" s="134"/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ht="12.75" customHeight="1">
      <c r="A77" s="134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ht="12.75" customHeight="1">
      <c r="A78" s="134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ht="12.75" customHeight="1">
      <c r="A79" s="134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ht="12.75" customHeight="1">
      <c r="A80" s="134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ht="12.75" customHeight="1">
      <c r="A81" s="134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ht="12.75" customHeight="1">
      <c r="A82" s="134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L82" s="134"/>
      <c r="M82" s="134"/>
      <c r="N82" s="134"/>
      <c r="O82" s="134"/>
      <c r="P82" s="134"/>
      <c r="Q82" s="134"/>
      <c r="R82" s="134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ht="12.75" customHeight="1">
      <c r="A83" s="134"/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ht="12.75" customHeight="1">
      <c r="A84" s="134"/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ht="12.75" customHeight="1">
      <c r="A85" s="134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ht="12.75" customHeight="1">
      <c r="A86" s="134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ht="12.75" customHeight="1">
      <c r="A87" s="134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ht="12.75" customHeight="1">
      <c r="A88" s="134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ht="12.75" customHeight="1">
      <c r="A89" s="134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ht="12.75" customHeight="1">
      <c r="A90" s="134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L90" s="134"/>
      <c r="M90" s="134"/>
      <c r="N90" s="134"/>
      <c r="O90" s="134"/>
      <c r="P90" s="134"/>
      <c r="Q90" s="134"/>
      <c r="R90" s="134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ht="12.75" customHeight="1">
      <c r="A91" s="134"/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ht="12.75" customHeight="1">
      <c r="A92" s="134"/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ht="12.75" customHeight="1">
      <c r="A93" s="134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ht="12.75" customHeight="1">
      <c r="A94" s="134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ht="12.75" customHeight="1">
      <c r="A95" s="134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ht="12.75" customHeight="1">
      <c r="A96" s="134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ht="12.75" customHeight="1">
      <c r="A97" s="134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ht="12.75" customHeight="1">
      <c r="A98" s="134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L98" s="134"/>
      <c r="M98" s="134"/>
      <c r="N98" s="134"/>
      <c r="O98" s="134"/>
      <c r="P98" s="134"/>
      <c r="Q98" s="134"/>
      <c r="R98" s="134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ht="12.75" customHeight="1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ht="12.75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ht="13.5" customHeight="1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A102" s="134"/>
      <c r="B102" s="134"/>
      <c r="C102" s="134"/>
      <c r="D102" s="134"/>
      <c r="E102" s="134"/>
      <c r="F102" s="134"/>
      <c r="G102" s="134"/>
      <c r="H102" s="52"/>
      <c r="I102" s="52"/>
      <c r="J102" s="52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ht="12.75" customHeight="1">
      <c r="A103" s="134"/>
      <c r="B103" s="134"/>
      <c r="C103" s="134"/>
      <c r="D103" s="134"/>
      <c r="E103" s="134"/>
      <c r="F103" s="134"/>
      <c r="G103" s="134"/>
      <c r="H103" s="52"/>
      <c r="I103" s="52"/>
      <c r="J103" s="52"/>
      <c r="K103" s="134"/>
      <c r="L103" s="53"/>
      <c r="M103" s="53"/>
      <c r="N103" s="53"/>
      <c r="O103" s="53"/>
      <c r="P103" s="53"/>
      <c r="Q103" s="53"/>
      <c r="R103" s="53"/>
      <c r="S103" s="134"/>
      <c r="T103" s="134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ht="12.75" customHeight="1">
      <c r="A104" s="134"/>
      <c r="B104" s="134"/>
      <c r="C104" s="134"/>
      <c r="D104" s="134"/>
      <c r="E104" s="134"/>
      <c r="F104" s="134"/>
      <c r="G104" s="134"/>
      <c r="H104" s="52"/>
      <c r="I104" s="52"/>
      <c r="J104" s="52"/>
      <c r="K104" s="134"/>
      <c r="L104" s="53"/>
      <c r="M104" s="53"/>
      <c r="N104" s="53"/>
      <c r="O104" s="53"/>
      <c r="P104" s="53"/>
      <c r="Q104" s="53"/>
      <c r="R104" s="53"/>
      <c r="S104" s="134"/>
      <c r="T104" s="134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ht="12.75" customHeight="1">
      <c r="A105" s="134"/>
      <c r="B105" s="134"/>
      <c r="C105" s="134"/>
      <c r="D105" s="134"/>
      <c r="E105" s="134"/>
      <c r="F105" s="134"/>
      <c r="G105" s="134"/>
      <c r="H105" s="52"/>
      <c r="I105" s="52"/>
      <c r="J105" s="52"/>
      <c r="K105" s="134"/>
      <c r="L105" s="53"/>
      <c r="M105" s="53"/>
      <c r="N105" s="53"/>
      <c r="O105" s="53"/>
      <c r="P105" s="53"/>
      <c r="Q105" s="53"/>
      <c r="R105" s="53"/>
      <c r="S105" s="134"/>
      <c r="T105" s="134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ht="12.75" customHeight="1">
      <c r="A106" s="134"/>
      <c r="B106" s="134"/>
      <c r="C106" s="134"/>
      <c r="D106" s="134"/>
      <c r="E106" s="134"/>
      <c r="F106" s="134"/>
      <c r="G106" s="134"/>
      <c r="H106" s="52"/>
      <c r="I106" s="52"/>
      <c r="J106" s="52"/>
      <c r="K106" s="134"/>
      <c r="L106" s="53"/>
      <c r="M106" s="53"/>
      <c r="N106" s="53"/>
      <c r="O106" s="53"/>
      <c r="P106" s="53"/>
      <c r="Q106" s="53"/>
      <c r="R106" s="53"/>
      <c r="S106" s="134"/>
      <c r="T106" s="134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ht="12.75" customHeight="1">
      <c r="A107" s="134"/>
      <c r="B107" s="134"/>
      <c r="C107" s="134"/>
      <c r="D107" s="134"/>
      <c r="E107" s="134"/>
      <c r="F107" s="134"/>
      <c r="G107" s="134"/>
      <c r="H107" s="52"/>
      <c r="I107" s="52"/>
      <c r="J107" s="52"/>
      <c r="K107" s="134"/>
      <c r="L107" s="53"/>
      <c r="M107" s="53"/>
      <c r="N107" s="53"/>
      <c r="O107" s="53"/>
      <c r="P107" s="53"/>
      <c r="Q107" s="53"/>
      <c r="R107" s="53"/>
      <c r="S107" s="134"/>
      <c r="T107" s="134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ht="12.75" customHeight="1">
      <c r="A108" s="134"/>
      <c r="B108" s="134"/>
      <c r="C108" s="134"/>
      <c r="D108" s="134"/>
      <c r="E108" s="134"/>
      <c r="F108" s="134"/>
      <c r="G108" s="134"/>
      <c r="H108" s="52"/>
      <c r="I108" s="52"/>
      <c r="J108" s="52"/>
      <c r="K108" s="134"/>
      <c r="L108" s="53"/>
      <c r="M108" s="53"/>
      <c r="N108" s="53"/>
      <c r="O108" s="53"/>
      <c r="P108" s="53"/>
      <c r="Q108" s="53"/>
      <c r="R108" s="53"/>
      <c r="S108" s="134"/>
      <c r="T108" s="134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ht="12.75" customHeight="1">
      <c r="A109" s="134"/>
      <c r="B109" s="134"/>
      <c r="C109" s="134"/>
      <c r="D109" s="134"/>
      <c r="E109" s="134"/>
      <c r="F109" s="134"/>
      <c r="G109" s="134"/>
      <c r="H109" s="52"/>
      <c r="I109" s="52"/>
      <c r="J109" s="52"/>
      <c r="K109" s="134"/>
      <c r="L109" s="53"/>
      <c r="M109" s="53"/>
      <c r="N109" s="53"/>
      <c r="O109" s="53"/>
      <c r="P109" s="53"/>
      <c r="Q109" s="53"/>
      <c r="R109" s="53"/>
      <c r="S109" s="134"/>
      <c r="T109" s="134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ht="12.75" customHeight="1">
      <c r="A110" s="134"/>
      <c r="B110" s="134"/>
      <c r="C110" s="134"/>
      <c r="D110" s="134"/>
      <c r="E110" s="134"/>
      <c r="F110" s="134"/>
      <c r="G110" s="134"/>
      <c r="H110" s="52"/>
      <c r="I110" s="52"/>
      <c r="J110" s="52"/>
      <c r="K110" s="134"/>
      <c r="L110" s="53"/>
      <c r="M110" s="53"/>
      <c r="N110" s="53"/>
      <c r="O110" s="53"/>
      <c r="P110" s="53"/>
      <c r="Q110" s="53"/>
      <c r="R110" s="53"/>
      <c r="S110" s="134"/>
      <c r="T110" s="134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ht="12.75" customHeight="1">
      <c r="A111" s="134"/>
      <c r="B111" s="134"/>
      <c r="C111" s="134"/>
      <c r="D111" s="134"/>
      <c r="E111" s="134"/>
      <c r="F111" s="134"/>
      <c r="G111" s="134"/>
      <c r="H111" s="52"/>
      <c r="I111" s="52"/>
      <c r="J111" s="52"/>
      <c r="K111" s="134"/>
      <c r="L111" s="53"/>
      <c r="M111" s="53"/>
      <c r="N111" s="53"/>
      <c r="O111" s="53"/>
      <c r="P111" s="53"/>
      <c r="Q111" s="53"/>
      <c r="R111" s="53"/>
      <c r="S111" s="134"/>
      <c r="T111" s="134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ht="12.75" customHeight="1">
      <c r="A112" s="134"/>
      <c r="B112" s="134"/>
      <c r="C112" s="134"/>
      <c r="D112" s="134"/>
      <c r="E112" s="134"/>
      <c r="F112" s="134"/>
      <c r="G112" s="134"/>
      <c r="H112" s="52"/>
      <c r="I112" s="52"/>
      <c r="J112" s="52"/>
      <c r="K112" s="134"/>
      <c r="L112" s="53"/>
      <c r="M112" s="53"/>
      <c r="N112" s="53"/>
      <c r="O112" s="53"/>
      <c r="P112" s="53"/>
      <c r="Q112" s="53"/>
      <c r="R112" s="53"/>
      <c r="S112" s="134"/>
      <c r="T112" s="134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ht="12.75" customHeight="1">
      <c r="A113" s="134"/>
      <c r="B113" s="134"/>
      <c r="C113" s="134"/>
      <c r="D113" s="134"/>
      <c r="E113" s="134"/>
      <c r="F113" s="134"/>
      <c r="G113" s="134"/>
      <c r="H113" s="52"/>
      <c r="I113" s="52"/>
      <c r="J113" s="52"/>
      <c r="K113" s="134"/>
      <c r="L113" s="53"/>
      <c r="M113" s="53"/>
      <c r="N113" s="53"/>
      <c r="O113" s="53"/>
      <c r="P113" s="53"/>
      <c r="Q113" s="53"/>
      <c r="R113" s="53"/>
      <c r="S113" s="134"/>
      <c r="T113" s="134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ht="12.75" customHeight="1">
      <c r="A114" s="134"/>
      <c r="B114" s="134"/>
      <c r="C114" s="134"/>
      <c r="D114" s="134"/>
      <c r="E114" s="134"/>
      <c r="F114" s="134"/>
      <c r="G114" s="134"/>
      <c r="H114" s="52"/>
      <c r="I114" s="52"/>
      <c r="J114" s="52"/>
      <c r="K114" s="134"/>
      <c r="L114" s="53"/>
      <c r="M114" s="53"/>
      <c r="N114" s="53"/>
      <c r="O114" s="53"/>
      <c r="P114" s="53"/>
      <c r="Q114" s="53"/>
      <c r="R114" s="53"/>
      <c r="S114" s="134"/>
      <c r="T114" s="134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ht="12.75" customHeight="1">
      <c r="A115" s="134"/>
      <c r="B115" s="134"/>
      <c r="C115" s="134"/>
      <c r="D115" s="134"/>
      <c r="E115" s="134"/>
      <c r="F115" s="134"/>
      <c r="G115" s="134"/>
      <c r="H115" s="52"/>
      <c r="I115" s="52"/>
      <c r="J115" s="52"/>
      <c r="K115" s="134"/>
      <c r="L115" s="53"/>
      <c r="M115" s="53"/>
      <c r="N115" s="53"/>
      <c r="O115" s="53"/>
      <c r="P115" s="53"/>
      <c r="Q115" s="53"/>
      <c r="R115" s="53"/>
      <c r="S115" s="134"/>
      <c r="T115" s="134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ht="12.75" customHeight="1">
      <c r="A116" s="134"/>
      <c r="B116" s="134"/>
      <c r="C116" s="134"/>
      <c r="D116" s="134"/>
      <c r="E116" s="134"/>
      <c r="F116" s="134"/>
      <c r="G116" s="134"/>
      <c r="H116" s="52"/>
      <c r="I116" s="52"/>
      <c r="J116" s="52"/>
      <c r="K116" s="134"/>
      <c r="L116" s="53"/>
      <c r="M116" s="53"/>
      <c r="N116" s="53"/>
      <c r="O116" s="53"/>
      <c r="P116" s="53"/>
      <c r="Q116" s="53"/>
      <c r="R116" s="53"/>
      <c r="S116" s="134"/>
      <c r="T116" s="134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ht="12.75" customHeight="1">
      <c r="A117" s="134"/>
      <c r="B117" s="134"/>
      <c r="C117" s="134"/>
      <c r="D117" s="134"/>
      <c r="E117" s="134"/>
      <c r="F117" s="134"/>
      <c r="G117" s="134"/>
      <c r="H117" s="52"/>
      <c r="I117" s="52"/>
      <c r="J117" s="52"/>
      <c r="K117" s="134"/>
      <c r="L117" s="53"/>
      <c r="M117" s="53"/>
      <c r="N117" s="53"/>
      <c r="O117" s="53"/>
      <c r="P117" s="53"/>
      <c r="Q117" s="53"/>
      <c r="R117" s="53"/>
      <c r="S117" s="134"/>
      <c r="T117" s="134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ht="12.75" customHeight="1">
      <c r="A118" s="134"/>
      <c r="B118" s="134"/>
      <c r="C118" s="134"/>
      <c r="D118" s="134"/>
      <c r="E118" s="134"/>
      <c r="F118" s="134"/>
      <c r="G118" s="134"/>
      <c r="H118" s="52"/>
      <c r="I118" s="52"/>
      <c r="J118" s="52"/>
      <c r="K118" s="134"/>
      <c r="L118" s="53"/>
      <c r="M118" s="53"/>
      <c r="N118" s="53"/>
      <c r="O118" s="53"/>
      <c r="P118" s="53"/>
      <c r="Q118" s="53"/>
      <c r="R118" s="53"/>
      <c r="S118" s="134"/>
      <c r="T118" s="134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ht="12.75" customHeight="1">
      <c r="A119" s="134"/>
      <c r="B119" s="134"/>
      <c r="C119" s="134"/>
      <c r="D119" s="134"/>
      <c r="E119" s="134"/>
      <c r="F119" s="134"/>
      <c r="G119" s="134"/>
      <c r="H119" s="52"/>
      <c r="I119" s="52"/>
      <c r="J119" s="52"/>
      <c r="K119" s="134"/>
      <c r="L119" s="53"/>
      <c r="M119" s="53"/>
      <c r="N119" s="53"/>
      <c r="O119" s="53"/>
      <c r="P119" s="53"/>
      <c r="Q119" s="53"/>
      <c r="R119" s="53"/>
      <c r="S119" s="134"/>
      <c r="T119" s="134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ht="12.75" customHeight="1">
      <c r="A120" s="134"/>
      <c r="B120" s="134"/>
      <c r="C120" s="134"/>
      <c r="D120" s="134"/>
      <c r="E120" s="134"/>
      <c r="F120" s="134"/>
      <c r="G120" s="134"/>
      <c r="H120" s="52"/>
      <c r="I120" s="52"/>
      <c r="J120" s="52"/>
      <c r="K120" s="134"/>
      <c r="L120" s="53"/>
      <c r="M120" s="53"/>
      <c r="N120" s="53"/>
      <c r="O120" s="53"/>
      <c r="P120" s="53"/>
      <c r="Q120" s="53"/>
      <c r="R120" s="53"/>
      <c r="S120" s="134"/>
      <c r="T120" s="134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ht="12.75" customHeight="1">
      <c r="A121" s="134"/>
      <c r="B121" s="134"/>
      <c r="C121" s="134"/>
      <c r="D121" s="134"/>
      <c r="E121" s="134"/>
      <c r="F121" s="134"/>
      <c r="G121" s="134"/>
      <c r="H121" s="52"/>
      <c r="I121" s="52"/>
      <c r="J121" s="52"/>
      <c r="K121" s="134"/>
      <c r="L121" s="53"/>
      <c r="M121" s="53"/>
      <c r="N121" s="53"/>
      <c r="O121" s="53"/>
      <c r="P121" s="53"/>
      <c r="Q121" s="53"/>
      <c r="R121" s="53"/>
      <c r="S121" s="134"/>
      <c r="T121" s="134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ht="12.75" customHeight="1">
      <c r="A122" s="134"/>
      <c r="B122" s="134"/>
      <c r="C122" s="134"/>
      <c r="D122" s="134"/>
      <c r="E122" s="134"/>
      <c r="F122" s="134"/>
      <c r="G122" s="134"/>
      <c r="H122" s="52"/>
      <c r="I122" s="52"/>
      <c r="J122" s="52"/>
      <c r="K122" s="134"/>
      <c r="L122" s="53"/>
      <c r="M122" s="53"/>
      <c r="N122" s="53"/>
      <c r="O122" s="53"/>
      <c r="P122" s="53"/>
      <c r="Q122" s="53"/>
      <c r="R122" s="53"/>
      <c r="S122" s="134"/>
      <c r="T122" s="134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ht="12.75" customHeight="1">
      <c r="A123" s="134"/>
      <c r="B123" s="134"/>
      <c r="C123" s="134"/>
      <c r="D123" s="134"/>
      <c r="E123" s="134"/>
      <c r="F123" s="134"/>
      <c r="G123" s="134"/>
      <c r="H123" s="52"/>
      <c r="I123" s="52"/>
      <c r="J123" s="52"/>
      <c r="K123" s="134"/>
      <c r="L123" s="53"/>
      <c r="M123" s="53"/>
      <c r="N123" s="53"/>
      <c r="O123" s="53"/>
      <c r="P123" s="53"/>
      <c r="Q123" s="53"/>
      <c r="R123" s="53"/>
      <c r="S123" s="134"/>
      <c r="T123" s="134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ht="12.75" customHeight="1">
      <c r="A124" s="134"/>
      <c r="B124" s="134"/>
      <c r="C124" s="134"/>
      <c r="D124" s="134"/>
      <c r="E124" s="134"/>
      <c r="F124" s="134"/>
      <c r="G124" s="134"/>
      <c r="H124" s="52"/>
      <c r="I124" s="52"/>
      <c r="J124" s="52"/>
      <c r="K124" s="134"/>
      <c r="L124" s="53"/>
      <c r="M124" s="53"/>
      <c r="N124" s="53"/>
      <c r="O124" s="53"/>
      <c r="P124" s="53"/>
      <c r="Q124" s="53"/>
      <c r="R124" s="53"/>
      <c r="S124" s="134"/>
      <c r="T124" s="134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ht="12.75" customHeight="1">
      <c r="A125" s="134"/>
      <c r="B125" s="134"/>
      <c r="C125" s="134"/>
      <c r="D125" s="134"/>
      <c r="E125" s="134"/>
      <c r="F125" s="134"/>
      <c r="G125" s="134"/>
      <c r="H125" s="52"/>
      <c r="I125" s="52"/>
      <c r="J125" s="52"/>
      <c r="K125" s="134"/>
      <c r="L125" s="53"/>
      <c r="M125" s="53"/>
      <c r="N125" s="53"/>
      <c r="O125" s="53"/>
      <c r="P125" s="53"/>
      <c r="Q125" s="53"/>
      <c r="R125" s="53"/>
      <c r="S125" s="134"/>
      <c r="T125" s="134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ht="12.75" customHeight="1">
      <c r="A126" s="134"/>
      <c r="B126" s="134"/>
      <c r="C126" s="134"/>
      <c r="D126" s="134"/>
      <c r="E126" s="134"/>
      <c r="F126" s="134"/>
      <c r="G126" s="134"/>
      <c r="H126" s="52"/>
      <c r="I126" s="52"/>
      <c r="J126" s="52"/>
      <c r="K126" s="134"/>
      <c r="L126" s="53"/>
      <c r="M126" s="53"/>
      <c r="N126" s="53"/>
      <c r="O126" s="53"/>
      <c r="P126" s="53"/>
      <c r="Q126" s="53"/>
      <c r="R126" s="53"/>
      <c r="S126" s="134"/>
      <c r="T126" s="134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ht="12.75" customHeight="1">
      <c r="A127" s="134"/>
      <c r="B127" s="134"/>
      <c r="C127" s="134"/>
      <c r="D127" s="134"/>
      <c r="E127" s="134"/>
      <c r="F127" s="134"/>
      <c r="G127" s="134"/>
      <c r="H127" s="52"/>
      <c r="I127" s="52"/>
      <c r="J127" s="52"/>
      <c r="K127" s="134"/>
      <c r="L127" s="53"/>
      <c r="M127" s="53"/>
      <c r="N127" s="53"/>
      <c r="O127" s="53"/>
      <c r="P127" s="53"/>
      <c r="Q127" s="53"/>
      <c r="R127" s="53"/>
      <c r="S127" s="134"/>
      <c r="T127" s="134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ht="12.75" customHeight="1">
      <c r="A128" s="134"/>
      <c r="B128" s="134"/>
      <c r="C128" s="134"/>
      <c r="D128" s="134"/>
      <c r="E128" s="134"/>
      <c r="F128" s="134"/>
      <c r="G128" s="134"/>
      <c r="H128" s="52"/>
      <c r="I128" s="52"/>
      <c r="J128" s="52"/>
      <c r="K128" s="134"/>
      <c r="L128" s="53"/>
      <c r="M128" s="53"/>
      <c r="N128" s="53"/>
      <c r="O128" s="53"/>
      <c r="P128" s="53"/>
      <c r="Q128" s="53"/>
      <c r="R128" s="53"/>
      <c r="S128" s="134"/>
      <c r="T128" s="134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ht="12.75" customHeight="1">
      <c r="A129" s="134"/>
      <c r="B129" s="134"/>
      <c r="C129" s="134"/>
      <c r="D129" s="134"/>
      <c r="E129" s="134"/>
      <c r="F129" s="134"/>
      <c r="G129" s="134"/>
      <c r="H129" s="52"/>
      <c r="I129" s="52"/>
      <c r="J129" s="52"/>
      <c r="K129" s="134"/>
      <c r="L129" s="53"/>
      <c r="M129" s="53"/>
      <c r="N129" s="53"/>
      <c r="O129" s="53"/>
      <c r="P129" s="53"/>
      <c r="Q129" s="53"/>
      <c r="R129" s="53"/>
      <c r="S129" s="134"/>
      <c r="T129" s="134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ht="12.75" customHeight="1">
      <c r="A130" s="134"/>
      <c r="B130" s="134"/>
      <c r="C130" s="134"/>
      <c r="D130" s="134"/>
      <c r="E130" s="134"/>
      <c r="F130" s="134"/>
      <c r="G130" s="134"/>
      <c r="H130" s="52"/>
      <c r="I130" s="52"/>
      <c r="J130" s="52"/>
      <c r="K130" s="134"/>
      <c r="L130" s="53"/>
      <c r="M130" s="53"/>
      <c r="N130" s="53"/>
      <c r="O130" s="53"/>
      <c r="P130" s="53"/>
      <c r="Q130" s="53"/>
      <c r="R130" s="53"/>
      <c r="S130" s="134"/>
      <c r="T130" s="134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ht="12.75" customHeight="1">
      <c r="A131" s="134"/>
      <c r="B131" s="134"/>
      <c r="C131" s="134"/>
      <c r="D131" s="134"/>
      <c r="E131" s="134"/>
      <c r="F131" s="134"/>
      <c r="G131" s="134"/>
      <c r="H131" s="52"/>
      <c r="I131" s="52"/>
      <c r="J131" s="52"/>
      <c r="K131" s="134"/>
      <c r="L131" s="53"/>
      <c r="M131" s="53"/>
      <c r="N131" s="53"/>
      <c r="O131" s="53"/>
      <c r="P131" s="53"/>
      <c r="Q131" s="53"/>
      <c r="R131" s="53"/>
      <c r="S131" s="134"/>
      <c r="T131" s="134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ht="12.75" customHeight="1">
      <c r="A132" s="134"/>
      <c r="B132" s="134"/>
      <c r="C132" s="134"/>
      <c r="D132" s="134"/>
      <c r="E132" s="134"/>
      <c r="F132" s="134"/>
      <c r="G132" s="134"/>
      <c r="H132" s="52"/>
      <c r="I132" s="52"/>
      <c r="J132" s="52"/>
      <c r="K132" s="134"/>
      <c r="L132" s="53"/>
      <c r="M132" s="53"/>
      <c r="N132" s="53"/>
      <c r="O132" s="53"/>
      <c r="P132" s="53"/>
      <c r="Q132" s="53"/>
      <c r="R132" s="53"/>
      <c r="S132" s="134"/>
      <c r="T132" s="134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ht="12.75" customHeight="1">
      <c r="A133" s="134"/>
      <c r="B133" s="134"/>
      <c r="C133" s="134"/>
      <c r="D133" s="134"/>
      <c r="E133" s="134"/>
      <c r="F133" s="134"/>
      <c r="G133" s="134"/>
      <c r="H133" s="52"/>
      <c r="I133" s="52"/>
      <c r="J133" s="52"/>
      <c r="K133" s="134"/>
      <c r="L133" s="53"/>
      <c r="M133" s="53"/>
      <c r="N133" s="53"/>
      <c r="O133" s="53"/>
      <c r="P133" s="53"/>
      <c r="Q133" s="53"/>
      <c r="R133" s="53"/>
      <c r="S133" s="134"/>
      <c r="T133" s="134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ht="12.75" customHeight="1">
      <c r="A134" s="134"/>
      <c r="B134" s="134"/>
      <c r="C134" s="134"/>
      <c r="D134" s="134"/>
      <c r="E134" s="134"/>
      <c r="F134" s="134"/>
      <c r="G134" s="134"/>
      <c r="H134" s="52"/>
      <c r="I134" s="52"/>
      <c r="J134" s="52"/>
      <c r="K134" s="134"/>
      <c r="L134" s="53"/>
      <c r="M134" s="53"/>
      <c r="N134" s="53"/>
      <c r="O134" s="53"/>
      <c r="P134" s="53"/>
      <c r="Q134" s="53"/>
      <c r="R134" s="53"/>
      <c r="S134" s="134"/>
      <c r="T134" s="134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ht="12.75" customHeight="1">
      <c r="A135" s="134"/>
      <c r="B135" s="134"/>
      <c r="C135" s="134"/>
      <c r="D135" s="134"/>
      <c r="E135" s="134"/>
      <c r="F135" s="134"/>
      <c r="G135" s="134"/>
      <c r="H135" s="52"/>
      <c r="I135" s="52"/>
      <c r="J135" s="52"/>
      <c r="K135" s="134"/>
      <c r="L135" s="53"/>
      <c r="M135" s="53"/>
      <c r="N135" s="53"/>
      <c r="O135" s="53"/>
      <c r="P135" s="53"/>
      <c r="Q135" s="53"/>
      <c r="R135" s="53"/>
      <c r="S135" s="134"/>
      <c r="T135" s="134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ht="12.75" customHeight="1">
      <c r="A136" s="134"/>
      <c r="B136" s="134"/>
      <c r="C136" s="134"/>
      <c r="D136" s="134"/>
      <c r="E136" s="134"/>
      <c r="F136" s="134"/>
      <c r="G136" s="134"/>
      <c r="H136" s="52"/>
      <c r="I136" s="52"/>
      <c r="J136" s="52"/>
      <c r="K136" s="134"/>
      <c r="L136" s="53"/>
      <c r="M136" s="53"/>
      <c r="N136" s="53"/>
      <c r="O136" s="53"/>
      <c r="P136" s="53"/>
      <c r="Q136" s="53"/>
      <c r="R136" s="53"/>
      <c r="S136" s="134"/>
      <c r="T136" s="134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ht="12.75" customHeight="1">
      <c r="A137" s="134"/>
      <c r="B137" s="134"/>
      <c r="C137" s="134"/>
      <c r="D137" s="134"/>
      <c r="E137" s="134"/>
      <c r="F137" s="134"/>
      <c r="G137" s="134"/>
      <c r="H137" s="52"/>
      <c r="I137" s="52"/>
      <c r="J137" s="52"/>
      <c r="K137" s="134"/>
      <c r="L137" s="53"/>
      <c r="M137" s="53"/>
      <c r="N137" s="53"/>
      <c r="O137" s="53"/>
      <c r="P137" s="53"/>
      <c r="Q137" s="53"/>
      <c r="R137" s="53"/>
      <c r="S137" s="134"/>
      <c r="T137" s="134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ht="12.75" customHeight="1">
      <c r="A138" s="134"/>
      <c r="B138" s="134"/>
      <c r="C138" s="134"/>
      <c r="D138" s="134"/>
      <c r="E138" s="134"/>
      <c r="F138" s="134"/>
      <c r="G138" s="134"/>
      <c r="H138" s="52"/>
      <c r="I138" s="52"/>
      <c r="J138" s="52"/>
      <c r="K138" s="134"/>
      <c r="L138" s="53"/>
      <c r="M138" s="53"/>
      <c r="N138" s="53"/>
      <c r="O138" s="53"/>
      <c r="P138" s="53"/>
      <c r="Q138" s="53"/>
      <c r="R138" s="53"/>
      <c r="S138" s="134"/>
      <c r="T138" s="134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ht="12.75" customHeight="1">
      <c r="A139" s="134"/>
      <c r="B139" s="134"/>
      <c r="C139" s="134"/>
      <c r="D139" s="134"/>
      <c r="E139" s="134"/>
      <c r="F139" s="134"/>
      <c r="G139" s="134"/>
      <c r="H139" s="52"/>
      <c r="I139" s="52"/>
      <c r="J139" s="52"/>
      <c r="K139" s="134"/>
      <c r="L139" s="53"/>
      <c r="M139" s="53"/>
      <c r="N139" s="53"/>
      <c r="O139" s="53"/>
      <c r="P139" s="53"/>
      <c r="Q139" s="53"/>
      <c r="R139" s="53"/>
      <c r="S139" s="134"/>
      <c r="T139" s="134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ht="12.75" customHeight="1">
      <c r="A140" s="134"/>
      <c r="B140" s="134"/>
      <c r="C140" s="134"/>
      <c r="D140" s="134"/>
      <c r="E140" s="134"/>
      <c r="F140" s="134"/>
      <c r="G140" s="134"/>
      <c r="H140" s="52"/>
      <c r="I140" s="52"/>
      <c r="J140" s="52"/>
      <c r="K140" s="134"/>
      <c r="L140" s="53"/>
      <c r="M140" s="53"/>
      <c r="N140" s="53"/>
      <c r="O140" s="53"/>
      <c r="P140" s="53"/>
      <c r="Q140" s="53"/>
      <c r="R140" s="53"/>
      <c r="S140" s="134"/>
      <c r="T140" s="134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ht="12.75" customHeight="1">
      <c r="A141" s="134"/>
      <c r="B141" s="134"/>
      <c r="C141" s="134"/>
      <c r="D141" s="134"/>
      <c r="E141" s="134"/>
      <c r="F141" s="134"/>
      <c r="G141" s="134"/>
      <c r="H141" s="52"/>
      <c r="I141" s="52"/>
      <c r="J141" s="52"/>
      <c r="K141" s="134"/>
      <c r="L141" s="53"/>
      <c r="M141" s="53"/>
      <c r="N141" s="53"/>
      <c r="O141" s="53"/>
      <c r="P141" s="53"/>
      <c r="Q141" s="53"/>
      <c r="R141" s="53"/>
      <c r="S141" s="134"/>
      <c r="T141" s="134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ht="12.75" customHeight="1">
      <c r="A142" s="134"/>
      <c r="B142" s="134"/>
      <c r="C142" s="134"/>
      <c r="D142" s="134"/>
      <c r="E142" s="134"/>
      <c r="F142" s="134"/>
      <c r="G142" s="134"/>
      <c r="H142" s="52"/>
      <c r="I142" s="52"/>
      <c r="J142" s="52"/>
      <c r="K142" s="134"/>
      <c r="L142" s="53"/>
      <c r="M142" s="53"/>
      <c r="N142" s="53"/>
      <c r="O142" s="53"/>
      <c r="P142" s="53"/>
      <c r="Q142" s="53"/>
      <c r="R142" s="53"/>
      <c r="S142" s="134"/>
      <c r="T142" s="134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ht="12.75" customHeight="1">
      <c r="A143" s="134"/>
      <c r="B143" s="134"/>
      <c r="C143" s="134"/>
      <c r="D143" s="134"/>
      <c r="E143" s="134"/>
      <c r="F143" s="134"/>
      <c r="G143" s="134"/>
      <c r="H143" s="52"/>
      <c r="I143" s="52"/>
      <c r="J143" s="52"/>
      <c r="K143" s="134"/>
      <c r="L143" s="53"/>
      <c r="M143" s="53"/>
      <c r="N143" s="53"/>
      <c r="O143" s="53"/>
      <c r="P143" s="53"/>
      <c r="Q143" s="53"/>
      <c r="R143" s="53"/>
      <c r="S143" s="134"/>
      <c r="T143" s="134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ht="12.75" customHeight="1">
      <c r="A144" s="134"/>
      <c r="B144" s="134"/>
      <c r="C144" s="134"/>
      <c r="D144" s="134"/>
      <c r="E144" s="134"/>
      <c r="F144" s="134"/>
      <c r="G144" s="134"/>
      <c r="H144" s="52"/>
      <c r="I144" s="52"/>
      <c r="J144" s="52"/>
      <c r="K144" s="134"/>
      <c r="L144" s="53"/>
      <c r="M144" s="53"/>
      <c r="N144" s="53"/>
      <c r="O144" s="53"/>
      <c r="P144" s="53"/>
      <c r="Q144" s="53"/>
      <c r="R144" s="53"/>
      <c r="S144" s="134"/>
      <c r="T144" s="134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ht="12.75" customHeight="1">
      <c r="A145" s="134"/>
      <c r="B145" s="134"/>
      <c r="C145" s="134"/>
      <c r="D145" s="134"/>
      <c r="E145" s="134"/>
      <c r="F145" s="134"/>
      <c r="G145" s="134"/>
      <c r="H145" s="52"/>
      <c r="I145" s="52"/>
      <c r="J145" s="52"/>
      <c r="K145" s="134"/>
      <c r="L145" s="53"/>
      <c r="M145" s="53"/>
      <c r="N145" s="53"/>
      <c r="O145" s="53"/>
      <c r="P145" s="53"/>
      <c r="Q145" s="53"/>
      <c r="R145" s="53"/>
      <c r="S145" s="134"/>
      <c r="T145" s="134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ht="12.75" customHeight="1">
      <c r="A146" s="134"/>
      <c r="B146" s="134"/>
      <c r="C146" s="134"/>
      <c r="D146" s="134"/>
      <c r="E146" s="134"/>
      <c r="F146" s="134"/>
      <c r="G146" s="134"/>
      <c r="H146" s="52"/>
      <c r="I146" s="52"/>
      <c r="J146" s="52"/>
      <c r="K146" s="134"/>
      <c r="L146" s="53"/>
      <c r="M146" s="53"/>
      <c r="N146" s="53"/>
      <c r="O146" s="53"/>
      <c r="P146" s="53"/>
      <c r="Q146" s="53"/>
      <c r="R146" s="53"/>
      <c r="S146" s="134"/>
      <c r="T146" s="134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ht="12.75" customHeight="1">
      <c r="A147" s="134"/>
      <c r="B147" s="134"/>
      <c r="C147" s="134"/>
      <c r="D147" s="134"/>
      <c r="E147" s="134"/>
      <c r="F147" s="134"/>
      <c r="G147" s="134"/>
      <c r="H147" s="52"/>
      <c r="I147" s="52"/>
      <c r="J147" s="52"/>
      <c r="K147" s="134"/>
      <c r="L147" s="53"/>
      <c r="M147" s="53"/>
      <c r="N147" s="53"/>
      <c r="O147" s="53"/>
      <c r="P147" s="53"/>
      <c r="Q147" s="53"/>
      <c r="R147" s="53"/>
      <c r="S147" s="134"/>
      <c r="T147" s="134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ht="12.75" customHeight="1">
      <c r="A148" s="134"/>
      <c r="B148" s="134"/>
      <c r="C148" s="134"/>
      <c r="D148" s="134"/>
      <c r="E148" s="134"/>
      <c r="F148" s="134"/>
      <c r="G148" s="134"/>
      <c r="H148" s="52"/>
      <c r="I148" s="52"/>
      <c r="J148" s="52"/>
      <c r="K148" s="134"/>
      <c r="L148" s="53"/>
      <c r="M148" s="53"/>
      <c r="N148" s="53"/>
      <c r="O148" s="53"/>
      <c r="P148" s="53"/>
      <c r="Q148" s="53"/>
      <c r="R148" s="53"/>
      <c r="S148" s="134"/>
      <c r="T148" s="134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ht="12.75" customHeight="1">
      <c r="A149" s="134"/>
      <c r="B149" s="134"/>
      <c r="C149" s="134"/>
      <c r="D149" s="134"/>
      <c r="E149" s="134"/>
      <c r="F149" s="134"/>
      <c r="G149" s="134"/>
      <c r="H149" s="52"/>
      <c r="I149" s="52"/>
      <c r="J149" s="52"/>
      <c r="K149" s="134"/>
      <c r="L149" s="53"/>
      <c r="M149" s="53"/>
      <c r="N149" s="53"/>
      <c r="O149" s="53"/>
      <c r="P149" s="53"/>
      <c r="Q149" s="53"/>
      <c r="R149" s="53"/>
      <c r="S149" s="134"/>
      <c r="T149" s="134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ht="12.75" customHeight="1">
      <c r="A150" s="134"/>
      <c r="B150" s="134"/>
      <c r="C150" s="134"/>
      <c r="D150" s="134"/>
      <c r="E150" s="134"/>
      <c r="F150" s="134"/>
      <c r="G150" s="134"/>
      <c r="H150" s="52"/>
      <c r="I150" s="52"/>
      <c r="J150" s="52"/>
      <c r="K150" s="134"/>
      <c r="L150" s="53"/>
      <c r="M150" s="53"/>
      <c r="N150" s="53"/>
      <c r="O150" s="53"/>
      <c r="P150" s="53"/>
      <c r="Q150" s="53"/>
      <c r="R150" s="53"/>
      <c r="S150" s="134"/>
      <c r="T150" s="134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ht="12.75" customHeight="1">
      <c r="A151" s="134"/>
      <c r="B151" s="134"/>
      <c r="C151" s="134"/>
      <c r="D151" s="134"/>
      <c r="E151" s="134"/>
      <c r="F151" s="134"/>
      <c r="G151" s="134"/>
      <c r="H151" s="52"/>
      <c r="I151" s="52"/>
      <c r="J151" s="52"/>
      <c r="K151" s="134"/>
      <c r="L151" s="53"/>
      <c r="M151" s="53"/>
      <c r="N151" s="53"/>
      <c r="O151" s="53"/>
      <c r="P151" s="53"/>
      <c r="Q151" s="53"/>
      <c r="R151" s="53"/>
      <c r="S151" s="134"/>
      <c r="T151" s="134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ht="12.75" customHeight="1">
      <c r="A152" s="134"/>
      <c r="B152" s="134"/>
      <c r="C152" s="134"/>
      <c r="D152" s="134"/>
      <c r="E152" s="134"/>
      <c r="F152" s="134"/>
      <c r="G152" s="134"/>
      <c r="H152" s="52"/>
      <c r="I152" s="52"/>
      <c r="J152" s="52"/>
      <c r="K152" s="134"/>
      <c r="L152" s="53"/>
      <c r="M152" s="53"/>
      <c r="N152" s="53"/>
      <c r="O152" s="53"/>
      <c r="P152" s="53"/>
      <c r="Q152" s="53"/>
      <c r="R152" s="53"/>
      <c r="S152" s="134"/>
      <c r="T152" s="134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ht="12.75" customHeight="1">
      <c r="A153" s="134"/>
      <c r="B153" s="134"/>
      <c r="C153" s="134"/>
      <c r="D153" s="134"/>
      <c r="E153" s="134"/>
      <c r="F153" s="134"/>
      <c r="G153" s="134"/>
      <c r="H153" s="52"/>
      <c r="I153" s="52"/>
      <c r="J153" s="52"/>
      <c r="K153" s="134"/>
      <c r="L153" s="53"/>
      <c r="M153" s="53"/>
      <c r="N153" s="53"/>
      <c r="O153" s="53"/>
      <c r="P153" s="53"/>
      <c r="Q153" s="53"/>
      <c r="R153" s="53"/>
      <c r="S153" s="134"/>
      <c r="T153" s="134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ht="12.75" customHeight="1">
      <c r="A154" s="134"/>
      <c r="B154" s="134"/>
      <c r="C154" s="134"/>
      <c r="D154" s="134"/>
      <c r="E154" s="134"/>
      <c r="F154" s="134"/>
      <c r="G154" s="134"/>
      <c r="H154" s="52"/>
      <c r="I154" s="52"/>
      <c r="J154" s="52"/>
      <c r="K154" s="134"/>
      <c r="L154" s="53"/>
      <c r="M154" s="53"/>
      <c r="N154" s="53"/>
      <c r="O154" s="53"/>
      <c r="P154" s="53"/>
      <c r="Q154" s="53"/>
      <c r="R154" s="53"/>
      <c r="S154" s="134"/>
      <c r="T154" s="134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ht="12.75" customHeight="1">
      <c r="A155" s="134"/>
      <c r="B155" s="134"/>
      <c r="C155" s="134"/>
      <c r="D155" s="134"/>
      <c r="E155" s="134"/>
      <c r="F155" s="134"/>
      <c r="G155" s="134"/>
      <c r="H155" s="52"/>
      <c r="I155" s="52"/>
      <c r="J155" s="52"/>
      <c r="K155" s="134"/>
      <c r="L155" s="53"/>
      <c r="M155" s="53"/>
      <c r="N155" s="53"/>
      <c r="O155" s="53"/>
      <c r="P155" s="53"/>
      <c r="Q155" s="53"/>
      <c r="R155" s="53"/>
      <c r="S155" s="134"/>
      <c r="T155" s="134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ht="12.75" customHeight="1">
      <c r="A156" s="134"/>
      <c r="B156" s="134"/>
      <c r="C156" s="134"/>
      <c r="D156" s="134"/>
      <c r="E156" s="134"/>
      <c r="F156" s="134"/>
      <c r="G156" s="134"/>
      <c r="H156" s="52"/>
      <c r="I156" s="52"/>
      <c r="J156" s="52"/>
      <c r="K156" s="134"/>
      <c r="L156" s="53"/>
      <c r="M156" s="53"/>
      <c r="N156" s="53"/>
      <c r="O156" s="53"/>
      <c r="P156" s="53"/>
      <c r="Q156" s="53"/>
      <c r="R156" s="53"/>
      <c r="S156" s="134"/>
      <c r="T156" s="134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ht="12.75" customHeight="1">
      <c r="A157" s="134"/>
      <c r="B157" s="134"/>
      <c r="C157" s="134"/>
      <c r="D157" s="134"/>
      <c r="E157" s="134"/>
      <c r="F157" s="134"/>
      <c r="G157" s="134"/>
      <c r="H157" s="52"/>
      <c r="I157" s="52"/>
      <c r="J157" s="52"/>
      <c r="K157" s="134"/>
      <c r="L157" s="53"/>
      <c r="M157" s="53"/>
      <c r="N157" s="53"/>
      <c r="O157" s="53"/>
      <c r="P157" s="53"/>
      <c r="Q157" s="53"/>
      <c r="R157" s="53"/>
      <c r="S157" s="134"/>
      <c r="T157" s="134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ht="12.75" customHeight="1">
      <c r="A158" s="134"/>
      <c r="B158" s="134"/>
      <c r="C158" s="134"/>
      <c r="D158" s="134"/>
      <c r="E158" s="134"/>
      <c r="F158" s="134"/>
      <c r="G158" s="134"/>
      <c r="H158" s="52"/>
      <c r="I158" s="52"/>
      <c r="J158" s="52"/>
      <c r="K158" s="134"/>
      <c r="L158" s="53"/>
      <c r="M158" s="53"/>
      <c r="N158" s="53"/>
      <c r="O158" s="53"/>
      <c r="P158" s="53"/>
      <c r="Q158" s="53"/>
      <c r="R158" s="53"/>
      <c r="S158" s="134"/>
      <c r="T158" s="134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ht="12.75" customHeight="1">
      <c r="A159" s="134"/>
      <c r="B159" s="134"/>
      <c r="C159" s="134"/>
      <c r="D159" s="134"/>
      <c r="E159" s="134"/>
      <c r="F159" s="134"/>
      <c r="G159" s="134"/>
      <c r="H159" s="52"/>
      <c r="I159" s="52"/>
      <c r="J159" s="52"/>
      <c r="K159" s="134"/>
      <c r="L159" s="53"/>
      <c r="M159" s="53"/>
      <c r="N159" s="53"/>
      <c r="O159" s="53"/>
      <c r="P159" s="53"/>
      <c r="Q159" s="53"/>
      <c r="R159" s="53"/>
      <c r="S159" s="134"/>
      <c r="T159" s="134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ht="12.75" customHeight="1">
      <c r="A160" s="134"/>
      <c r="B160" s="134"/>
      <c r="C160" s="134"/>
      <c r="D160" s="134"/>
      <c r="E160" s="134"/>
      <c r="F160" s="134"/>
      <c r="G160" s="134"/>
      <c r="H160" s="52"/>
      <c r="I160" s="52"/>
      <c r="J160" s="52"/>
      <c r="K160" s="134"/>
      <c r="L160" s="53"/>
      <c r="M160" s="53"/>
      <c r="N160" s="53"/>
      <c r="O160" s="53"/>
      <c r="P160" s="53"/>
      <c r="Q160" s="53"/>
      <c r="R160" s="53"/>
      <c r="S160" s="134"/>
      <c r="T160" s="134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ht="12.75" customHeight="1">
      <c r="A161" s="134"/>
      <c r="B161" s="134"/>
      <c r="C161" s="134"/>
      <c r="D161" s="134"/>
      <c r="E161" s="134"/>
      <c r="F161" s="134"/>
      <c r="G161" s="134"/>
      <c r="H161" s="52"/>
      <c r="I161" s="52"/>
      <c r="J161" s="52"/>
      <c r="K161" s="134"/>
      <c r="L161" s="53"/>
      <c r="M161" s="53"/>
      <c r="N161" s="53"/>
      <c r="O161" s="53"/>
      <c r="P161" s="53"/>
      <c r="Q161" s="53"/>
      <c r="R161" s="53"/>
      <c r="S161" s="134"/>
      <c r="T161" s="134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ht="12.75" customHeight="1">
      <c r="A162" s="134"/>
      <c r="B162" s="134"/>
      <c r="C162" s="134"/>
      <c r="D162" s="134"/>
      <c r="E162" s="134"/>
      <c r="F162" s="134"/>
      <c r="G162" s="134"/>
      <c r="H162" s="52"/>
      <c r="I162" s="52"/>
      <c r="J162" s="52"/>
      <c r="K162" s="134"/>
      <c r="L162" s="53"/>
      <c r="M162" s="53"/>
      <c r="N162" s="53"/>
      <c r="O162" s="53"/>
      <c r="P162" s="53"/>
      <c r="Q162" s="53"/>
      <c r="R162" s="53"/>
      <c r="S162" s="134"/>
      <c r="T162" s="134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ht="12.75" customHeight="1">
      <c r="A163" s="134"/>
      <c r="B163" s="134"/>
      <c r="C163" s="134"/>
      <c r="D163" s="134"/>
      <c r="E163" s="134"/>
      <c r="F163" s="134"/>
      <c r="G163" s="134"/>
      <c r="H163" s="52"/>
      <c r="I163" s="52"/>
      <c r="J163" s="52"/>
      <c r="K163" s="134"/>
      <c r="L163" s="53"/>
      <c r="M163" s="53"/>
      <c r="N163" s="53"/>
      <c r="O163" s="53"/>
      <c r="P163" s="53"/>
      <c r="Q163" s="53"/>
      <c r="R163" s="53"/>
      <c r="S163" s="134"/>
      <c r="T163" s="134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ht="12.75" customHeight="1">
      <c r="A164" s="134"/>
      <c r="B164" s="134"/>
      <c r="C164" s="134"/>
      <c r="D164" s="134"/>
      <c r="E164" s="134"/>
      <c r="F164" s="134"/>
      <c r="G164" s="134"/>
      <c r="H164" s="52"/>
      <c r="I164" s="52"/>
      <c r="J164" s="52"/>
      <c r="K164" s="134"/>
      <c r="L164" s="53"/>
      <c r="M164" s="53"/>
      <c r="N164" s="53"/>
      <c r="O164" s="53"/>
      <c r="P164" s="53"/>
      <c r="Q164" s="53"/>
      <c r="R164" s="53"/>
      <c r="S164" s="134"/>
      <c r="T164" s="134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ht="12.75" customHeight="1">
      <c r="A165" s="134"/>
      <c r="B165" s="134"/>
      <c r="C165" s="134"/>
      <c r="D165" s="134"/>
      <c r="E165" s="134"/>
      <c r="F165" s="134"/>
      <c r="G165" s="134"/>
      <c r="H165" s="52"/>
      <c r="I165" s="52"/>
      <c r="J165" s="52"/>
      <c r="K165" s="134"/>
      <c r="L165" s="53"/>
      <c r="M165" s="53"/>
      <c r="N165" s="53"/>
      <c r="O165" s="53"/>
      <c r="P165" s="53"/>
      <c r="Q165" s="53"/>
      <c r="R165" s="53"/>
      <c r="S165" s="134"/>
      <c r="T165" s="134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ht="12.75" customHeight="1">
      <c r="A166" s="134"/>
      <c r="B166" s="134"/>
      <c r="C166" s="134"/>
      <c r="D166" s="134"/>
      <c r="E166" s="134"/>
      <c r="F166" s="134"/>
      <c r="G166" s="134"/>
      <c r="H166" s="52"/>
      <c r="I166" s="52"/>
      <c r="J166" s="52"/>
      <c r="K166" s="134"/>
      <c r="L166" s="53"/>
      <c r="M166" s="53"/>
      <c r="N166" s="53"/>
      <c r="O166" s="53"/>
      <c r="P166" s="53"/>
      <c r="Q166" s="53"/>
      <c r="R166" s="53"/>
      <c r="S166" s="134"/>
      <c r="T166" s="134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ht="12.75" customHeight="1">
      <c r="A167" s="134"/>
      <c r="B167" s="134"/>
      <c r="C167" s="134"/>
      <c r="D167" s="134"/>
      <c r="E167" s="134"/>
      <c r="F167" s="134"/>
      <c r="G167" s="134"/>
      <c r="H167" s="52"/>
      <c r="I167" s="52"/>
      <c r="J167" s="52"/>
      <c r="K167" s="134"/>
      <c r="L167" s="53"/>
      <c r="M167" s="53"/>
      <c r="N167" s="53"/>
      <c r="O167" s="53"/>
      <c r="P167" s="53"/>
      <c r="Q167" s="53"/>
      <c r="R167" s="53"/>
      <c r="S167" s="134"/>
      <c r="T167" s="134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ht="12.75" customHeight="1">
      <c r="A168" s="134"/>
      <c r="B168" s="134"/>
      <c r="C168" s="134"/>
      <c r="D168" s="134"/>
      <c r="E168" s="134"/>
      <c r="F168" s="134"/>
      <c r="G168" s="134"/>
      <c r="H168" s="52"/>
      <c r="I168" s="52"/>
      <c r="J168" s="52"/>
      <c r="K168" s="134"/>
      <c r="L168" s="53"/>
      <c r="M168" s="53"/>
      <c r="N168" s="53"/>
      <c r="O168" s="53"/>
      <c r="P168" s="53"/>
      <c r="Q168" s="53"/>
      <c r="R168" s="53"/>
      <c r="S168" s="134"/>
      <c r="T168" s="134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ht="12.75" customHeight="1">
      <c r="A169" s="134"/>
      <c r="B169" s="134"/>
      <c r="C169" s="134"/>
      <c r="D169" s="134"/>
      <c r="E169" s="134"/>
      <c r="F169" s="134"/>
      <c r="G169" s="134"/>
      <c r="H169" s="52"/>
      <c r="I169" s="52"/>
      <c r="J169" s="52"/>
      <c r="K169" s="134"/>
      <c r="L169" s="53"/>
      <c r="M169" s="53"/>
      <c r="N169" s="53"/>
      <c r="O169" s="53"/>
      <c r="P169" s="53"/>
      <c r="Q169" s="53"/>
      <c r="R169" s="53"/>
      <c r="S169" s="134"/>
      <c r="T169" s="134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ht="12.75" customHeight="1">
      <c r="A170" s="134"/>
      <c r="B170" s="134"/>
      <c r="C170" s="134"/>
      <c r="D170" s="134"/>
      <c r="E170" s="134"/>
      <c r="F170" s="134"/>
      <c r="G170" s="134"/>
      <c r="H170" s="52"/>
      <c r="I170" s="52"/>
      <c r="J170" s="52"/>
      <c r="K170" s="134"/>
      <c r="L170" s="53"/>
      <c r="M170" s="53"/>
      <c r="N170" s="53"/>
      <c r="O170" s="53"/>
      <c r="P170" s="53"/>
      <c r="Q170" s="53"/>
      <c r="R170" s="53"/>
      <c r="S170" s="134"/>
      <c r="T170" s="134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ht="12.75" customHeight="1">
      <c r="A171" s="134"/>
      <c r="B171" s="134"/>
      <c r="C171" s="134"/>
      <c r="D171" s="134"/>
      <c r="E171" s="134"/>
      <c r="F171" s="134"/>
      <c r="G171" s="134"/>
      <c r="H171" s="52"/>
      <c r="I171" s="52"/>
      <c r="J171" s="52"/>
      <c r="K171" s="134"/>
      <c r="L171" s="53"/>
      <c r="M171" s="53"/>
      <c r="N171" s="53"/>
      <c r="O171" s="53"/>
      <c r="P171" s="53"/>
      <c r="Q171" s="53"/>
      <c r="R171" s="53"/>
      <c r="S171" s="134"/>
      <c r="T171" s="134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ht="12.75" customHeight="1">
      <c r="A172" s="134"/>
      <c r="B172" s="134"/>
      <c r="C172" s="134"/>
      <c r="D172" s="134"/>
      <c r="E172" s="134"/>
      <c r="F172" s="134"/>
      <c r="G172" s="134"/>
      <c r="H172" s="52"/>
      <c r="I172" s="52"/>
      <c r="J172" s="52"/>
      <c r="K172" s="134"/>
      <c r="L172" s="53"/>
      <c r="M172" s="53"/>
      <c r="N172" s="53"/>
      <c r="O172" s="53"/>
      <c r="P172" s="53"/>
      <c r="Q172" s="53"/>
      <c r="R172" s="53"/>
      <c r="S172" s="134"/>
      <c r="T172" s="134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ht="12.75" customHeight="1">
      <c r="A173" s="134"/>
      <c r="B173" s="134"/>
      <c r="C173" s="134"/>
      <c r="D173" s="134"/>
      <c r="E173" s="134"/>
      <c r="F173" s="134"/>
      <c r="G173" s="134"/>
      <c r="H173" s="52"/>
      <c r="I173" s="52"/>
      <c r="J173" s="52"/>
      <c r="K173" s="134"/>
      <c r="L173" s="53"/>
      <c r="M173" s="53"/>
      <c r="N173" s="53"/>
      <c r="O173" s="53"/>
      <c r="P173" s="53"/>
      <c r="Q173" s="53"/>
      <c r="R173" s="53"/>
      <c r="S173" s="134"/>
      <c r="T173" s="134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ht="12.75" customHeight="1">
      <c r="A174" s="134"/>
      <c r="B174" s="134"/>
      <c r="C174" s="134"/>
      <c r="D174" s="134"/>
      <c r="E174" s="134"/>
      <c r="F174" s="134"/>
      <c r="G174" s="134"/>
      <c r="H174" s="52"/>
      <c r="I174" s="52"/>
      <c r="J174" s="52"/>
      <c r="K174" s="134"/>
      <c r="L174" s="53"/>
      <c r="M174" s="53"/>
      <c r="N174" s="53"/>
      <c r="O174" s="53"/>
      <c r="P174" s="53"/>
      <c r="Q174" s="53"/>
      <c r="R174" s="53"/>
      <c r="S174" s="134"/>
      <c r="T174" s="134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ht="12.75" customHeight="1">
      <c r="A175" s="134"/>
      <c r="B175" s="134"/>
      <c r="C175" s="134"/>
      <c r="D175" s="134"/>
      <c r="E175" s="134"/>
      <c r="F175" s="134"/>
      <c r="G175" s="134"/>
      <c r="H175" s="52"/>
      <c r="I175" s="52"/>
      <c r="J175" s="52"/>
      <c r="K175" s="134"/>
      <c r="L175" s="53"/>
      <c r="M175" s="53"/>
      <c r="N175" s="53"/>
      <c r="O175" s="53"/>
      <c r="P175" s="53"/>
      <c r="Q175" s="53"/>
      <c r="R175" s="53"/>
      <c r="S175" s="134"/>
      <c r="T175" s="134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ht="12.75" customHeight="1">
      <c r="A176" s="134"/>
      <c r="B176" s="134"/>
      <c r="C176" s="134"/>
      <c r="D176" s="134"/>
      <c r="E176" s="134"/>
      <c r="F176" s="134"/>
      <c r="G176" s="134"/>
      <c r="H176" s="52"/>
      <c r="I176" s="52"/>
      <c r="J176" s="52"/>
      <c r="K176" s="134"/>
      <c r="L176" s="53"/>
      <c r="M176" s="53"/>
      <c r="N176" s="53"/>
      <c r="O176" s="53"/>
      <c r="P176" s="53"/>
      <c r="Q176" s="53"/>
      <c r="R176" s="53"/>
      <c r="S176" s="134"/>
      <c r="T176" s="134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ht="12.75" customHeight="1">
      <c r="A177" s="134"/>
      <c r="B177" s="134"/>
      <c r="C177" s="134"/>
      <c r="D177" s="134"/>
      <c r="E177" s="134"/>
      <c r="F177" s="134"/>
      <c r="G177" s="134"/>
      <c r="H177" s="52"/>
      <c r="I177" s="52"/>
      <c r="J177" s="52"/>
      <c r="K177" s="134"/>
      <c r="L177" s="53"/>
      <c r="M177" s="53"/>
      <c r="N177" s="53"/>
      <c r="O177" s="53"/>
      <c r="P177" s="53"/>
      <c r="Q177" s="53"/>
      <c r="R177" s="53"/>
      <c r="S177" s="134"/>
      <c r="T177" s="134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ht="12.75" customHeight="1">
      <c r="A178" s="134"/>
      <c r="B178" s="134"/>
      <c r="C178" s="134"/>
      <c r="D178" s="134"/>
      <c r="E178" s="134"/>
      <c r="F178" s="134"/>
      <c r="G178" s="134"/>
      <c r="H178" s="52"/>
      <c r="I178" s="52"/>
      <c r="J178" s="52"/>
      <c r="K178" s="134"/>
      <c r="L178" s="53"/>
      <c r="M178" s="53"/>
      <c r="N178" s="53"/>
      <c r="O178" s="53"/>
      <c r="P178" s="53"/>
      <c r="Q178" s="53"/>
      <c r="R178" s="53"/>
      <c r="S178" s="134"/>
      <c r="T178" s="134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ht="12.75" customHeight="1">
      <c r="A179" s="134"/>
      <c r="B179" s="134"/>
      <c r="C179" s="134"/>
      <c r="D179" s="134"/>
      <c r="E179" s="134"/>
      <c r="F179" s="134"/>
      <c r="G179" s="134"/>
      <c r="H179" s="52"/>
      <c r="I179" s="52"/>
      <c r="J179" s="52"/>
      <c r="K179" s="134"/>
      <c r="L179" s="53"/>
      <c r="M179" s="53"/>
      <c r="N179" s="53"/>
      <c r="O179" s="53"/>
      <c r="P179" s="53"/>
      <c r="Q179" s="53"/>
      <c r="R179" s="53"/>
      <c r="S179" s="134"/>
      <c r="T179" s="134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ht="12.75" customHeight="1">
      <c r="A180" s="134"/>
      <c r="B180" s="134"/>
      <c r="C180" s="134"/>
      <c r="D180" s="134"/>
      <c r="E180" s="134"/>
      <c r="F180" s="134"/>
      <c r="G180" s="134"/>
      <c r="H180" s="52"/>
      <c r="I180" s="52"/>
      <c r="J180" s="52"/>
      <c r="K180" s="134"/>
      <c r="L180" s="53"/>
      <c r="M180" s="53"/>
      <c r="N180" s="53"/>
      <c r="O180" s="53"/>
      <c r="P180" s="53"/>
      <c r="Q180" s="53"/>
      <c r="R180" s="53"/>
      <c r="S180" s="134"/>
      <c r="T180" s="134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ht="12.75" customHeight="1">
      <c r="A181" s="134"/>
      <c r="B181" s="134"/>
      <c r="C181" s="134"/>
      <c r="D181" s="134"/>
      <c r="E181" s="134"/>
      <c r="F181" s="134"/>
      <c r="G181" s="134"/>
      <c r="H181" s="52"/>
      <c r="I181" s="52"/>
      <c r="J181" s="52"/>
      <c r="K181" s="134"/>
      <c r="L181" s="53"/>
      <c r="M181" s="53"/>
      <c r="N181" s="53"/>
      <c r="O181" s="53"/>
      <c r="P181" s="53"/>
      <c r="Q181" s="53"/>
      <c r="R181" s="53"/>
      <c r="S181" s="134"/>
      <c r="T181" s="134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ht="12.75" customHeight="1">
      <c r="A182" s="134"/>
      <c r="B182" s="134"/>
      <c r="C182" s="134"/>
      <c r="D182" s="134"/>
      <c r="E182" s="134"/>
      <c r="F182" s="134"/>
      <c r="G182" s="134"/>
      <c r="H182" s="52"/>
      <c r="I182" s="52"/>
      <c r="J182" s="52"/>
      <c r="K182" s="134"/>
      <c r="L182" s="53"/>
      <c r="M182" s="53"/>
      <c r="N182" s="53"/>
      <c r="O182" s="53"/>
      <c r="P182" s="53"/>
      <c r="Q182" s="53"/>
      <c r="R182" s="53"/>
      <c r="S182" s="134"/>
      <c r="T182" s="134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ht="12.75" customHeight="1">
      <c r="A183" s="134"/>
      <c r="B183" s="134"/>
      <c r="C183" s="134"/>
      <c r="D183" s="134"/>
      <c r="E183" s="134"/>
      <c r="F183" s="134"/>
      <c r="G183" s="134"/>
      <c r="H183" s="52"/>
      <c r="I183" s="52"/>
      <c r="J183" s="52"/>
      <c r="K183" s="134"/>
      <c r="L183" s="53"/>
      <c r="M183" s="53"/>
      <c r="N183" s="53"/>
      <c r="O183" s="53"/>
      <c r="P183" s="53"/>
      <c r="Q183" s="53"/>
      <c r="R183" s="53"/>
      <c r="S183" s="134"/>
      <c r="T183" s="134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ht="12.75" customHeight="1">
      <c r="A184" s="134"/>
      <c r="B184" s="134"/>
      <c r="C184" s="134"/>
      <c r="D184" s="134"/>
      <c r="E184" s="134"/>
      <c r="F184" s="134"/>
      <c r="G184" s="134"/>
      <c r="H184" s="52"/>
      <c r="I184" s="52"/>
      <c r="J184" s="52"/>
      <c r="K184" s="134"/>
      <c r="L184" s="53"/>
      <c r="M184" s="53"/>
      <c r="N184" s="53"/>
      <c r="O184" s="53"/>
      <c r="P184" s="53"/>
      <c r="Q184" s="53"/>
      <c r="R184" s="53"/>
      <c r="S184" s="134"/>
      <c r="T184" s="134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ht="12.75" customHeight="1">
      <c r="A185" s="134"/>
      <c r="B185" s="134"/>
      <c r="C185" s="134"/>
      <c r="D185" s="134"/>
      <c r="E185" s="134"/>
      <c r="F185" s="134"/>
      <c r="G185" s="134"/>
      <c r="H185" s="52"/>
      <c r="I185" s="52"/>
      <c r="J185" s="52"/>
      <c r="K185" s="134"/>
      <c r="L185" s="53"/>
      <c r="M185" s="53"/>
      <c r="N185" s="53"/>
      <c r="O185" s="53"/>
      <c r="P185" s="53"/>
      <c r="Q185" s="53"/>
      <c r="R185" s="53"/>
      <c r="S185" s="134"/>
      <c r="T185" s="134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ht="12.75" customHeight="1">
      <c r="A186" s="134"/>
      <c r="B186" s="134"/>
      <c r="C186" s="134"/>
      <c r="D186" s="134"/>
      <c r="E186" s="134"/>
      <c r="F186" s="134"/>
      <c r="G186" s="134"/>
      <c r="H186" s="52"/>
      <c r="I186" s="52"/>
      <c r="J186" s="52"/>
      <c r="K186" s="134"/>
      <c r="L186" s="53"/>
      <c r="M186" s="53"/>
      <c r="N186" s="53"/>
      <c r="O186" s="53"/>
      <c r="P186" s="53"/>
      <c r="Q186" s="53"/>
      <c r="R186" s="53"/>
      <c r="S186" s="134"/>
      <c r="T186" s="134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ht="12.75" customHeight="1">
      <c r="A187" s="134"/>
      <c r="B187" s="134"/>
      <c r="C187" s="134"/>
      <c r="D187" s="134"/>
      <c r="E187" s="134"/>
      <c r="F187" s="134"/>
      <c r="G187" s="134"/>
      <c r="H187" s="52"/>
      <c r="I187" s="52"/>
      <c r="J187" s="52"/>
      <c r="K187" s="134"/>
      <c r="L187" s="53"/>
      <c r="M187" s="53"/>
      <c r="N187" s="53"/>
      <c r="O187" s="53"/>
      <c r="P187" s="53"/>
      <c r="Q187" s="53"/>
      <c r="R187" s="53"/>
      <c r="S187" s="134"/>
      <c r="T187" s="134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ht="12.75" customHeight="1">
      <c r="A188" s="134"/>
      <c r="B188" s="134"/>
      <c r="C188" s="134"/>
      <c r="D188" s="134"/>
      <c r="E188" s="134"/>
      <c r="F188" s="134"/>
      <c r="G188" s="134"/>
      <c r="H188" s="52"/>
      <c r="I188" s="52"/>
      <c r="J188" s="52"/>
      <c r="K188" s="134"/>
      <c r="L188" s="53"/>
      <c r="M188" s="53"/>
      <c r="N188" s="53"/>
      <c r="O188" s="53"/>
      <c r="P188" s="53"/>
      <c r="Q188" s="53"/>
      <c r="R188" s="53"/>
      <c r="S188" s="134"/>
      <c r="T188" s="134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ht="12.75" customHeight="1">
      <c r="A189" s="134"/>
      <c r="B189" s="134"/>
      <c r="C189" s="134"/>
      <c r="D189" s="134"/>
      <c r="E189" s="134"/>
      <c r="F189" s="134"/>
      <c r="G189" s="134"/>
      <c r="H189" s="52"/>
      <c r="I189" s="52"/>
      <c r="J189" s="52"/>
      <c r="K189" s="134"/>
      <c r="L189" s="53"/>
      <c r="M189" s="53"/>
      <c r="N189" s="53"/>
      <c r="O189" s="53"/>
      <c r="P189" s="53"/>
      <c r="Q189" s="53"/>
      <c r="R189" s="53"/>
      <c r="S189" s="134"/>
      <c r="T189" s="134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ht="12.75" customHeight="1">
      <c r="A190" s="134"/>
      <c r="B190" s="134"/>
      <c r="C190" s="134"/>
      <c r="D190" s="134"/>
      <c r="E190" s="134"/>
      <c r="F190" s="134"/>
      <c r="G190" s="134"/>
      <c r="H190" s="52"/>
      <c r="I190" s="52"/>
      <c r="J190" s="52"/>
      <c r="K190" s="134"/>
      <c r="L190" s="53"/>
      <c r="M190" s="53"/>
      <c r="N190" s="53"/>
      <c r="O190" s="53"/>
      <c r="P190" s="53"/>
      <c r="Q190" s="53"/>
      <c r="R190" s="53"/>
      <c r="S190" s="134"/>
      <c r="T190" s="134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ht="12.75" customHeight="1">
      <c r="A191" s="134"/>
      <c r="B191" s="134"/>
      <c r="C191" s="134"/>
      <c r="D191" s="134"/>
      <c r="E191" s="134"/>
      <c r="F191" s="134"/>
      <c r="G191" s="134"/>
      <c r="H191" s="52"/>
      <c r="I191" s="52"/>
      <c r="J191" s="52"/>
      <c r="K191" s="134"/>
      <c r="L191" s="53"/>
      <c r="M191" s="53"/>
      <c r="N191" s="53"/>
      <c r="O191" s="53"/>
      <c r="P191" s="53"/>
      <c r="Q191" s="53"/>
      <c r="R191" s="53"/>
      <c r="S191" s="134"/>
      <c r="T191" s="134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ht="12.75" customHeight="1">
      <c r="A192" s="134"/>
      <c r="B192" s="134"/>
      <c r="C192" s="134"/>
      <c r="D192" s="134"/>
      <c r="E192" s="134"/>
      <c r="F192" s="134"/>
      <c r="G192" s="134"/>
      <c r="H192" s="52"/>
      <c r="I192" s="52"/>
      <c r="J192" s="52"/>
      <c r="K192" s="134"/>
      <c r="L192" s="53"/>
      <c r="M192" s="53"/>
      <c r="N192" s="53"/>
      <c r="O192" s="53"/>
      <c r="P192" s="53"/>
      <c r="Q192" s="53"/>
      <c r="R192" s="53"/>
      <c r="S192" s="134"/>
      <c r="T192" s="134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ht="12.75" customHeight="1">
      <c r="A193" s="134"/>
      <c r="B193" s="134"/>
      <c r="C193" s="134"/>
      <c r="D193" s="134"/>
      <c r="E193" s="134"/>
      <c r="F193" s="134"/>
      <c r="G193" s="134"/>
      <c r="H193" s="52"/>
      <c r="I193" s="52"/>
      <c r="J193" s="52"/>
      <c r="K193" s="134"/>
      <c r="L193" s="53"/>
      <c r="M193" s="53"/>
      <c r="N193" s="53"/>
      <c r="O193" s="53"/>
      <c r="P193" s="53"/>
      <c r="Q193" s="53"/>
      <c r="R193" s="53"/>
      <c r="S193" s="134"/>
      <c r="T193" s="134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ht="12.75" customHeight="1">
      <c r="A194" s="134"/>
      <c r="B194" s="134"/>
      <c r="C194" s="134"/>
      <c r="D194" s="134"/>
      <c r="E194" s="134"/>
      <c r="F194" s="134"/>
      <c r="G194" s="134"/>
      <c r="H194" s="52"/>
      <c r="I194" s="52"/>
      <c r="J194" s="52"/>
      <c r="K194" s="134"/>
      <c r="L194" s="53"/>
      <c r="M194" s="53"/>
      <c r="N194" s="53"/>
      <c r="O194" s="53"/>
      <c r="P194" s="53"/>
      <c r="Q194" s="53"/>
      <c r="R194" s="53"/>
      <c r="S194" s="134"/>
      <c r="T194" s="134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ht="12.75" customHeight="1">
      <c r="A195" s="134"/>
      <c r="B195" s="134"/>
      <c r="C195" s="134"/>
      <c r="D195" s="134"/>
      <c r="E195" s="134"/>
      <c r="F195" s="134"/>
      <c r="G195" s="134"/>
      <c r="H195" s="52"/>
      <c r="I195" s="52"/>
      <c r="J195" s="52"/>
      <c r="K195" s="134"/>
      <c r="L195" s="53"/>
      <c r="M195" s="53"/>
      <c r="N195" s="53"/>
      <c r="O195" s="53"/>
      <c r="P195" s="53"/>
      <c r="Q195" s="53"/>
      <c r="R195" s="53"/>
      <c r="S195" s="134"/>
      <c r="T195" s="134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ht="12.75" customHeight="1">
      <c r="A196" s="134"/>
      <c r="B196" s="134"/>
      <c r="C196" s="134"/>
      <c r="D196" s="134"/>
      <c r="E196" s="134"/>
      <c r="F196" s="134"/>
      <c r="G196" s="134"/>
      <c r="H196" s="52"/>
      <c r="I196" s="52"/>
      <c r="J196" s="52"/>
      <c r="K196" s="134"/>
      <c r="L196" s="53"/>
      <c r="M196" s="53"/>
      <c r="N196" s="53"/>
      <c r="O196" s="53"/>
      <c r="P196" s="53"/>
      <c r="Q196" s="53"/>
      <c r="R196" s="53"/>
      <c r="S196" s="134"/>
      <c r="T196" s="134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ht="12.75" customHeight="1">
      <c r="A197" s="134"/>
      <c r="B197" s="134"/>
      <c r="C197" s="134"/>
      <c r="D197" s="134"/>
      <c r="E197" s="134"/>
      <c r="F197" s="134"/>
      <c r="G197" s="134"/>
      <c r="H197" s="52"/>
      <c r="I197" s="52"/>
      <c r="J197" s="52"/>
      <c r="K197" s="134"/>
      <c r="L197" s="53"/>
      <c r="M197" s="53"/>
      <c r="N197" s="53"/>
      <c r="O197" s="53"/>
      <c r="P197" s="53"/>
      <c r="Q197" s="53"/>
      <c r="R197" s="53"/>
      <c r="S197" s="134"/>
      <c r="T197" s="134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ht="12.75" customHeight="1">
      <c r="A198" s="134"/>
      <c r="B198" s="134"/>
      <c r="C198" s="134"/>
      <c r="D198" s="134"/>
      <c r="E198" s="134"/>
      <c r="F198" s="134"/>
      <c r="G198" s="134"/>
      <c r="H198" s="52"/>
      <c r="I198" s="52"/>
      <c r="J198" s="52"/>
      <c r="K198" s="134"/>
      <c r="L198" s="53"/>
      <c r="M198" s="53"/>
      <c r="N198" s="53"/>
      <c r="O198" s="53"/>
      <c r="P198" s="53"/>
      <c r="Q198" s="53"/>
      <c r="R198" s="53"/>
      <c r="S198" s="134"/>
      <c r="T198" s="134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ht="12.75" customHeight="1">
      <c r="A199" s="134"/>
      <c r="B199" s="134"/>
      <c r="C199" s="134"/>
      <c r="D199" s="134"/>
      <c r="E199" s="134"/>
      <c r="F199" s="134"/>
      <c r="G199" s="134"/>
      <c r="H199" s="52"/>
      <c r="I199" s="52"/>
      <c r="J199" s="52"/>
      <c r="K199" s="134"/>
      <c r="L199" s="53"/>
      <c r="M199" s="53"/>
      <c r="N199" s="53"/>
      <c r="O199" s="53"/>
      <c r="P199" s="53"/>
      <c r="Q199" s="53"/>
      <c r="R199" s="53"/>
      <c r="S199" s="134"/>
      <c r="T199" s="134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ht="12.75" customHeight="1">
      <c r="A200" s="134"/>
      <c r="B200" s="134"/>
      <c r="C200" s="134"/>
      <c r="D200" s="134"/>
      <c r="E200" s="134"/>
      <c r="F200" s="134"/>
      <c r="G200" s="134"/>
      <c r="H200" s="52"/>
      <c r="I200" s="52"/>
      <c r="J200" s="52"/>
      <c r="K200" s="134"/>
      <c r="L200" s="53"/>
      <c r="M200" s="53"/>
      <c r="N200" s="53"/>
      <c r="O200" s="53"/>
      <c r="P200" s="53"/>
      <c r="Q200" s="53"/>
      <c r="R200" s="53"/>
      <c r="S200" s="134"/>
      <c r="T200" s="134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ht="12.75" customHeight="1">
      <c r="A201" s="134"/>
      <c r="B201" s="134"/>
      <c r="C201" s="134"/>
      <c r="D201" s="134"/>
      <c r="E201" s="134"/>
      <c r="F201" s="134"/>
      <c r="G201" s="134"/>
      <c r="H201" s="52"/>
      <c r="I201" s="52"/>
      <c r="J201" s="52"/>
      <c r="K201" s="134"/>
      <c r="L201" s="53"/>
      <c r="M201" s="53"/>
      <c r="N201" s="53"/>
      <c r="O201" s="53"/>
      <c r="P201" s="53"/>
      <c r="Q201" s="53"/>
      <c r="R201" s="53"/>
      <c r="S201" s="134"/>
      <c r="T201" s="134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ht="12.75" customHeight="1">
      <c r="A202" s="134"/>
      <c r="B202" s="134"/>
      <c r="C202" s="134"/>
      <c r="D202" s="134"/>
      <c r="E202" s="134"/>
      <c r="F202" s="134"/>
      <c r="G202" s="134"/>
      <c r="H202" s="52"/>
      <c r="I202" s="52"/>
      <c r="J202" s="52"/>
      <c r="K202" s="134"/>
      <c r="L202" s="53"/>
      <c r="M202" s="53"/>
      <c r="N202" s="53"/>
      <c r="O202" s="53"/>
      <c r="P202" s="53"/>
      <c r="Q202" s="53"/>
      <c r="R202" s="53"/>
      <c r="S202" s="134"/>
      <c r="T202" s="134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ht="12.75" customHeight="1">
      <c r="A203" s="134"/>
      <c r="B203" s="134"/>
      <c r="C203" s="134"/>
      <c r="D203" s="134"/>
      <c r="E203" s="134"/>
      <c r="F203" s="134"/>
      <c r="G203" s="134"/>
      <c r="H203" s="52"/>
      <c r="I203" s="52"/>
      <c r="J203" s="52"/>
      <c r="K203" s="134"/>
      <c r="L203" s="53"/>
      <c r="M203" s="53"/>
      <c r="N203" s="53"/>
      <c r="O203" s="53"/>
      <c r="P203" s="53"/>
      <c r="Q203" s="53"/>
      <c r="R203" s="53"/>
      <c r="S203" s="134"/>
      <c r="T203" s="134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ht="12.75" customHeight="1">
      <c r="A204" s="134"/>
      <c r="B204" s="134"/>
      <c r="C204" s="134"/>
      <c r="D204" s="134"/>
      <c r="E204" s="134"/>
      <c r="F204" s="134"/>
      <c r="G204" s="134"/>
      <c r="H204" s="52"/>
      <c r="I204" s="52"/>
      <c r="J204" s="52"/>
      <c r="K204" s="134"/>
      <c r="L204" s="53"/>
      <c r="M204" s="53"/>
      <c r="N204" s="53"/>
      <c r="O204" s="53"/>
      <c r="P204" s="53"/>
      <c r="Q204" s="53"/>
      <c r="R204" s="53"/>
      <c r="S204" s="134"/>
      <c r="T204" s="134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ht="12.75" customHeight="1">
      <c r="A205" s="134"/>
      <c r="B205" s="134"/>
      <c r="C205" s="134"/>
      <c r="D205" s="134"/>
      <c r="E205" s="134"/>
      <c r="F205" s="134"/>
      <c r="G205" s="134"/>
      <c r="H205" s="52"/>
      <c r="I205" s="52"/>
      <c r="J205" s="52"/>
      <c r="K205" s="134"/>
      <c r="L205" s="53"/>
      <c r="M205" s="53"/>
      <c r="N205" s="53"/>
      <c r="O205" s="53"/>
      <c r="P205" s="53"/>
      <c r="Q205" s="53"/>
      <c r="R205" s="53"/>
      <c r="S205" s="134"/>
      <c r="T205" s="134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ht="12.75" customHeight="1">
      <c r="A206" s="134"/>
      <c r="B206" s="134"/>
      <c r="C206" s="134"/>
      <c r="D206" s="134"/>
      <c r="E206" s="134"/>
      <c r="F206" s="134"/>
      <c r="G206" s="134"/>
      <c r="H206" s="52"/>
      <c r="I206" s="52"/>
      <c r="J206" s="52"/>
      <c r="K206" s="134"/>
      <c r="L206" s="53"/>
      <c r="M206" s="53"/>
      <c r="N206" s="53"/>
      <c r="O206" s="53"/>
      <c r="P206" s="53"/>
      <c r="Q206" s="53"/>
      <c r="R206" s="53"/>
      <c r="S206" s="134"/>
      <c r="T206" s="134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ht="12.75" customHeight="1">
      <c r="A207" s="134"/>
      <c r="B207" s="134"/>
      <c r="C207" s="134"/>
      <c r="D207" s="134"/>
      <c r="E207" s="134"/>
      <c r="F207" s="134"/>
      <c r="G207" s="134"/>
      <c r="H207" s="52"/>
      <c r="I207" s="52"/>
      <c r="J207" s="52"/>
      <c r="K207" s="134"/>
      <c r="L207" s="53"/>
      <c r="M207" s="53"/>
      <c r="N207" s="53"/>
      <c r="O207" s="53"/>
      <c r="P207" s="53"/>
      <c r="Q207" s="53"/>
      <c r="R207" s="53"/>
      <c r="S207" s="134"/>
      <c r="T207" s="134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ht="12.75" customHeight="1">
      <c r="A208" s="134"/>
      <c r="B208" s="134"/>
      <c r="C208" s="134"/>
      <c r="D208" s="134"/>
      <c r="E208" s="134"/>
      <c r="F208" s="134"/>
      <c r="G208" s="134"/>
      <c r="H208" s="52"/>
      <c r="I208" s="52"/>
      <c r="J208" s="52"/>
      <c r="K208" s="134"/>
      <c r="L208" s="53"/>
      <c r="M208" s="53"/>
      <c r="N208" s="53"/>
      <c r="O208" s="53"/>
      <c r="P208" s="53"/>
      <c r="Q208" s="53"/>
      <c r="R208" s="53"/>
      <c r="S208" s="134"/>
      <c r="T208" s="134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ht="12.75" customHeight="1">
      <c r="A209" s="134"/>
      <c r="B209" s="134"/>
      <c r="C209" s="134"/>
      <c r="D209" s="134"/>
      <c r="E209" s="134"/>
      <c r="F209" s="134"/>
      <c r="G209" s="134"/>
      <c r="H209" s="52"/>
      <c r="I209" s="52"/>
      <c r="J209" s="52"/>
      <c r="K209" s="134"/>
      <c r="L209" s="53"/>
      <c r="M209" s="53"/>
      <c r="N209" s="53"/>
      <c r="O209" s="53"/>
      <c r="P209" s="53"/>
      <c r="Q209" s="53"/>
      <c r="R209" s="53"/>
      <c r="S209" s="134"/>
      <c r="T209" s="134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ht="12.75" customHeight="1">
      <c r="A210" s="134"/>
      <c r="B210" s="134"/>
      <c r="C210" s="134"/>
      <c r="D210" s="134"/>
      <c r="E210" s="134"/>
      <c r="F210" s="134"/>
      <c r="G210" s="134"/>
      <c r="H210" s="52"/>
      <c r="I210" s="52"/>
      <c r="J210" s="52"/>
      <c r="K210" s="134"/>
      <c r="L210" s="53"/>
      <c r="M210" s="53"/>
      <c r="N210" s="53"/>
      <c r="O210" s="53"/>
      <c r="P210" s="53"/>
      <c r="Q210" s="53"/>
      <c r="R210" s="53"/>
      <c r="S210" s="134"/>
      <c r="T210" s="134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ht="12.75" customHeight="1">
      <c r="A211" s="134"/>
      <c r="B211" s="134"/>
      <c r="C211" s="134"/>
      <c r="D211" s="134"/>
      <c r="E211" s="134"/>
      <c r="F211" s="134"/>
      <c r="G211" s="134"/>
      <c r="H211" s="52"/>
      <c r="I211" s="52"/>
      <c r="J211" s="52"/>
      <c r="K211" s="134"/>
      <c r="L211" s="53"/>
      <c r="M211" s="53"/>
      <c r="N211" s="53"/>
      <c r="O211" s="53"/>
      <c r="P211" s="53"/>
      <c r="Q211" s="53"/>
      <c r="R211" s="53"/>
      <c r="S211" s="134"/>
      <c r="T211" s="134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ht="12.75" customHeight="1">
      <c r="A212" s="134"/>
      <c r="B212" s="134"/>
      <c r="C212" s="134"/>
      <c r="D212" s="134"/>
      <c r="E212" s="134"/>
      <c r="F212" s="134"/>
      <c r="G212" s="134"/>
      <c r="H212" s="52"/>
      <c r="I212" s="52"/>
      <c r="J212" s="52"/>
      <c r="K212" s="134"/>
      <c r="L212" s="53"/>
      <c r="M212" s="53"/>
      <c r="N212" s="53"/>
      <c r="O212" s="53"/>
      <c r="P212" s="53"/>
      <c r="Q212" s="53"/>
      <c r="R212" s="53"/>
      <c r="S212" s="134"/>
      <c r="T212" s="134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ht="12.75" customHeight="1">
      <c r="A213" s="134"/>
      <c r="B213" s="134"/>
      <c r="C213" s="134"/>
      <c r="D213" s="134"/>
      <c r="E213" s="134"/>
      <c r="F213" s="134"/>
      <c r="G213" s="134"/>
      <c r="H213" s="52"/>
      <c r="I213" s="52"/>
      <c r="J213" s="52"/>
      <c r="K213" s="134"/>
      <c r="L213" s="53"/>
      <c r="M213" s="53"/>
      <c r="N213" s="53"/>
      <c r="O213" s="53"/>
      <c r="P213" s="53"/>
      <c r="Q213" s="53"/>
      <c r="R213" s="53"/>
      <c r="S213" s="134"/>
      <c r="T213" s="134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ht="12.75" customHeight="1">
      <c r="A214" s="134"/>
      <c r="B214" s="134"/>
      <c r="C214" s="134"/>
      <c r="D214" s="134"/>
      <c r="E214" s="134"/>
      <c r="F214" s="134"/>
      <c r="G214" s="134"/>
      <c r="H214" s="52"/>
      <c r="I214" s="52"/>
      <c r="J214" s="52"/>
      <c r="K214" s="134"/>
      <c r="L214" s="53"/>
      <c r="M214" s="53"/>
      <c r="N214" s="53"/>
      <c r="O214" s="53"/>
      <c r="P214" s="53"/>
      <c r="Q214" s="53"/>
      <c r="R214" s="53"/>
      <c r="S214" s="134"/>
      <c r="T214" s="134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ht="12.75" customHeight="1">
      <c r="A215" s="134"/>
      <c r="B215" s="134"/>
      <c r="C215" s="134"/>
      <c r="D215" s="134"/>
      <c r="E215" s="134"/>
      <c r="F215" s="134"/>
      <c r="G215" s="134"/>
      <c r="H215" s="52"/>
      <c r="I215" s="52"/>
      <c r="J215" s="52"/>
      <c r="K215" s="134"/>
      <c r="L215" s="53"/>
      <c r="M215" s="53"/>
      <c r="N215" s="53"/>
      <c r="O215" s="53"/>
      <c r="P215" s="53"/>
      <c r="Q215" s="53"/>
      <c r="R215" s="53"/>
      <c r="S215" s="134"/>
      <c r="T215" s="134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ht="12.75" customHeight="1">
      <c r="A216" s="134"/>
      <c r="B216" s="134"/>
      <c r="C216" s="134"/>
      <c r="D216" s="134"/>
      <c r="E216" s="134"/>
      <c r="F216" s="134"/>
      <c r="G216" s="134"/>
      <c r="H216" s="52"/>
      <c r="I216" s="52"/>
      <c r="J216" s="52"/>
      <c r="K216" s="134"/>
      <c r="L216" s="53"/>
      <c r="M216" s="53"/>
      <c r="N216" s="53"/>
      <c r="O216" s="53"/>
      <c r="P216" s="53"/>
      <c r="Q216" s="53"/>
      <c r="R216" s="53"/>
      <c r="S216" s="134"/>
      <c r="T216" s="134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ht="12.75" customHeight="1">
      <c r="A217" s="134"/>
      <c r="B217" s="134"/>
      <c r="C217" s="134"/>
      <c r="D217" s="134"/>
      <c r="E217" s="134"/>
      <c r="F217" s="134"/>
      <c r="G217" s="134"/>
      <c r="H217" s="52"/>
      <c r="I217" s="52"/>
      <c r="J217" s="52"/>
      <c r="K217" s="134"/>
      <c r="L217" s="53"/>
      <c r="M217" s="53"/>
      <c r="N217" s="53"/>
      <c r="O217" s="53"/>
      <c r="P217" s="53"/>
      <c r="Q217" s="53"/>
      <c r="R217" s="53"/>
      <c r="S217" s="134"/>
      <c r="T217" s="134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ht="12.75" customHeight="1">
      <c r="A218" s="134"/>
      <c r="B218" s="134"/>
      <c r="C218" s="134"/>
      <c r="D218" s="134"/>
      <c r="E218" s="134"/>
      <c r="F218" s="134"/>
      <c r="G218" s="134"/>
      <c r="H218" s="52"/>
      <c r="I218" s="52"/>
      <c r="J218" s="52"/>
      <c r="K218" s="134"/>
      <c r="L218" s="53"/>
      <c r="M218" s="53"/>
      <c r="N218" s="53"/>
      <c r="O218" s="53"/>
      <c r="P218" s="53"/>
      <c r="Q218" s="53"/>
      <c r="R218" s="53"/>
      <c r="S218" s="134"/>
      <c r="T218" s="134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ht="12.75" customHeight="1">
      <c r="A219" s="134"/>
      <c r="B219" s="134"/>
      <c r="C219" s="134"/>
      <c r="D219" s="134"/>
      <c r="E219" s="134"/>
      <c r="F219" s="134"/>
      <c r="G219" s="134"/>
      <c r="H219" s="52"/>
      <c r="I219" s="52"/>
      <c r="J219" s="52"/>
      <c r="K219" s="134"/>
      <c r="L219" s="53"/>
      <c r="M219" s="53"/>
      <c r="N219" s="53"/>
      <c r="O219" s="53"/>
      <c r="P219" s="53"/>
      <c r="Q219" s="53"/>
      <c r="R219" s="53"/>
      <c r="S219" s="134"/>
      <c r="T219" s="134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ht="12.75" customHeight="1">
      <c r="A220" s="134"/>
      <c r="B220" s="134"/>
      <c r="C220" s="134"/>
      <c r="D220" s="134"/>
      <c r="E220" s="134"/>
      <c r="F220" s="134"/>
      <c r="G220" s="134"/>
      <c r="H220" s="52"/>
      <c r="I220" s="52"/>
      <c r="J220" s="52"/>
      <c r="K220" s="134"/>
      <c r="L220" s="53"/>
      <c r="M220" s="53"/>
      <c r="N220" s="53"/>
      <c r="O220" s="53"/>
      <c r="P220" s="53"/>
      <c r="Q220" s="53"/>
      <c r="R220" s="53"/>
      <c r="S220" s="134"/>
      <c r="T220" s="134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ht="12.75" customHeight="1">
      <c r="A221" s="134"/>
      <c r="B221" s="134"/>
      <c r="C221" s="134"/>
      <c r="D221" s="134"/>
      <c r="E221" s="134"/>
      <c r="F221" s="134"/>
      <c r="G221" s="134"/>
      <c r="H221" s="52"/>
      <c r="I221" s="52"/>
      <c r="J221" s="52"/>
      <c r="K221" s="134"/>
      <c r="L221" s="53"/>
      <c r="M221" s="53"/>
      <c r="N221" s="53"/>
      <c r="O221" s="53"/>
      <c r="P221" s="53"/>
      <c r="Q221" s="53"/>
      <c r="R221" s="53"/>
      <c r="S221" s="134"/>
      <c r="T221" s="134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ht="12.75" customHeight="1">
      <c r="A222" s="134"/>
      <c r="B222" s="134"/>
      <c r="C222" s="134"/>
      <c r="D222" s="134"/>
      <c r="E222" s="134"/>
      <c r="F222" s="134"/>
      <c r="G222" s="134"/>
      <c r="H222" s="52"/>
      <c r="I222" s="52"/>
      <c r="J222" s="52"/>
      <c r="K222" s="134"/>
      <c r="L222" s="53"/>
      <c r="M222" s="53"/>
      <c r="N222" s="53"/>
      <c r="O222" s="53"/>
      <c r="P222" s="53"/>
      <c r="Q222" s="53"/>
      <c r="R222" s="53"/>
      <c r="S222" s="134"/>
      <c r="T222" s="134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ht="12.75" customHeight="1">
      <c r="A223" s="134"/>
      <c r="B223" s="134"/>
      <c r="C223" s="134"/>
      <c r="D223" s="134"/>
      <c r="E223" s="134"/>
      <c r="F223" s="134"/>
      <c r="G223" s="134"/>
      <c r="H223" s="52"/>
      <c r="I223" s="52"/>
      <c r="J223" s="52"/>
      <c r="K223" s="134"/>
      <c r="L223" s="53"/>
      <c r="M223" s="53"/>
      <c r="N223" s="53"/>
      <c r="O223" s="53"/>
      <c r="P223" s="53"/>
      <c r="Q223" s="53"/>
      <c r="R223" s="53"/>
      <c r="S223" s="134"/>
      <c r="T223" s="134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ht="12.75" customHeight="1">
      <c r="A224" s="134"/>
      <c r="B224" s="134"/>
      <c r="C224" s="134"/>
      <c r="D224" s="134"/>
      <c r="E224" s="134"/>
      <c r="F224" s="134"/>
      <c r="G224" s="134"/>
      <c r="H224" s="52"/>
      <c r="I224" s="52"/>
      <c r="J224" s="52"/>
      <c r="K224" s="134"/>
      <c r="L224" s="53"/>
      <c r="M224" s="53"/>
      <c r="N224" s="53"/>
      <c r="O224" s="53"/>
      <c r="P224" s="53"/>
      <c r="Q224" s="53"/>
      <c r="R224" s="53"/>
      <c r="S224" s="134"/>
      <c r="T224" s="134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ht="12.75" customHeight="1">
      <c r="A225" s="134"/>
      <c r="B225" s="134"/>
      <c r="C225" s="134"/>
      <c r="D225" s="134"/>
      <c r="E225" s="134"/>
      <c r="F225" s="134"/>
      <c r="G225" s="134"/>
      <c r="H225" s="52"/>
      <c r="I225" s="52"/>
      <c r="J225" s="52"/>
      <c r="K225" s="134"/>
      <c r="L225" s="53"/>
      <c r="M225" s="53"/>
      <c r="N225" s="53"/>
      <c r="O225" s="53"/>
      <c r="P225" s="53"/>
      <c r="Q225" s="53"/>
      <c r="R225" s="53"/>
      <c r="S225" s="134"/>
      <c r="T225" s="134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ht="12.75" customHeight="1">
      <c r="A226" s="134"/>
      <c r="B226" s="134"/>
      <c r="C226" s="134"/>
      <c r="D226" s="134"/>
      <c r="E226" s="134"/>
      <c r="F226" s="134"/>
      <c r="G226" s="134"/>
      <c r="H226" s="52"/>
      <c r="I226" s="52"/>
      <c r="J226" s="52"/>
      <c r="K226" s="134"/>
      <c r="L226" s="53"/>
      <c r="M226" s="53"/>
      <c r="N226" s="53"/>
      <c r="O226" s="53"/>
      <c r="P226" s="53"/>
      <c r="Q226" s="53"/>
      <c r="R226" s="53"/>
      <c r="S226" s="134"/>
      <c r="T226" s="134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ht="12.75" customHeight="1">
      <c r="A227" s="134"/>
      <c r="B227" s="134"/>
      <c r="C227" s="134"/>
      <c r="D227" s="134"/>
      <c r="E227" s="134"/>
      <c r="F227" s="134"/>
      <c r="G227" s="134"/>
      <c r="H227" s="52"/>
      <c r="I227" s="52"/>
      <c r="J227" s="52"/>
      <c r="K227" s="134"/>
      <c r="L227" s="53"/>
      <c r="M227" s="53"/>
      <c r="N227" s="53"/>
      <c r="O227" s="53"/>
      <c r="P227" s="53"/>
      <c r="Q227" s="53"/>
      <c r="R227" s="53"/>
      <c r="S227" s="134"/>
      <c r="T227" s="134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ht="12.75" customHeight="1">
      <c r="A228" s="134"/>
      <c r="B228" s="134"/>
      <c r="C228" s="134"/>
      <c r="D228" s="134"/>
      <c r="E228" s="134"/>
      <c r="F228" s="134"/>
      <c r="G228" s="134"/>
      <c r="H228" s="52"/>
      <c r="I228" s="52"/>
      <c r="J228" s="52"/>
      <c r="K228" s="134"/>
      <c r="L228" s="53"/>
      <c r="M228" s="53"/>
      <c r="N228" s="53"/>
      <c r="O228" s="53"/>
      <c r="P228" s="53"/>
      <c r="Q228" s="53"/>
      <c r="R228" s="53"/>
      <c r="S228" s="134"/>
      <c r="T228" s="134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ht="12.75" customHeight="1">
      <c r="A229" s="134"/>
      <c r="B229" s="134"/>
      <c r="C229" s="134"/>
      <c r="D229" s="134"/>
      <c r="E229" s="134"/>
      <c r="F229" s="134"/>
      <c r="G229" s="134"/>
      <c r="H229" s="52"/>
      <c r="I229" s="52"/>
      <c r="J229" s="52"/>
      <c r="K229" s="134"/>
      <c r="L229" s="53"/>
      <c r="M229" s="53"/>
      <c r="N229" s="53"/>
      <c r="O229" s="53"/>
      <c r="P229" s="53"/>
      <c r="Q229" s="53"/>
      <c r="R229" s="53"/>
      <c r="S229" s="134"/>
      <c r="T229" s="134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ht="12.75" customHeight="1">
      <c r="A230" s="134"/>
      <c r="B230" s="134"/>
      <c r="C230" s="134"/>
      <c r="D230" s="134"/>
      <c r="E230" s="134"/>
      <c r="F230" s="134"/>
      <c r="G230" s="134"/>
      <c r="H230" s="52"/>
      <c r="I230" s="52"/>
      <c r="J230" s="52"/>
      <c r="K230" s="134"/>
      <c r="L230" s="53"/>
      <c r="M230" s="53"/>
      <c r="N230" s="53"/>
      <c r="O230" s="53"/>
      <c r="P230" s="53"/>
      <c r="Q230" s="53"/>
      <c r="R230" s="53"/>
      <c r="S230" s="134"/>
      <c r="T230" s="134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ht="12.75" customHeight="1">
      <c r="A231" s="134"/>
      <c r="B231" s="134"/>
      <c r="C231" s="134"/>
      <c r="D231" s="134"/>
      <c r="E231" s="134"/>
      <c r="F231" s="134"/>
      <c r="G231" s="134"/>
      <c r="H231" s="52"/>
      <c r="I231" s="52"/>
      <c r="J231" s="52"/>
      <c r="K231" s="134"/>
      <c r="L231" s="53"/>
      <c r="M231" s="53"/>
      <c r="N231" s="53"/>
      <c r="O231" s="53"/>
      <c r="P231" s="53"/>
      <c r="Q231" s="53"/>
      <c r="R231" s="53"/>
      <c r="S231" s="134"/>
      <c r="T231" s="134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ht="12.75" customHeight="1">
      <c r="A232" s="134"/>
      <c r="B232" s="134"/>
      <c r="C232" s="134"/>
      <c r="D232" s="134"/>
      <c r="E232" s="134"/>
      <c r="F232" s="134"/>
      <c r="G232" s="134"/>
      <c r="H232" s="52"/>
      <c r="I232" s="52"/>
      <c r="J232" s="52"/>
      <c r="K232" s="134"/>
      <c r="L232" s="53"/>
      <c r="M232" s="53"/>
      <c r="N232" s="53"/>
      <c r="O232" s="53"/>
      <c r="P232" s="53"/>
      <c r="Q232" s="53"/>
      <c r="R232" s="53"/>
      <c r="S232" s="134"/>
      <c r="T232" s="134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ht="12.75" customHeight="1">
      <c r="A233" s="134"/>
      <c r="B233" s="134"/>
      <c r="C233" s="134"/>
      <c r="D233" s="134"/>
      <c r="E233" s="134"/>
      <c r="F233" s="134"/>
      <c r="G233" s="134"/>
      <c r="H233" s="52"/>
      <c r="I233" s="52"/>
      <c r="J233" s="52"/>
      <c r="K233" s="134"/>
      <c r="L233" s="53"/>
      <c r="M233" s="53"/>
      <c r="N233" s="53"/>
      <c r="O233" s="53"/>
      <c r="P233" s="53"/>
      <c r="Q233" s="53"/>
      <c r="R233" s="53"/>
      <c r="S233" s="134"/>
      <c r="T233" s="134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ht="12.75" customHeight="1">
      <c r="A234" s="134"/>
      <c r="B234" s="134"/>
      <c r="C234" s="134"/>
      <c r="D234" s="134"/>
      <c r="E234" s="134"/>
      <c r="F234" s="134"/>
      <c r="G234" s="134"/>
      <c r="H234" s="52"/>
      <c r="I234" s="52"/>
      <c r="J234" s="52"/>
      <c r="K234" s="134"/>
      <c r="L234" s="53"/>
      <c r="M234" s="53"/>
      <c r="N234" s="53"/>
      <c r="O234" s="53"/>
      <c r="P234" s="53"/>
      <c r="Q234" s="53"/>
      <c r="R234" s="53"/>
      <c r="S234" s="134"/>
      <c r="T234" s="134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ht="12.75" customHeight="1">
      <c r="A235" s="134"/>
      <c r="B235" s="134"/>
      <c r="C235" s="134"/>
      <c r="D235" s="134"/>
      <c r="E235" s="134"/>
      <c r="F235" s="134"/>
      <c r="G235" s="134"/>
      <c r="H235" s="52"/>
      <c r="I235" s="52"/>
      <c r="J235" s="52"/>
      <c r="K235" s="134"/>
      <c r="L235" s="53"/>
      <c r="M235" s="53"/>
      <c r="N235" s="53"/>
      <c r="O235" s="53"/>
      <c r="P235" s="53"/>
      <c r="Q235" s="53"/>
      <c r="R235" s="53"/>
      <c r="S235" s="134"/>
      <c r="T235" s="134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ht="12.75" customHeight="1">
      <c r="A236" s="134"/>
      <c r="B236" s="134"/>
      <c r="C236" s="134"/>
      <c r="D236" s="134"/>
      <c r="E236" s="134"/>
      <c r="F236" s="134"/>
      <c r="G236" s="134"/>
      <c r="H236" s="52"/>
      <c r="I236" s="52"/>
      <c r="J236" s="52"/>
      <c r="K236" s="134"/>
      <c r="L236" s="53"/>
      <c r="M236" s="53"/>
      <c r="N236" s="53"/>
      <c r="O236" s="53"/>
      <c r="P236" s="53"/>
      <c r="Q236" s="53"/>
      <c r="R236" s="53"/>
      <c r="S236" s="134"/>
      <c r="T236" s="134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ht="12.75" customHeight="1">
      <c r="A237" s="134"/>
      <c r="B237" s="134"/>
      <c r="C237" s="134"/>
      <c r="D237" s="134"/>
      <c r="E237" s="134"/>
      <c r="F237" s="134"/>
      <c r="G237" s="134"/>
      <c r="H237" s="52"/>
      <c r="I237" s="52"/>
      <c r="J237" s="52"/>
      <c r="K237" s="134"/>
      <c r="L237" s="53"/>
      <c r="M237" s="53"/>
      <c r="N237" s="53"/>
      <c r="O237" s="53"/>
      <c r="P237" s="53"/>
      <c r="Q237" s="53"/>
      <c r="R237" s="53"/>
      <c r="S237" s="134"/>
      <c r="T237" s="134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ht="12.75" customHeight="1">
      <c r="A238" s="134"/>
      <c r="B238" s="134"/>
      <c r="C238" s="134"/>
      <c r="D238" s="134"/>
      <c r="E238" s="134"/>
      <c r="F238" s="134"/>
      <c r="G238" s="134"/>
      <c r="H238" s="52"/>
      <c r="I238" s="52"/>
      <c r="J238" s="52"/>
      <c r="K238" s="134"/>
      <c r="L238" s="53"/>
      <c r="M238" s="53"/>
      <c r="N238" s="53"/>
      <c r="O238" s="53"/>
      <c r="P238" s="53"/>
      <c r="Q238" s="53"/>
      <c r="R238" s="53"/>
      <c r="S238" s="134"/>
      <c r="T238" s="134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ht="12.75" customHeight="1">
      <c r="A239" s="134"/>
      <c r="B239" s="134"/>
      <c r="C239" s="134"/>
      <c r="D239" s="134"/>
      <c r="E239" s="134"/>
      <c r="F239" s="134"/>
      <c r="G239" s="134"/>
      <c r="H239" s="52"/>
      <c r="I239" s="52"/>
      <c r="J239" s="52"/>
      <c r="K239" s="134"/>
      <c r="L239" s="53"/>
      <c r="M239" s="53"/>
      <c r="N239" s="53"/>
      <c r="O239" s="53"/>
      <c r="P239" s="53"/>
      <c r="Q239" s="53"/>
      <c r="R239" s="53"/>
      <c r="S239" s="134"/>
      <c r="T239" s="134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ht="12.75" customHeight="1">
      <c r="A240" s="134"/>
      <c r="B240" s="134"/>
      <c r="C240" s="134"/>
      <c r="D240" s="134"/>
      <c r="E240" s="134"/>
      <c r="F240" s="134"/>
      <c r="G240" s="134"/>
      <c r="H240" s="52"/>
      <c r="I240" s="52"/>
      <c r="J240" s="52"/>
      <c r="K240" s="134"/>
      <c r="L240" s="53"/>
      <c r="M240" s="53"/>
      <c r="N240" s="53"/>
      <c r="O240" s="53"/>
      <c r="P240" s="53"/>
      <c r="Q240" s="53"/>
      <c r="R240" s="53"/>
      <c r="S240" s="134"/>
      <c r="T240" s="134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ht="12.75" customHeight="1">
      <c r="A241" s="134"/>
      <c r="B241" s="134"/>
      <c r="C241" s="134"/>
      <c r="D241" s="134"/>
      <c r="E241" s="134"/>
      <c r="F241" s="134"/>
      <c r="G241" s="134"/>
      <c r="H241" s="52"/>
      <c r="I241" s="52"/>
      <c r="J241" s="52"/>
      <c r="K241" s="134"/>
      <c r="L241" s="53"/>
      <c r="M241" s="53"/>
      <c r="N241" s="53"/>
      <c r="O241" s="53"/>
      <c r="P241" s="53"/>
      <c r="Q241" s="53"/>
      <c r="R241" s="53"/>
      <c r="S241" s="134"/>
      <c r="T241" s="134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ht="12.75" customHeight="1">
      <c r="A242" s="134"/>
      <c r="B242" s="134"/>
      <c r="C242" s="134"/>
      <c r="D242" s="134"/>
      <c r="E242" s="134"/>
      <c r="F242" s="134"/>
      <c r="G242" s="134"/>
      <c r="H242" s="52"/>
      <c r="I242" s="52"/>
      <c r="J242" s="52"/>
      <c r="K242" s="134"/>
      <c r="L242" s="53"/>
      <c r="M242" s="53"/>
      <c r="N242" s="53"/>
      <c r="O242" s="53"/>
      <c r="P242" s="53"/>
      <c r="Q242" s="53"/>
      <c r="R242" s="53"/>
      <c r="S242" s="134"/>
      <c r="T242" s="134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ht="12.75" customHeight="1">
      <c r="A243" s="134"/>
      <c r="B243" s="134"/>
      <c r="C243" s="134"/>
      <c r="D243" s="134"/>
      <c r="E243" s="134"/>
      <c r="F243" s="134"/>
      <c r="G243" s="134"/>
      <c r="H243" s="52"/>
      <c r="I243" s="52"/>
      <c r="J243" s="52"/>
      <c r="K243" s="134"/>
      <c r="L243" s="53"/>
      <c r="M243" s="53"/>
      <c r="N243" s="53"/>
      <c r="O243" s="53"/>
      <c r="P243" s="53"/>
      <c r="Q243" s="53"/>
      <c r="R243" s="53"/>
      <c r="S243" s="134"/>
      <c r="T243" s="134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ht="12.75" customHeight="1">
      <c r="A244" s="134"/>
      <c r="B244" s="134"/>
      <c r="C244" s="134"/>
      <c r="D244" s="134"/>
      <c r="E244" s="134"/>
      <c r="F244" s="134"/>
      <c r="G244" s="134"/>
      <c r="H244" s="52"/>
      <c r="I244" s="52"/>
      <c r="J244" s="52"/>
      <c r="K244" s="134"/>
      <c r="L244" s="53"/>
      <c r="M244" s="53"/>
      <c r="N244" s="53"/>
      <c r="O244" s="53"/>
      <c r="P244" s="53"/>
      <c r="Q244" s="53"/>
      <c r="R244" s="53"/>
      <c r="S244" s="134"/>
      <c r="T244" s="134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ht="12.75" customHeight="1">
      <c r="A245" s="134"/>
      <c r="B245" s="134"/>
      <c r="C245" s="134"/>
      <c r="D245" s="134"/>
      <c r="E245" s="134"/>
      <c r="F245" s="134"/>
      <c r="G245" s="134"/>
      <c r="H245" s="52"/>
      <c r="I245" s="52"/>
      <c r="J245" s="52"/>
      <c r="K245" s="134"/>
      <c r="L245" s="53"/>
      <c r="M245" s="53"/>
      <c r="N245" s="53"/>
      <c r="O245" s="53"/>
      <c r="P245" s="53"/>
      <c r="Q245" s="53"/>
      <c r="R245" s="53"/>
      <c r="S245" s="134"/>
      <c r="T245" s="134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ht="12.75" customHeight="1">
      <c r="A246" s="134"/>
      <c r="B246" s="134"/>
      <c r="C246" s="134"/>
      <c r="D246" s="134"/>
      <c r="E246" s="134"/>
      <c r="F246" s="134"/>
      <c r="G246" s="134"/>
      <c r="H246" s="52"/>
      <c r="I246" s="52"/>
      <c r="J246" s="52"/>
      <c r="K246" s="134"/>
      <c r="L246" s="53"/>
      <c r="M246" s="53"/>
      <c r="N246" s="53"/>
      <c r="O246" s="53"/>
      <c r="P246" s="53"/>
      <c r="Q246" s="53"/>
      <c r="R246" s="53"/>
      <c r="S246" s="134"/>
      <c r="T246" s="134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ht="12.75" customHeight="1">
      <c r="A247" s="134"/>
      <c r="B247" s="134"/>
      <c r="C247" s="134"/>
      <c r="D247" s="134"/>
      <c r="E247" s="134"/>
      <c r="F247" s="134"/>
      <c r="G247" s="134"/>
      <c r="H247" s="52"/>
      <c r="I247" s="52"/>
      <c r="J247" s="52"/>
      <c r="K247" s="134"/>
      <c r="L247" s="53"/>
      <c r="M247" s="53"/>
      <c r="N247" s="53"/>
      <c r="O247" s="53"/>
      <c r="P247" s="53"/>
      <c r="Q247" s="53"/>
      <c r="R247" s="53"/>
      <c r="S247" s="134"/>
      <c r="T247" s="134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ht="12.75" customHeight="1">
      <c r="A248" s="134"/>
      <c r="B248" s="134"/>
      <c r="C248" s="134"/>
      <c r="D248" s="134"/>
      <c r="E248" s="134"/>
      <c r="F248" s="134"/>
      <c r="G248" s="134"/>
      <c r="H248" s="52"/>
      <c r="I248" s="52"/>
      <c r="J248" s="52"/>
      <c r="K248" s="134"/>
      <c r="L248" s="53"/>
      <c r="M248" s="53"/>
      <c r="N248" s="53"/>
      <c r="O248" s="53"/>
      <c r="P248" s="53"/>
      <c r="Q248" s="53"/>
      <c r="R248" s="53"/>
      <c r="S248" s="134"/>
      <c r="T248" s="134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ht="12.75" customHeight="1">
      <c r="A249" s="134"/>
      <c r="B249" s="134"/>
      <c r="C249" s="134"/>
      <c r="D249" s="134"/>
      <c r="E249" s="134"/>
      <c r="F249" s="134"/>
      <c r="G249" s="134"/>
      <c r="H249" s="52"/>
      <c r="I249" s="52"/>
      <c r="J249" s="52"/>
      <c r="K249" s="134"/>
      <c r="L249" s="53"/>
      <c r="M249" s="53"/>
      <c r="N249" s="53"/>
      <c r="O249" s="53"/>
      <c r="P249" s="53"/>
      <c r="Q249" s="53"/>
      <c r="R249" s="53"/>
      <c r="S249" s="134"/>
      <c r="T249" s="134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ht="12.75" customHeight="1">
      <c r="A250" s="134"/>
      <c r="B250" s="134"/>
      <c r="C250" s="134"/>
      <c r="D250" s="134"/>
      <c r="E250" s="134"/>
      <c r="F250" s="134"/>
      <c r="G250" s="134"/>
      <c r="H250" s="52"/>
      <c r="I250" s="52"/>
      <c r="J250" s="52"/>
      <c r="K250" s="134"/>
      <c r="L250" s="53"/>
      <c r="M250" s="53"/>
      <c r="N250" s="53"/>
      <c r="O250" s="53"/>
      <c r="P250" s="53"/>
      <c r="Q250" s="53"/>
      <c r="R250" s="53"/>
      <c r="S250" s="134"/>
      <c r="T250" s="134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ht="12.75" customHeight="1">
      <c r="A251" s="134"/>
      <c r="B251" s="134"/>
      <c r="C251" s="134"/>
      <c r="D251" s="134"/>
      <c r="E251" s="134"/>
      <c r="F251" s="134"/>
      <c r="G251" s="134"/>
      <c r="H251" s="52"/>
      <c r="I251" s="52"/>
      <c r="J251" s="52"/>
      <c r="K251" s="134"/>
      <c r="L251" s="53"/>
      <c r="M251" s="53"/>
      <c r="N251" s="53"/>
      <c r="O251" s="53"/>
      <c r="P251" s="53"/>
      <c r="Q251" s="53"/>
      <c r="R251" s="53"/>
      <c r="S251" s="134"/>
      <c r="T251" s="134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ht="12.75" customHeight="1">
      <c r="A252" s="134"/>
      <c r="B252" s="134"/>
      <c r="C252" s="134"/>
      <c r="D252" s="134"/>
      <c r="E252" s="134"/>
      <c r="F252" s="134"/>
      <c r="G252" s="134"/>
      <c r="H252" s="52"/>
      <c r="I252" s="52"/>
      <c r="J252" s="52"/>
      <c r="K252" s="134"/>
      <c r="L252" s="53"/>
      <c r="M252" s="53"/>
      <c r="N252" s="53"/>
      <c r="O252" s="53"/>
      <c r="P252" s="53"/>
      <c r="Q252" s="53"/>
      <c r="R252" s="53"/>
      <c r="S252" s="134"/>
      <c r="T252" s="134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ht="12.75" customHeight="1">
      <c r="A253" s="134"/>
      <c r="B253" s="134"/>
      <c r="C253" s="134"/>
      <c r="D253" s="134"/>
      <c r="E253" s="134"/>
      <c r="F253" s="134"/>
      <c r="G253" s="134"/>
      <c r="H253" s="52"/>
      <c r="I253" s="52"/>
      <c r="J253" s="52"/>
      <c r="K253" s="134"/>
      <c r="L253" s="53"/>
      <c r="M253" s="53"/>
      <c r="N253" s="53"/>
      <c r="O253" s="53"/>
      <c r="P253" s="53"/>
      <c r="Q253" s="53"/>
      <c r="R253" s="53"/>
      <c r="S253" s="134"/>
      <c r="T253" s="134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ht="12.75" customHeight="1">
      <c r="A254" s="134"/>
      <c r="B254" s="134"/>
      <c r="C254" s="134"/>
      <c r="D254" s="134"/>
      <c r="E254" s="134"/>
      <c r="F254" s="134"/>
      <c r="G254" s="134"/>
      <c r="H254" s="52"/>
      <c r="I254" s="52"/>
      <c r="J254" s="52"/>
      <c r="K254" s="134"/>
      <c r="L254" s="53"/>
      <c r="M254" s="53"/>
      <c r="N254" s="53"/>
      <c r="O254" s="53"/>
      <c r="P254" s="53"/>
      <c r="Q254" s="53"/>
      <c r="R254" s="53"/>
      <c r="S254" s="134"/>
      <c r="T254" s="134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ht="12.75" customHeight="1">
      <c r="A255" s="134"/>
      <c r="B255" s="134"/>
      <c r="C255" s="134"/>
      <c r="D255" s="134"/>
      <c r="E255" s="134"/>
      <c r="F255" s="134"/>
      <c r="G255" s="134"/>
      <c r="H255" s="52"/>
      <c r="I255" s="52"/>
      <c r="J255" s="52"/>
      <c r="K255" s="134"/>
      <c r="L255" s="53"/>
      <c r="M255" s="53"/>
      <c r="N255" s="53"/>
      <c r="O255" s="53"/>
      <c r="P255" s="53"/>
      <c r="Q255" s="53"/>
      <c r="R255" s="53"/>
      <c r="S255" s="134"/>
      <c r="T255" s="134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ht="12.75" customHeight="1">
      <c r="A256" s="134"/>
      <c r="B256" s="134"/>
      <c r="C256" s="134"/>
      <c r="D256" s="134"/>
      <c r="E256" s="134"/>
      <c r="F256" s="134"/>
      <c r="G256" s="134"/>
      <c r="H256" s="52"/>
      <c r="I256" s="52"/>
      <c r="J256" s="52"/>
      <c r="K256" s="134"/>
      <c r="L256" s="53"/>
      <c r="M256" s="53"/>
      <c r="N256" s="53"/>
      <c r="O256" s="53"/>
      <c r="P256" s="53"/>
      <c r="Q256" s="53"/>
      <c r="R256" s="53"/>
      <c r="S256" s="134"/>
      <c r="T256" s="134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ht="12.75" customHeight="1">
      <c r="A257" s="134"/>
      <c r="B257" s="134"/>
      <c r="C257" s="134"/>
      <c r="D257" s="134"/>
      <c r="E257" s="134"/>
      <c r="F257" s="134"/>
      <c r="G257" s="134"/>
      <c r="H257" s="52"/>
      <c r="I257" s="52"/>
      <c r="J257" s="52"/>
      <c r="K257" s="134"/>
      <c r="L257" s="53"/>
      <c r="M257" s="53"/>
      <c r="N257" s="53"/>
      <c r="O257" s="53"/>
      <c r="P257" s="53"/>
      <c r="Q257" s="53"/>
      <c r="R257" s="53"/>
      <c r="S257" s="134"/>
      <c r="T257" s="134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ht="12.75" customHeight="1">
      <c r="A258" s="134"/>
      <c r="B258" s="134"/>
      <c r="C258" s="134"/>
      <c r="D258" s="134"/>
      <c r="E258" s="134"/>
      <c r="F258" s="134"/>
      <c r="G258" s="134"/>
      <c r="H258" s="52"/>
      <c r="I258" s="52"/>
      <c r="J258" s="52"/>
      <c r="K258" s="134"/>
      <c r="L258" s="53"/>
      <c r="M258" s="53"/>
      <c r="N258" s="53"/>
      <c r="O258" s="53"/>
      <c r="P258" s="53"/>
      <c r="Q258" s="53"/>
      <c r="R258" s="53"/>
      <c r="S258" s="134"/>
      <c r="T258" s="134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ht="12.75" customHeight="1">
      <c r="A259" s="134"/>
      <c r="B259" s="134"/>
      <c r="C259" s="134"/>
      <c r="D259" s="134"/>
      <c r="E259" s="134"/>
      <c r="F259" s="134"/>
      <c r="G259" s="134"/>
      <c r="H259" s="52"/>
      <c r="I259" s="52"/>
      <c r="J259" s="52"/>
      <c r="K259" s="134"/>
      <c r="L259" s="53"/>
      <c r="M259" s="53"/>
      <c r="N259" s="53"/>
      <c r="O259" s="53"/>
      <c r="P259" s="53"/>
      <c r="Q259" s="53"/>
      <c r="R259" s="53"/>
      <c r="S259" s="134"/>
      <c r="T259" s="134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ht="12.75" customHeight="1">
      <c r="A260" s="134"/>
      <c r="B260" s="134"/>
      <c r="C260" s="134"/>
      <c r="D260" s="134"/>
      <c r="E260" s="134"/>
      <c r="F260" s="134"/>
      <c r="G260" s="134"/>
      <c r="H260" s="52"/>
      <c r="I260" s="52"/>
      <c r="J260" s="52"/>
      <c r="K260" s="134"/>
      <c r="L260" s="53"/>
      <c r="M260" s="53"/>
      <c r="N260" s="53"/>
      <c r="O260" s="53"/>
      <c r="P260" s="53"/>
      <c r="Q260" s="53"/>
      <c r="R260" s="53"/>
      <c r="S260" s="134"/>
      <c r="T260" s="134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ht="12.75" customHeight="1">
      <c r="A261" s="134"/>
      <c r="B261" s="134"/>
      <c r="C261" s="134"/>
      <c r="D261" s="134"/>
      <c r="E261" s="134"/>
      <c r="F261" s="134"/>
      <c r="G261" s="134"/>
      <c r="H261" s="52"/>
      <c r="I261" s="52"/>
      <c r="J261" s="52"/>
      <c r="K261" s="134"/>
      <c r="L261" s="53"/>
      <c r="M261" s="53"/>
      <c r="N261" s="53"/>
      <c r="O261" s="53"/>
      <c r="P261" s="53"/>
      <c r="Q261" s="53"/>
      <c r="R261" s="53"/>
      <c r="S261" s="134"/>
      <c r="T261" s="134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ht="12.75" customHeight="1">
      <c r="A262" s="134"/>
      <c r="B262" s="134"/>
      <c r="C262" s="134"/>
      <c r="D262" s="134"/>
      <c r="E262" s="134"/>
      <c r="F262" s="134"/>
      <c r="G262" s="134"/>
      <c r="H262" s="52"/>
      <c r="I262" s="52"/>
      <c r="J262" s="52"/>
      <c r="K262" s="134"/>
      <c r="L262" s="53"/>
      <c r="M262" s="53"/>
      <c r="N262" s="53"/>
      <c r="O262" s="53"/>
      <c r="P262" s="53"/>
      <c r="Q262" s="53"/>
      <c r="R262" s="53"/>
      <c r="S262" s="134"/>
      <c r="T262" s="134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ht="12.75" customHeight="1">
      <c r="A263" s="134"/>
      <c r="B263" s="134"/>
      <c r="C263" s="134"/>
      <c r="D263" s="134"/>
      <c r="E263" s="134"/>
      <c r="F263" s="134"/>
      <c r="G263" s="134"/>
      <c r="H263" s="52"/>
      <c r="I263" s="52"/>
      <c r="J263" s="52"/>
      <c r="K263" s="134"/>
      <c r="L263" s="53"/>
      <c r="M263" s="53"/>
      <c r="N263" s="53"/>
      <c r="O263" s="53"/>
      <c r="P263" s="53"/>
      <c r="Q263" s="53"/>
      <c r="R263" s="53"/>
      <c r="S263" s="134"/>
      <c r="T263" s="134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ht="12.75" customHeight="1">
      <c r="A264" s="134"/>
      <c r="B264" s="134"/>
      <c r="C264" s="134"/>
      <c r="D264" s="134"/>
      <c r="E264" s="134"/>
      <c r="F264" s="134"/>
      <c r="G264" s="134"/>
      <c r="H264" s="52"/>
      <c r="I264" s="52"/>
      <c r="J264" s="52"/>
      <c r="K264" s="134"/>
      <c r="L264" s="53"/>
      <c r="M264" s="53"/>
      <c r="N264" s="53"/>
      <c r="O264" s="53"/>
      <c r="P264" s="53"/>
      <c r="Q264" s="53"/>
      <c r="R264" s="53"/>
      <c r="S264" s="134"/>
      <c r="T264" s="134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ht="12.75" customHeight="1">
      <c r="A265" s="134"/>
      <c r="B265" s="134"/>
      <c r="C265" s="134"/>
      <c r="D265" s="134"/>
      <c r="E265" s="134"/>
      <c r="F265" s="134"/>
      <c r="G265" s="134"/>
      <c r="H265" s="52"/>
      <c r="I265" s="52"/>
      <c r="J265" s="52"/>
      <c r="K265" s="134"/>
      <c r="L265" s="53"/>
      <c r="M265" s="53"/>
      <c r="N265" s="53"/>
      <c r="O265" s="53"/>
      <c r="P265" s="53"/>
      <c r="Q265" s="53"/>
      <c r="R265" s="53"/>
      <c r="S265" s="134"/>
      <c r="T265" s="134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ht="12.75" customHeight="1">
      <c r="A266" s="134"/>
      <c r="B266" s="134"/>
      <c r="C266" s="134"/>
      <c r="D266" s="134"/>
      <c r="E266" s="134"/>
      <c r="F266" s="134"/>
      <c r="G266" s="134"/>
      <c r="H266" s="52"/>
      <c r="I266" s="52"/>
      <c r="J266" s="52"/>
      <c r="K266" s="134"/>
      <c r="L266" s="53"/>
      <c r="M266" s="53"/>
      <c r="N266" s="53"/>
      <c r="O266" s="53"/>
      <c r="P266" s="53"/>
      <c r="Q266" s="53"/>
      <c r="R266" s="53"/>
      <c r="S266" s="134"/>
      <c r="T266" s="134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ht="12.75" customHeight="1">
      <c r="A267" s="134"/>
      <c r="B267" s="134"/>
      <c r="C267" s="134"/>
      <c r="D267" s="134"/>
      <c r="E267" s="134"/>
      <c r="F267" s="134"/>
      <c r="G267" s="134"/>
      <c r="H267" s="52"/>
      <c r="I267" s="52"/>
      <c r="J267" s="52"/>
      <c r="K267" s="134"/>
      <c r="L267" s="53"/>
      <c r="M267" s="53"/>
      <c r="N267" s="53"/>
      <c r="O267" s="53"/>
      <c r="P267" s="53"/>
      <c r="Q267" s="53"/>
      <c r="R267" s="53"/>
      <c r="S267" s="134"/>
      <c r="T267" s="134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ht="12.75" customHeight="1">
      <c r="A268" s="134"/>
      <c r="B268" s="134"/>
      <c r="C268" s="134"/>
      <c r="D268" s="134"/>
      <c r="E268" s="134"/>
      <c r="F268" s="134"/>
      <c r="G268" s="134"/>
      <c r="H268" s="52"/>
      <c r="I268" s="52"/>
      <c r="J268" s="52"/>
      <c r="K268" s="134"/>
      <c r="L268" s="53"/>
      <c r="M268" s="53"/>
      <c r="N268" s="53"/>
      <c r="O268" s="53"/>
      <c r="P268" s="53"/>
      <c r="Q268" s="53"/>
      <c r="R268" s="53"/>
      <c r="S268" s="134"/>
      <c r="T268" s="134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ht="12.75" customHeight="1">
      <c r="A269" s="134"/>
      <c r="B269" s="134"/>
      <c r="C269" s="134"/>
      <c r="D269" s="134"/>
      <c r="E269" s="134"/>
      <c r="F269" s="134"/>
      <c r="G269" s="134"/>
      <c r="H269" s="52"/>
      <c r="I269" s="52"/>
      <c r="J269" s="52"/>
      <c r="K269" s="134"/>
      <c r="L269" s="53"/>
      <c r="M269" s="53"/>
      <c r="N269" s="53"/>
      <c r="O269" s="53"/>
      <c r="P269" s="53"/>
      <c r="Q269" s="53"/>
      <c r="R269" s="53"/>
      <c r="S269" s="134"/>
      <c r="T269" s="134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ht="12.75" customHeight="1">
      <c r="A270" s="134"/>
      <c r="B270" s="134"/>
      <c r="C270" s="134"/>
      <c r="D270" s="134"/>
      <c r="E270" s="134"/>
      <c r="F270" s="134"/>
      <c r="G270" s="134"/>
      <c r="H270" s="52"/>
      <c r="I270" s="52"/>
      <c r="J270" s="52"/>
      <c r="K270" s="134"/>
      <c r="L270" s="53"/>
      <c r="M270" s="53"/>
      <c r="N270" s="53"/>
      <c r="O270" s="53"/>
      <c r="P270" s="53"/>
      <c r="Q270" s="53"/>
      <c r="R270" s="53"/>
      <c r="S270" s="134"/>
      <c r="T270" s="134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ht="12.75" customHeight="1">
      <c r="A271" s="134"/>
      <c r="B271" s="134"/>
      <c r="C271" s="134"/>
      <c r="D271" s="134"/>
      <c r="E271" s="134"/>
      <c r="F271" s="134"/>
      <c r="G271" s="134"/>
      <c r="H271" s="52"/>
      <c r="I271" s="52"/>
      <c r="J271" s="52"/>
      <c r="K271" s="134"/>
      <c r="L271" s="53"/>
      <c r="M271" s="53"/>
      <c r="N271" s="53"/>
      <c r="O271" s="53"/>
      <c r="P271" s="53"/>
      <c r="Q271" s="53"/>
      <c r="R271" s="53"/>
      <c r="S271" s="134"/>
      <c r="T271" s="134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ht="12.75" customHeight="1">
      <c r="A272" s="134"/>
      <c r="B272" s="134"/>
      <c r="C272" s="134"/>
      <c r="D272" s="134"/>
      <c r="E272" s="134"/>
      <c r="F272" s="134"/>
      <c r="G272" s="134"/>
      <c r="H272" s="52"/>
      <c r="I272" s="52"/>
      <c r="J272" s="52"/>
      <c r="K272" s="134"/>
      <c r="L272" s="53"/>
      <c r="M272" s="53"/>
      <c r="N272" s="53"/>
      <c r="O272" s="53"/>
      <c r="P272" s="53"/>
      <c r="Q272" s="53"/>
      <c r="R272" s="53"/>
      <c r="S272" s="134"/>
      <c r="T272" s="134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ht="12.75" customHeight="1">
      <c r="A273" s="134"/>
      <c r="B273" s="134"/>
      <c r="C273" s="134"/>
      <c r="D273" s="134"/>
      <c r="E273" s="134"/>
      <c r="F273" s="134"/>
      <c r="G273" s="134"/>
      <c r="H273" s="52"/>
      <c r="I273" s="52"/>
      <c r="J273" s="52"/>
      <c r="K273" s="134"/>
      <c r="L273" s="53"/>
      <c r="M273" s="53"/>
      <c r="N273" s="53"/>
      <c r="O273" s="53"/>
      <c r="P273" s="53"/>
      <c r="Q273" s="53"/>
      <c r="R273" s="53"/>
      <c r="S273" s="134"/>
      <c r="T273" s="134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ht="12.75" customHeight="1">
      <c r="A274" s="134"/>
      <c r="B274" s="134"/>
      <c r="C274" s="134"/>
      <c r="D274" s="134"/>
      <c r="E274" s="134"/>
      <c r="F274" s="134"/>
      <c r="G274" s="134"/>
      <c r="H274" s="52"/>
      <c r="I274" s="52"/>
      <c r="J274" s="52"/>
      <c r="K274" s="134"/>
      <c r="L274" s="53"/>
      <c r="M274" s="53"/>
      <c r="N274" s="53"/>
      <c r="O274" s="53"/>
      <c r="P274" s="53"/>
      <c r="Q274" s="53"/>
      <c r="R274" s="53"/>
      <c r="S274" s="134"/>
      <c r="T274" s="134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ht="12.75" customHeight="1">
      <c r="A275" s="134"/>
      <c r="B275" s="134"/>
      <c r="C275" s="134"/>
      <c r="D275" s="134"/>
      <c r="E275" s="134"/>
      <c r="F275" s="134"/>
      <c r="G275" s="134"/>
      <c r="H275" s="52"/>
      <c r="I275" s="52"/>
      <c r="J275" s="52"/>
      <c r="K275" s="134"/>
      <c r="L275" s="53"/>
      <c r="M275" s="53"/>
      <c r="N275" s="53"/>
      <c r="O275" s="53"/>
      <c r="P275" s="53"/>
      <c r="Q275" s="53"/>
      <c r="R275" s="53"/>
      <c r="S275" s="134"/>
      <c r="T275" s="134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ht="12.75" customHeight="1">
      <c r="A276" s="134"/>
      <c r="B276" s="134"/>
      <c r="C276" s="134"/>
      <c r="D276" s="134"/>
      <c r="E276" s="134"/>
      <c r="F276" s="134"/>
      <c r="G276" s="134"/>
      <c r="H276" s="52"/>
      <c r="I276" s="52"/>
      <c r="J276" s="52"/>
      <c r="K276" s="134"/>
      <c r="L276" s="53"/>
      <c r="M276" s="53"/>
      <c r="N276" s="53"/>
      <c r="O276" s="53"/>
      <c r="P276" s="53"/>
      <c r="Q276" s="53"/>
      <c r="R276" s="53"/>
      <c r="S276" s="134"/>
      <c r="T276" s="134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ht="12.75" customHeight="1">
      <c r="A277" s="134"/>
      <c r="B277" s="134"/>
      <c r="C277" s="134"/>
      <c r="D277" s="134"/>
      <c r="E277" s="134"/>
      <c r="F277" s="134"/>
      <c r="G277" s="134"/>
      <c r="H277" s="52"/>
      <c r="I277" s="52"/>
      <c r="J277" s="52"/>
      <c r="K277" s="134"/>
      <c r="L277" s="53"/>
      <c r="M277" s="53"/>
      <c r="N277" s="53"/>
      <c r="O277" s="53"/>
      <c r="P277" s="53"/>
      <c r="Q277" s="53"/>
      <c r="R277" s="53"/>
      <c r="S277" s="134"/>
      <c r="T277" s="134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ht="12.75" customHeight="1">
      <c r="A278" s="134"/>
      <c r="B278" s="134"/>
      <c r="C278" s="134"/>
      <c r="D278" s="134"/>
      <c r="E278" s="134"/>
      <c r="F278" s="134"/>
      <c r="G278" s="134"/>
      <c r="H278" s="52"/>
      <c r="I278" s="52"/>
      <c r="J278" s="52"/>
      <c r="K278" s="134"/>
      <c r="L278" s="53"/>
      <c r="M278" s="53"/>
      <c r="N278" s="53"/>
      <c r="O278" s="53"/>
      <c r="P278" s="53"/>
      <c r="Q278" s="53"/>
      <c r="R278" s="53"/>
      <c r="S278" s="134"/>
      <c r="T278" s="134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ht="12.75" customHeight="1">
      <c r="A279" s="134"/>
      <c r="B279" s="134"/>
      <c r="C279" s="134"/>
      <c r="D279" s="134"/>
      <c r="E279" s="134"/>
      <c r="F279" s="134"/>
      <c r="G279" s="134"/>
      <c r="H279" s="52"/>
      <c r="I279" s="52"/>
      <c r="J279" s="52"/>
      <c r="K279" s="134"/>
      <c r="L279" s="53"/>
      <c r="M279" s="53"/>
      <c r="N279" s="53"/>
      <c r="O279" s="53"/>
      <c r="P279" s="53"/>
      <c r="Q279" s="53"/>
      <c r="R279" s="53"/>
      <c r="S279" s="134"/>
      <c r="T279" s="134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ht="12.75" customHeight="1">
      <c r="A280" s="134"/>
      <c r="B280" s="134"/>
      <c r="C280" s="134"/>
      <c r="D280" s="134"/>
      <c r="E280" s="134"/>
      <c r="F280" s="134"/>
      <c r="G280" s="134"/>
      <c r="H280" s="52"/>
      <c r="I280" s="52"/>
      <c r="J280" s="52"/>
      <c r="K280" s="134"/>
      <c r="L280" s="53"/>
      <c r="M280" s="53"/>
      <c r="N280" s="53"/>
      <c r="O280" s="53"/>
      <c r="P280" s="53"/>
      <c r="Q280" s="53"/>
      <c r="R280" s="53"/>
      <c r="S280" s="134"/>
      <c r="T280" s="134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ht="12.75" customHeight="1">
      <c r="A281" s="134"/>
      <c r="B281" s="134"/>
      <c r="C281" s="134"/>
      <c r="D281" s="134"/>
      <c r="E281" s="134"/>
      <c r="F281" s="134"/>
      <c r="G281" s="134"/>
      <c r="H281" s="52"/>
      <c r="I281" s="52"/>
      <c r="J281" s="52"/>
      <c r="K281" s="134"/>
      <c r="L281" s="53"/>
      <c r="M281" s="53"/>
      <c r="N281" s="53"/>
      <c r="O281" s="53"/>
      <c r="P281" s="53"/>
      <c r="Q281" s="53"/>
      <c r="R281" s="53"/>
      <c r="S281" s="134"/>
      <c r="T281" s="134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ht="12.75" customHeight="1">
      <c r="A282" s="134"/>
      <c r="B282" s="134"/>
      <c r="C282" s="134"/>
      <c r="D282" s="134"/>
      <c r="E282" s="134"/>
      <c r="F282" s="134"/>
      <c r="G282" s="134"/>
      <c r="H282" s="52"/>
      <c r="I282" s="52"/>
      <c r="J282" s="52"/>
      <c r="K282" s="134"/>
      <c r="L282" s="53"/>
      <c r="M282" s="53"/>
      <c r="N282" s="53"/>
      <c r="O282" s="53"/>
      <c r="P282" s="53"/>
      <c r="Q282" s="53"/>
      <c r="R282" s="53"/>
      <c r="S282" s="134"/>
      <c r="T282" s="134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ht="12.75" customHeight="1">
      <c r="A283" s="134"/>
      <c r="B283" s="134"/>
      <c r="C283" s="134"/>
      <c r="D283" s="134"/>
      <c r="E283" s="134"/>
      <c r="F283" s="134"/>
      <c r="G283" s="134"/>
      <c r="H283" s="52"/>
      <c r="I283" s="52"/>
      <c r="J283" s="52"/>
      <c r="K283" s="134"/>
      <c r="L283" s="53"/>
      <c r="M283" s="53"/>
      <c r="N283" s="53"/>
      <c r="O283" s="53"/>
      <c r="P283" s="53"/>
      <c r="Q283" s="53"/>
      <c r="R283" s="53"/>
      <c r="S283" s="134"/>
      <c r="T283" s="134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ht="12.75" customHeight="1">
      <c r="A284" s="134"/>
      <c r="B284" s="134"/>
      <c r="C284" s="134"/>
      <c r="D284" s="134"/>
      <c r="E284" s="134"/>
      <c r="F284" s="134"/>
      <c r="G284" s="134"/>
      <c r="H284" s="52"/>
      <c r="I284" s="52"/>
      <c r="J284" s="52"/>
      <c r="K284" s="134"/>
      <c r="L284" s="53"/>
      <c r="M284" s="53"/>
      <c r="N284" s="53"/>
      <c r="O284" s="53"/>
      <c r="P284" s="53"/>
      <c r="Q284" s="53"/>
      <c r="R284" s="53"/>
      <c r="S284" s="134"/>
      <c r="T284" s="134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ht="12.75" customHeight="1">
      <c r="A285" s="134"/>
      <c r="B285" s="134"/>
      <c r="C285" s="134"/>
      <c r="D285" s="134"/>
      <c r="E285" s="134"/>
      <c r="F285" s="134"/>
      <c r="G285" s="134"/>
      <c r="H285" s="52"/>
      <c r="I285" s="52"/>
      <c r="J285" s="52"/>
      <c r="K285" s="134"/>
      <c r="L285" s="53"/>
      <c r="M285" s="53"/>
      <c r="N285" s="53"/>
      <c r="O285" s="53"/>
      <c r="P285" s="53"/>
      <c r="Q285" s="53"/>
      <c r="R285" s="53"/>
      <c r="S285" s="134"/>
      <c r="T285" s="134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ht="12.75" customHeight="1">
      <c r="A286" s="134"/>
      <c r="B286" s="134"/>
      <c r="C286" s="134"/>
      <c r="D286" s="134"/>
      <c r="E286" s="134"/>
      <c r="F286" s="134"/>
      <c r="G286" s="134"/>
      <c r="H286" s="52"/>
      <c r="I286" s="52"/>
      <c r="J286" s="52"/>
      <c r="K286" s="134"/>
      <c r="L286" s="53"/>
      <c r="M286" s="53"/>
      <c r="N286" s="53"/>
      <c r="O286" s="53"/>
      <c r="P286" s="53"/>
      <c r="Q286" s="53"/>
      <c r="R286" s="53"/>
      <c r="S286" s="134"/>
      <c r="T286" s="134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ht="12.75" customHeight="1">
      <c r="A287" s="134"/>
      <c r="B287" s="134"/>
      <c r="C287" s="134"/>
      <c r="D287" s="134"/>
      <c r="E287" s="134"/>
      <c r="F287" s="134"/>
      <c r="G287" s="134"/>
      <c r="H287" s="52"/>
      <c r="I287" s="52"/>
      <c r="J287" s="52"/>
      <c r="K287" s="134"/>
      <c r="L287" s="53"/>
      <c r="M287" s="53"/>
      <c r="N287" s="53"/>
      <c r="O287" s="53"/>
      <c r="P287" s="53"/>
      <c r="Q287" s="53"/>
      <c r="R287" s="53"/>
      <c r="S287" s="134"/>
      <c r="T287" s="134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ht="12.75" customHeight="1">
      <c r="A288" s="134"/>
      <c r="B288" s="134"/>
      <c r="C288" s="134"/>
      <c r="D288" s="134"/>
      <c r="E288" s="134"/>
      <c r="F288" s="134"/>
      <c r="G288" s="134"/>
      <c r="H288" s="52"/>
      <c r="I288" s="52"/>
      <c r="J288" s="52"/>
      <c r="K288" s="134"/>
      <c r="L288" s="53"/>
      <c r="M288" s="53"/>
      <c r="N288" s="53"/>
      <c r="O288" s="53"/>
      <c r="P288" s="53"/>
      <c r="Q288" s="53"/>
      <c r="R288" s="53"/>
      <c r="S288" s="134"/>
      <c r="T288" s="134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ht="12.75" customHeight="1">
      <c r="A289" s="134"/>
      <c r="B289" s="134"/>
      <c r="C289" s="134"/>
      <c r="D289" s="134"/>
      <c r="E289" s="134"/>
      <c r="F289" s="134"/>
      <c r="G289" s="134"/>
      <c r="H289" s="52"/>
      <c r="I289" s="52"/>
      <c r="J289" s="52"/>
      <c r="K289" s="134"/>
      <c r="L289" s="53"/>
      <c r="M289" s="53"/>
      <c r="N289" s="53"/>
      <c r="O289" s="53"/>
      <c r="P289" s="53"/>
      <c r="Q289" s="53"/>
      <c r="R289" s="53"/>
      <c r="S289" s="134"/>
      <c r="T289" s="134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ht="12.75" customHeight="1">
      <c r="A290" s="134"/>
      <c r="B290" s="134"/>
      <c r="C290" s="134"/>
      <c r="D290" s="134"/>
      <c r="E290" s="134"/>
      <c r="F290" s="134"/>
      <c r="G290" s="134"/>
      <c r="H290" s="52"/>
      <c r="I290" s="52"/>
      <c r="J290" s="52"/>
      <c r="K290" s="134"/>
      <c r="L290" s="53"/>
      <c r="M290" s="53"/>
      <c r="N290" s="53"/>
      <c r="O290" s="53"/>
      <c r="P290" s="53"/>
      <c r="Q290" s="53"/>
      <c r="R290" s="53"/>
      <c r="S290" s="134"/>
      <c r="T290" s="134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ht="12.75" customHeight="1">
      <c r="A291" s="134"/>
      <c r="B291" s="134"/>
      <c r="C291" s="134"/>
      <c r="D291" s="134"/>
      <c r="E291" s="134"/>
      <c r="F291" s="134"/>
      <c r="G291" s="134"/>
      <c r="H291" s="52"/>
      <c r="I291" s="52"/>
      <c r="J291" s="52"/>
      <c r="K291" s="134"/>
      <c r="L291" s="53"/>
      <c r="M291" s="53"/>
      <c r="N291" s="53"/>
      <c r="O291" s="53"/>
      <c r="P291" s="53"/>
      <c r="Q291" s="53"/>
      <c r="R291" s="53"/>
      <c r="S291" s="134"/>
      <c r="T291" s="134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ht="12.75" customHeight="1">
      <c r="A292" s="134"/>
      <c r="B292" s="134"/>
      <c r="C292" s="134"/>
      <c r="D292" s="134"/>
      <c r="E292" s="134"/>
      <c r="F292" s="134"/>
      <c r="G292" s="134"/>
      <c r="H292" s="52"/>
      <c r="I292" s="52"/>
      <c r="J292" s="52"/>
      <c r="K292" s="134"/>
      <c r="L292" s="53"/>
      <c r="M292" s="53"/>
      <c r="N292" s="53"/>
      <c r="O292" s="53"/>
      <c r="P292" s="53"/>
      <c r="Q292" s="53"/>
      <c r="R292" s="53"/>
      <c r="S292" s="134"/>
      <c r="T292" s="134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ht="12.75" customHeight="1">
      <c r="A293" s="134"/>
      <c r="B293" s="134"/>
      <c r="C293" s="134"/>
      <c r="D293" s="134"/>
      <c r="E293" s="134"/>
      <c r="F293" s="134"/>
      <c r="G293" s="134"/>
      <c r="H293" s="52"/>
      <c r="I293" s="52"/>
      <c r="J293" s="52"/>
      <c r="K293" s="134"/>
      <c r="L293" s="53"/>
      <c r="M293" s="53"/>
      <c r="N293" s="53"/>
      <c r="O293" s="53"/>
      <c r="P293" s="53"/>
      <c r="Q293" s="53"/>
      <c r="R293" s="53"/>
      <c r="S293" s="134"/>
      <c r="T293" s="134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ht="12.75" customHeight="1">
      <c r="A294" s="134"/>
      <c r="B294" s="134"/>
      <c r="C294" s="134"/>
      <c r="D294" s="134"/>
      <c r="E294" s="134"/>
      <c r="F294" s="134"/>
      <c r="G294" s="134"/>
      <c r="H294" s="52"/>
      <c r="I294" s="52"/>
      <c r="J294" s="52"/>
      <c r="K294" s="134"/>
      <c r="L294" s="53"/>
      <c r="M294" s="53"/>
      <c r="N294" s="53"/>
      <c r="O294" s="53"/>
      <c r="P294" s="53"/>
      <c r="Q294" s="53"/>
      <c r="R294" s="53"/>
      <c r="S294" s="134"/>
      <c r="T294" s="134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ht="12.75" customHeight="1">
      <c r="A295" s="134"/>
      <c r="B295" s="134"/>
      <c r="C295" s="134"/>
      <c r="D295" s="134"/>
      <c r="E295" s="134"/>
      <c r="F295" s="134"/>
      <c r="G295" s="134"/>
      <c r="H295" s="52"/>
      <c r="I295" s="52"/>
      <c r="J295" s="52"/>
      <c r="K295" s="134"/>
      <c r="L295" s="53"/>
      <c r="M295" s="53"/>
      <c r="N295" s="53"/>
      <c r="O295" s="53"/>
      <c r="P295" s="53"/>
      <c r="Q295" s="53"/>
      <c r="R295" s="53"/>
      <c r="S295" s="134"/>
      <c r="T295" s="134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ht="12.75" customHeight="1">
      <c r="A296" s="134"/>
      <c r="B296" s="134"/>
      <c r="C296" s="134"/>
      <c r="D296" s="134"/>
      <c r="E296" s="134"/>
      <c r="F296" s="134"/>
      <c r="G296" s="134"/>
      <c r="H296" s="52"/>
      <c r="I296" s="52"/>
      <c r="J296" s="52"/>
      <c r="K296" s="134"/>
      <c r="L296" s="53"/>
      <c r="M296" s="53"/>
      <c r="N296" s="53"/>
      <c r="O296" s="53"/>
      <c r="P296" s="53"/>
      <c r="Q296" s="53"/>
      <c r="R296" s="53"/>
      <c r="S296" s="134"/>
      <c r="T296" s="134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ht="12.75" customHeight="1">
      <c r="A297" s="134"/>
      <c r="B297" s="134"/>
      <c r="C297" s="134"/>
      <c r="D297" s="134"/>
      <c r="E297" s="134"/>
      <c r="F297" s="134"/>
      <c r="G297" s="134"/>
      <c r="H297" s="52"/>
      <c r="I297" s="52"/>
      <c r="J297" s="52"/>
      <c r="K297" s="134"/>
      <c r="L297" s="53"/>
      <c r="M297" s="53"/>
      <c r="N297" s="53"/>
      <c r="O297" s="53"/>
      <c r="P297" s="53"/>
      <c r="Q297" s="53"/>
      <c r="R297" s="53"/>
      <c r="S297" s="134"/>
      <c r="T297" s="134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ht="12.75" customHeight="1">
      <c r="A298" s="134"/>
      <c r="B298" s="134"/>
      <c r="C298" s="134"/>
      <c r="D298" s="134"/>
      <c r="E298" s="134"/>
      <c r="F298" s="134"/>
      <c r="G298" s="134"/>
      <c r="H298" s="52"/>
      <c r="I298" s="52"/>
      <c r="J298" s="52"/>
      <c r="K298" s="134"/>
      <c r="L298" s="53"/>
      <c r="M298" s="53"/>
      <c r="N298" s="53"/>
      <c r="O298" s="53"/>
      <c r="P298" s="53"/>
      <c r="Q298" s="53"/>
      <c r="R298" s="53"/>
      <c r="S298" s="134"/>
      <c r="T298" s="134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A2" s="134"/>
      <c r="B2" s="8" t="s">
        <v>255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10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ht="13.5" customHeight="1">
      <c r="A4" s="134"/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T4" s="134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ht="13.5" customHeight="1">
      <c r="A5" s="134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ht="13.5" customHeight="1">
      <c r="A6" s="134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ht="12.75" customHeight="1">
      <c r="A7" s="134"/>
      <c r="B7" s="21" t="s">
        <v>41</v>
      </c>
      <c r="C7" s="135">
        <v>2.0</v>
      </c>
      <c r="D7" s="19" t="s">
        <v>31</v>
      </c>
      <c r="E7" s="136">
        <v>0.0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ht="12.75" customHeight="1">
      <c r="A8" s="134"/>
      <c r="B8" s="21" t="s">
        <v>30</v>
      </c>
      <c r="C8" s="135">
        <v>1.0</v>
      </c>
      <c r="D8" s="19" t="s">
        <v>31</v>
      </c>
      <c r="E8" s="136">
        <v>0.0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ht="12.75" customHeight="1">
      <c r="A9" s="134"/>
      <c r="B9" s="21" t="s">
        <v>32</v>
      </c>
      <c r="C9" s="135">
        <v>1.0</v>
      </c>
      <c r="D9" s="19" t="s">
        <v>31</v>
      </c>
      <c r="E9" s="136">
        <v>1.0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ht="13.5" customHeight="1">
      <c r="A10" s="134"/>
      <c r="B10" s="40" t="s">
        <v>41</v>
      </c>
      <c r="C10" s="137">
        <v>0.0</v>
      </c>
      <c r="D10" s="38" t="s">
        <v>31</v>
      </c>
      <c r="E10" s="138">
        <v>2.0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L10" s="134"/>
      <c r="M10" s="134"/>
      <c r="N10" s="134"/>
      <c r="O10" s="134"/>
      <c r="P10" s="134"/>
      <c r="Q10" s="134"/>
      <c r="R10" s="134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ht="13.5" customHeight="1">
      <c r="A11" s="134"/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ht="13.5" customHeight="1">
      <c r="A12" s="134"/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ht="13.5" customHeight="1">
      <c r="A13" s="134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ht="13.5" customHeight="1">
      <c r="A14" s="134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ht="12.75" customHeight="1">
      <c r="A15" s="134"/>
      <c r="B15" s="21" t="s">
        <v>58</v>
      </c>
      <c r="C15" s="135">
        <v>0.0</v>
      </c>
      <c r="D15" s="19" t="s">
        <v>31</v>
      </c>
      <c r="E15" s="136">
        <v>0.0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ht="12.75" customHeight="1">
      <c r="A16" s="134"/>
      <c r="B16" s="21" t="s">
        <v>55</v>
      </c>
      <c r="C16" s="135">
        <v>0.0</v>
      </c>
      <c r="D16" s="19" t="s">
        <v>31</v>
      </c>
      <c r="E16" s="136">
        <v>1.0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ht="12.75" customHeight="1">
      <c r="A17" s="134"/>
      <c r="B17" s="21" t="s">
        <v>58</v>
      </c>
      <c r="C17" s="135">
        <v>2.0</v>
      </c>
      <c r="D17" s="19" t="s">
        <v>31</v>
      </c>
      <c r="E17" s="136">
        <v>2.0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ht="13.5" customHeight="1">
      <c r="A18" s="134"/>
      <c r="B18" s="40" t="s">
        <v>56</v>
      </c>
      <c r="C18" s="137">
        <v>1.0</v>
      </c>
      <c r="D18" s="38" t="s">
        <v>31</v>
      </c>
      <c r="E18" s="138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L18" s="134"/>
      <c r="M18" s="134"/>
      <c r="N18" s="134"/>
      <c r="O18" s="134"/>
      <c r="P18" s="134"/>
      <c r="Q18" s="134"/>
      <c r="R18" s="134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ht="13.5" customHeight="1">
      <c r="A19" s="134"/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ht="13.5" customHeight="1">
      <c r="A20" s="134"/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ht="13.5" customHeight="1">
      <c r="A21" s="134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ht="13.5" customHeight="1">
      <c r="A22" s="134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ht="12.75" customHeight="1">
      <c r="A23" s="134"/>
      <c r="B23" s="21" t="s">
        <v>75</v>
      </c>
      <c r="C23" s="135">
        <v>0.0</v>
      </c>
      <c r="D23" s="19" t="s">
        <v>31</v>
      </c>
      <c r="E23" s="136">
        <v>2.0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ht="12.75" customHeight="1">
      <c r="A24" s="134"/>
      <c r="B24" s="21" t="s">
        <v>72</v>
      </c>
      <c r="C24" s="135">
        <v>4.0</v>
      </c>
      <c r="D24" s="19" t="s">
        <v>31</v>
      </c>
      <c r="E24" s="136">
        <v>0.0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ht="12.75" customHeight="1">
      <c r="A25" s="134"/>
      <c r="B25" s="21" t="s">
        <v>73</v>
      </c>
      <c r="C25" s="135">
        <v>3.0</v>
      </c>
      <c r="D25" s="19" t="s">
        <v>31</v>
      </c>
      <c r="E25" s="136">
        <v>0.0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ht="13.5" customHeight="1">
      <c r="A26" s="134"/>
      <c r="B26" s="40" t="s">
        <v>75</v>
      </c>
      <c r="C26" s="137">
        <v>0.0</v>
      </c>
      <c r="D26" s="38" t="s">
        <v>31</v>
      </c>
      <c r="E26" s="138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L26" s="134"/>
      <c r="M26" s="134"/>
      <c r="N26" s="134"/>
      <c r="O26" s="134"/>
      <c r="P26" s="134"/>
      <c r="Q26" s="134"/>
      <c r="R26" s="134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ht="13.5" customHeight="1">
      <c r="A27" s="134"/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ht="13.5" customHeight="1">
      <c r="A28" s="134"/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ht="13.5" customHeight="1">
      <c r="A29" s="134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ht="13.5" customHeight="1">
      <c r="A30" s="134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ht="12.75" customHeight="1">
      <c r="A31" s="134"/>
      <c r="B31" s="21" t="s">
        <v>89</v>
      </c>
      <c r="C31" s="135">
        <v>2.0</v>
      </c>
      <c r="D31" s="19" t="s">
        <v>31</v>
      </c>
      <c r="E31" s="136">
        <v>1.0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ht="12.75" customHeight="1">
      <c r="A32" s="134"/>
      <c r="B32" s="21" t="s">
        <v>92</v>
      </c>
      <c r="C32" s="135">
        <v>0.0</v>
      </c>
      <c r="D32" s="19" t="s">
        <v>31</v>
      </c>
      <c r="E32" s="136">
        <v>1.0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ht="12.75" customHeight="1">
      <c r="A33" s="134"/>
      <c r="B33" s="21" t="s">
        <v>92</v>
      </c>
      <c r="C33" s="135">
        <v>0.0</v>
      </c>
      <c r="D33" s="19" t="s">
        <v>31</v>
      </c>
      <c r="E33" s="136">
        <v>2.0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ht="13.5" customHeight="1">
      <c r="A34" s="134"/>
      <c r="B34" s="40" t="s">
        <v>90</v>
      </c>
      <c r="C34" s="137">
        <v>1.0</v>
      </c>
      <c r="D34" s="38" t="s">
        <v>31</v>
      </c>
      <c r="E34" s="138">
        <v>1.0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L34" s="134"/>
      <c r="M34" s="134"/>
      <c r="N34" s="134"/>
      <c r="O34" s="134"/>
      <c r="P34" s="134"/>
      <c r="Q34" s="134"/>
      <c r="R34" s="134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ht="13.5" customHeight="1">
      <c r="A35" s="134"/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ht="13.5" customHeight="1">
      <c r="A36" s="134"/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ht="13.5" customHeight="1">
      <c r="A37" s="134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ht="13.5" customHeight="1">
      <c r="A38" s="134"/>
      <c r="B38" s="21" t="s">
        <v>107</v>
      </c>
      <c r="C38" s="135">
        <v>0.0</v>
      </c>
      <c r="D38" s="19" t="s">
        <v>31</v>
      </c>
      <c r="E38" s="136">
        <v>2.0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ht="12.75" customHeight="1">
      <c r="A39" s="134"/>
      <c r="B39" s="21" t="s">
        <v>105</v>
      </c>
      <c r="C39" s="135">
        <v>3.0</v>
      </c>
      <c r="D39" s="19" t="s">
        <v>31</v>
      </c>
      <c r="E39" s="136">
        <v>1.0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ht="12.75" customHeight="1">
      <c r="A40" s="134"/>
      <c r="B40" s="21" t="s">
        <v>108</v>
      </c>
      <c r="C40" s="135">
        <v>2.0</v>
      </c>
      <c r="D40" s="19" t="s">
        <v>31</v>
      </c>
      <c r="E40" s="136">
        <v>0.0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ht="12.75" customHeight="1">
      <c r="A41" s="134"/>
      <c r="B41" s="21" t="s">
        <v>108</v>
      </c>
      <c r="C41" s="135">
        <v>1.0</v>
      </c>
      <c r="D41" s="19" t="s">
        <v>31</v>
      </c>
      <c r="E41" s="136">
        <v>2.0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ht="13.5" customHeight="1">
      <c r="A42" s="134"/>
      <c r="B42" s="40" t="s">
        <v>106</v>
      </c>
      <c r="C42" s="137">
        <v>0.0</v>
      </c>
      <c r="D42" s="38" t="s">
        <v>31</v>
      </c>
      <c r="E42" s="138">
        <v>0.0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L42" s="134"/>
      <c r="M42" s="134"/>
      <c r="N42" s="134"/>
      <c r="O42" s="134"/>
      <c r="P42" s="134"/>
      <c r="Q42" s="134"/>
      <c r="R42" s="134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ht="13.5" customHeight="1">
      <c r="A43" s="134"/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ht="13.5" customHeight="1">
      <c r="A44" s="134"/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ht="13.5" customHeight="1">
      <c r="A45" s="134"/>
      <c r="B45" s="21" t="s">
        <v>122</v>
      </c>
      <c r="C45" s="135">
        <v>2.0</v>
      </c>
      <c r="D45" s="19" t="s">
        <v>31</v>
      </c>
      <c r="E45" s="136">
        <v>1.0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ht="13.5" customHeight="1">
      <c r="A46" s="134"/>
      <c r="B46" s="21" t="s">
        <v>124</v>
      </c>
      <c r="C46" s="135">
        <v>3.0</v>
      </c>
      <c r="D46" s="19" t="s">
        <v>31</v>
      </c>
      <c r="E46" s="136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ht="12.75" customHeight="1">
      <c r="A47" s="134"/>
      <c r="B47" s="21" t="s">
        <v>122</v>
      </c>
      <c r="C47" s="135">
        <v>1.0</v>
      </c>
      <c r="D47" s="19" t="s">
        <v>31</v>
      </c>
      <c r="E47" s="136">
        <v>0.0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ht="12.75" customHeight="1">
      <c r="A48" s="134"/>
      <c r="B48" s="21" t="s">
        <v>125</v>
      </c>
      <c r="C48" s="135">
        <v>0.0</v>
      </c>
      <c r="D48" s="19" t="s">
        <v>31</v>
      </c>
      <c r="E48" s="136">
        <v>2.0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ht="12.75" customHeight="1">
      <c r="A49" s="134"/>
      <c r="B49" s="21" t="s">
        <v>125</v>
      </c>
      <c r="C49" s="135">
        <v>0.0</v>
      </c>
      <c r="D49" s="19" t="s">
        <v>31</v>
      </c>
      <c r="E49" s="136">
        <v>3.0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ht="13.5" customHeight="1">
      <c r="A50" s="134"/>
      <c r="B50" s="40" t="s">
        <v>123</v>
      </c>
      <c r="C50" s="137">
        <v>1.0</v>
      </c>
      <c r="D50" s="38" t="s">
        <v>31</v>
      </c>
      <c r="E50" s="138">
        <v>1.0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L50" s="134"/>
      <c r="M50" s="134"/>
      <c r="N50" s="134"/>
      <c r="O50" s="134"/>
      <c r="P50" s="134"/>
      <c r="Q50" s="134"/>
      <c r="R50" s="134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ht="13.5" customHeight="1">
      <c r="A51" s="134"/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ht="13.5" customHeight="1">
      <c r="A52" s="134"/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ht="13.5" customHeight="1">
      <c r="A53" s="134"/>
      <c r="B53" s="21" t="s">
        <v>139</v>
      </c>
      <c r="C53" s="135">
        <v>3.0</v>
      </c>
      <c r="D53" s="19" t="s">
        <v>31</v>
      </c>
      <c r="E53" s="136">
        <v>0.0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ht="13.5" customHeight="1">
      <c r="A54" s="134"/>
      <c r="B54" s="21" t="s">
        <v>141</v>
      </c>
      <c r="C54" s="135">
        <v>1.0</v>
      </c>
      <c r="D54" s="19" t="s">
        <v>31</v>
      </c>
      <c r="E54" s="136">
        <v>1.0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ht="12.75" customHeight="1">
      <c r="A55" s="134"/>
      <c r="B55" s="21" t="s">
        <v>139</v>
      </c>
      <c r="C55" s="135">
        <v>2.0</v>
      </c>
      <c r="D55" s="19" t="s">
        <v>31</v>
      </c>
      <c r="E55" s="136">
        <v>1.0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ht="12.75" customHeight="1">
      <c r="A56" s="134"/>
      <c r="B56" s="21" t="s">
        <v>142</v>
      </c>
      <c r="C56" s="135">
        <v>1.0</v>
      </c>
      <c r="D56" s="19" t="s">
        <v>31</v>
      </c>
      <c r="E56" s="136">
        <v>1.0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ht="12.75" customHeight="1">
      <c r="A57" s="134"/>
      <c r="B57" s="21" t="s">
        <v>140</v>
      </c>
      <c r="C57" s="135">
        <v>2.0</v>
      </c>
      <c r="D57" s="19" t="s">
        <v>31</v>
      </c>
      <c r="E57" s="136">
        <v>1.0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ht="13.5" customHeight="1">
      <c r="A58" s="134"/>
      <c r="B58" s="40" t="s">
        <v>142</v>
      </c>
      <c r="C58" s="137">
        <v>0.0</v>
      </c>
      <c r="D58" s="38" t="s">
        <v>31</v>
      </c>
      <c r="E58" s="138">
        <v>2.0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L58" s="134"/>
      <c r="M58" s="134"/>
      <c r="N58" s="134"/>
      <c r="O58" s="134"/>
      <c r="P58" s="134"/>
      <c r="Q58" s="134"/>
      <c r="R58" s="134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ht="13.5" customHeight="1">
      <c r="A59" s="134"/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ht="13.5" customHeight="1">
      <c r="A60" s="134"/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ht="13.5" customHeight="1">
      <c r="A61" s="134"/>
      <c r="B61" s="21" t="s">
        <v>156</v>
      </c>
      <c r="C61" s="135">
        <v>3.0</v>
      </c>
      <c r="D61" s="19" t="s">
        <v>31</v>
      </c>
      <c r="E61" s="136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ht="13.5" customHeight="1">
      <c r="A62" s="134"/>
      <c r="B62" s="21" t="s">
        <v>158</v>
      </c>
      <c r="C62" s="135">
        <v>2.0</v>
      </c>
      <c r="D62" s="19" t="s">
        <v>31</v>
      </c>
      <c r="E62" s="136">
        <v>2.0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ht="12.75" customHeight="1">
      <c r="A63" s="134"/>
      <c r="B63" s="21" t="s">
        <v>156</v>
      </c>
      <c r="C63" s="135">
        <v>1.0</v>
      </c>
      <c r="D63" s="19" t="s">
        <v>31</v>
      </c>
      <c r="E63" s="136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ht="12.75" customHeight="1">
      <c r="A64" s="134"/>
      <c r="B64" s="21" t="s">
        <v>159</v>
      </c>
      <c r="C64" s="135">
        <v>3.0</v>
      </c>
      <c r="D64" s="19" t="s">
        <v>31</v>
      </c>
      <c r="E64" s="136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ht="12.75" customHeight="1">
      <c r="A65" s="134"/>
      <c r="B65" s="21" t="s">
        <v>157</v>
      </c>
      <c r="C65" s="135">
        <v>1.0</v>
      </c>
      <c r="D65" s="19" t="s">
        <v>31</v>
      </c>
      <c r="E65" s="136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ht="13.5" customHeight="1">
      <c r="A66" s="134"/>
      <c r="B66" s="40" t="s">
        <v>159</v>
      </c>
      <c r="C66" s="137">
        <v>2.0</v>
      </c>
      <c r="D66" s="38" t="s">
        <v>31</v>
      </c>
      <c r="E66" s="138">
        <v>2.0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L66" s="134"/>
      <c r="M66" s="134"/>
      <c r="N66" s="134"/>
      <c r="O66" s="134"/>
      <c r="P66" s="134"/>
      <c r="Q66" s="134"/>
      <c r="R66" s="134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ht="12.75" customHeight="1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ht="12.75" customHeight="1">
      <c r="A68" s="134"/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ht="12.75" customHeight="1">
      <c r="A69" s="134"/>
      <c r="B69" s="21" t="s">
        <v>173</v>
      </c>
      <c r="C69" s="135">
        <v>3.0</v>
      </c>
      <c r="D69" s="19" t="s">
        <v>31</v>
      </c>
      <c r="E69" s="136">
        <v>2.0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ht="12.75" customHeight="1">
      <c r="A70" s="134"/>
      <c r="B70" s="21" t="s">
        <v>175</v>
      </c>
      <c r="C70" s="135">
        <v>1.0</v>
      </c>
      <c r="D70" s="19" t="s">
        <v>31</v>
      </c>
      <c r="E70" s="136">
        <v>1.0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ht="12.75" customHeight="1">
      <c r="A71" s="134"/>
      <c r="B71" s="21" t="s">
        <v>173</v>
      </c>
      <c r="C71" s="135">
        <v>2.0</v>
      </c>
      <c r="D71" s="19" t="s">
        <v>31</v>
      </c>
      <c r="E71" s="136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ht="12.75" customHeight="1">
      <c r="A72" s="134"/>
      <c r="B72" s="21" t="s">
        <v>176</v>
      </c>
      <c r="C72" s="135">
        <v>0.0</v>
      </c>
      <c r="D72" s="19" t="s">
        <v>31</v>
      </c>
      <c r="E72" s="136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ht="12.75" customHeight="1">
      <c r="A73" s="134"/>
      <c r="B73" s="21" t="s">
        <v>174</v>
      </c>
      <c r="C73" s="135">
        <v>1.0</v>
      </c>
      <c r="D73" s="19" t="s">
        <v>31</v>
      </c>
      <c r="E73" s="136">
        <v>1.0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ht="12.75" customHeight="1">
      <c r="A74" s="134"/>
      <c r="B74" s="40" t="s">
        <v>176</v>
      </c>
      <c r="C74" s="137">
        <v>1.0</v>
      </c>
      <c r="D74" s="38" t="s">
        <v>31</v>
      </c>
      <c r="E74" s="138">
        <v>3.0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L74" s="134"/>
      <c r="M74" s="134"/>
      <c r="N74" s="134"/>
      <c r="O74" s="134"/>
      <c r="P74" s="134"/>
      <c r="Q74" s="134"/>
      <c r="R74" s="134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ht="12.75" customHeight="1">
      <c r="A75" s="134"/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ht="12.75" customHeight="1">
      <c r="A76" s="134"/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ht="12.75" customHeight="1">
      <c r="A77" s="134"/>
      <c r="B77" s="21" t="s">
        <v>190</v>
      </c>
      <c r="C77" s="135">
        <v>2.0</v>
      </c>
      <c r="D77" s="19" t="s">
        <v>31</v>
      </c>
      <c r="E77" s="136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ht="12.75" customHeight="1">
      <c r="A78" s="134"/>
      <c r="B78" s="21" t="s">
        <v>192</v>
      </c>
      <c r="C78" s="135">
        <v>2.0</v>
      </c>
      <c r="D78" s="19" t="s">
        <v>31</v>
      </c>
      <c r="E78" s="136">
        <v>0.0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ht="12.75" customHeight="1">
      <c r="A79" s="134"/>
      <c r="B79" s="21" t="s">
        <v>190</v>
      </c>
      <c r="C79" s="135">
        <v>1.0</v>
      </c>
      <c r="D79" s="19" t="s">
        <v>31</v>
      </c>
      <c r="E79" s="136">
        <v>0.0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ht="12.75" customHeight="1">
      <c r="A80" s="134"/>
      <c r="B80" s="21" t="s">
        <v>193</v>
      </c>
      <c r="C80" s="135">
        <v>1.0</v>
      </c>
      <c r="D80" s="19" t="s">
        <v>31</v>
      </c>
      <c r="E80" s="136">
        <v>1.0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ht="12.75" customHeight="1">
      <c r="A81" s="134"/>
      <c r="B81" s="21" t="s">
        <v>193</v>
      </c>
      <c r="C81" s="135">
        <v>0.0</v>
      </c>
      <c r="D81" s="19" t="s">
        <v>31</v>
      </c>
      <c r="E81" s="136">
        <v>3.0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ht="12.75" customHeight="1">
      <c r="A82" s="134"/>
      <c r="B82" s="40" t="s">
        <v>191</v>
      </c>
      <c r="C82" s="137">
        <v>0.0</v>
      </c>
      <c r="D82" s="38" t="s">
        <v>31</v>
      </c>
      <c r="E82" s="138">
        <v>2.0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L82" s="134"/>
      <c r="M82" s="134"/>
      <c r="N82" s="134"/>
      <c r="O82" s="134"/>
      <c r="P82" s="134"/>
      <c r="Q82" s="134"/>
      <c r="R82" s="134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ht="12.75" customHeight="1">
      <c r="A83" s="134"/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ht="12.75" customHeight="1">
      <c r="A84" s="134"/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ht="12.75" customHeight="1">
      <c r="A85" s="134"/>
      <c r="B85" s="21" t="s">
        <v>207</v>
      </c>
      <c r="C85" s="135">
        <v>4.0</v>
      </c>
      <c r="D85" s="19" t="s">
        <v>31</v>
      </c>
      <c r="E85" s="136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ht="12.75" customHeight="1">
      <c r="A86" s="134"/>
      <c r="B86" s="21" t="s">
        <v>209</v>
      </c>
      <c r="C86" s="135">
        <v>0.0</v>
      </c>
      <c r="D86" s="19" t="s">
        <v>31</v>
      </c>
      <c r="E86" s="136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ht="12.75" customHeight="1">
      <c r="A87" s="134"/>
      <c r="B87" s="21" t="s">
        <v>207</v>
      </c>
      <c r="C87" s="135">
        <v>2.0</v>
      </c>
      <c r="D87" s="19" t="s">
        <v>31</v>
      </c>
      <c r="E87" s="136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ht="12.75" customHeight="1">
      <c r="A88" s="134"/>
      <c r="B88" s="21" t="s">
        <v>210</v>
      </c>
      <c r="C88" s="135">
        <v>2.0</v>
      </c>
      <c r="D88" s="19" t="s">
        <v>31</v>
      </c>
      <c r="E88" s="136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ht="12.75" customHeight="1">
      <c r="A89" s="134"/>
      <c r="B89" s="21" t="s">
        <v>208</v>
      </c>
      <c r="C89" s="135">
        <v>1.0</v>
      </c>
      <c r="D89" s="19" t="s">
        <v>31</v>
      </c>
      <c r="E89" s="136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ht="12.75" customHeight="1">
      <c r="A90" s="134"/>
      <c r="B90" s="40" t="s">
        <v>210</v>
      </c>
      <c r="C90" s="137">
        <v>1.0</v>
      </c>
      <c r="D90" s="38" t="s">
        <v>31</v>
      </c>
      <c r="E90" s="138">
        <v>2.0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L90" s="134"/>
      <c r="M90" s="134"/>
      <c r="N90" s="134"/>
      <c r="O90" s="134"/>
      <c r="P90" s="134"/>
      <c r="Q90" s="134"/>
      <c r="R90" s="134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ht="12.75" customHeight="1">
      <c r="A91" s="134"/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ht="12.75" customHeight="1">
      <c r="A92" s="134"/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ht="12.75" customHeight="1">
      <c r="A93" s="134"/>
      <c r="B93" s="21" t="s">
        <v>224</v>
      </c>
      <c r="C93" s="135">
        <v>1.0</v>
      </c>
      <c r="D93" s="19" t="s">
        <v>31</v>
      </c>
      <c r="E93" s="136">
        <v>1.0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ht="12.75" customHeight="1">
      <c r="A94" s="134"/>
      <c r="B94" s="21" t="s">
        <v>226</v>
      </c>
      <c r="C94" s="135">
        <v>0.0</v>
      </c>
      <c r="D94" s="19" t="s">
        <v>31</v>
      </c>
      <c r="E94" s="136">
        <v>0.0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ht="12.75" customHeight="1">
      <c r="A95" s="134"/>
      <c r="B95" s="21" t="s">
        <v>224</v>
      </c>
      <c r="C95" s="135">
        <v>2.0</v>
      </c>
      <c r="D95" s="19" t="s">
        <v>31</v>
      </c>
      <c r="E95" s="136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ht="12.75" customHeight="1">
      <c r="A96" s="134"/>
      <c r="B96" s="21" t="s">
        <v>227</v>
      </c>
      <c r="C96" s="135">
        <v>0.0</v>
      </c>
      <c r="D96" s="19" t="s">
        <v>31</v>
      </c>
      <c r="E96" s="136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ht="12.75" customHeight="1">
      <c r="A97" s="134"/>
      <c r="B97" s="21" t="s">
        <v>225</v>
      </c>
      <c r="C97" s="135">
        <v>3.0</v>
      </c>
      <c r="D97" s="19" t="s">
        <v>31</v>
      </c>
      <c r="E97" s="136">
        <v>0.0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ht="12.75" customHeight="1">
      <c r="A98" s="134"/>
      <c r="B98" s="40" t="s">
        <v>227</v>
      </c>
      <c r="C98" s="137">
        <v>0.0</v>
      </c>
      <c r="D98" s="38" t="s">
        <v>31</v>
      </c>
      <c r="E98" s="138">
        <v>3.0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L98" s="134"/>
      <c r="M98" s="134"/>
      <c r="N98" s="134"/>
      <c r="O98" s="134"/>
      <c r="P98" s="134"/>
      <c r="Q98" s="134"/>
      <c r="R98" s="134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ht="12.75" customHeight="1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ht="12.75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ht="13.5" customHeight="1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A102" s="134"/>
      <c r="B102" s="134"/>
      <c r="C102" s="134"/>
      <c r="D102" s="134"/>
      <c r="E102" s="134"/>
      <c r="F102" s="134"/>
      <c r="G102" s="134"/>
      <c r="H102" s="52"/>
      <c r="I102" s="52"/>
      <c r="J102" s="52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ht="12.75" customHeight="1">
      <c r="A103" s="134"/>
      <c r="B103" s="134"/>
      <c r="C103" s="134"/>
      <c r="D103" s="134"/>
      <c r="E103" s="134"/>
      <c r="F103" s="134"/>
      <c r="G103" s="134"/>
      <c r="H103" s="52"/>
      <c r="I103" s="52"/>
      <c r="J103" s="52"/>
      <c r="K103" s="134"/>
      <c r="L103" s="53"/>
      <c r="M103" s="53"/>
      <c r="N103" s="53"/>
      <c r="O103" s="53"/>
      <c r="P103" s="53"/>
      <c r="Q103" s="53"/>
      <c r="R103" s="53"/>
      <c r="S103" s="134"/>
      <c r="T103" s="134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ht="12.75" customHeight="1">
      <c r="A104" s="134"/>
      <c r="B104" s="134"/>
      <c r="C104" s="134"/>
      <c r="D104" s="134"/>
      <c r="E104" s="134"/>
      <c r="F104" s="134"/>
      <c r="G104" s="134"/>
      <c r="H104" s="52"/>
      <c r="I104" s="52"/>
      <c r="J104" s="52"/>
      <c r="K104" s="134"/>
      <c r="L104" s="53"/>
      <c r="M104" s="53"/>
      <c r="N104" s="53"/>
      <c r="O104" s="53"/>
      <c r="P104" s="53"/>
      <c r="Q104" s="53"/>
      <c r="R104" s="53"/>
      <c r="S104" s="134"/>
      <c r="T104" s="134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ht="12.75" customHeight="1">
      <c r="A105" s="134"/>
      <c r="B105" s="134"/>
      <c r="C105" s="134"/>
      <c r="D105" s="134"/>
      <c r="E105" s="134"/>
      <c r="F105" s="134"/>
      <c r="G105" s="134"/>
      <c r="H105" s="52"/>
      <c r="I105" s="52"/>
      <c r="J105" s="52"/>
      <c r="K105" s="134"/>
      <c r="L105" s="53"/>
      <c r="M105" s="53"/>
      <c r="N105" s="53"/>
      <c r="O105" s="53"/>
      <c r="P105" s="53"/>
      <c r="Q105" s="53"/>
      <c r="R105" s="53"/>
      <c r="S105" s="134"/>
      <c r="T105" s="134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ht="12.75" customHeight="1">
      <c r="A106" s="134"/>
      <c r="B106" s="134"/>
      <c r="C106" s="134"/>
      <c r="D106" s="134"/>
      <c r="E106" s="134"/>
      <c r="F106" s="134"/>
      <c r="G106" s="134"/>
      <c r="H106" s="52"/>
      <c r="I106" s="52"/>
      <c r="J106" s="52"/>
      <c r="K106" s="134"/>
      <c r="L106" s="53"/>
      <c r="M106" s="53"/>
      <c r="N106" s="53"/>
      <c r="O106" s="53"/>
      <c r="P106" s="53"/>
      <c r="Q106" s="53"/>
      <c r="R106" s="53"/>
      <c r="S106" s="134"/>
      <c r="T106" s="134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ht="12.75" customHeight="1">
      <c r="A107" s="134"/>
      <c r="B107" s="134"/>
      <c r="C107" s="134"/>
      <c r="D107" s="134"/>
      <c r="E107" s="134"/>
      <c r="F107" s="134"/>
      <c r="G107" s="134"/>
      <c r="H107" s="52"/>
      <c r="I107" s="52"/>
      <c r="J107" s="52"/>
      <c r="K107" s="134"/>
      <c r="L107" s="53"/>
      <c r="M107" s="53"/>
      <c r="N107" s="53"/>
      <c r="O107" s="53"/>
      <c r="P107" s="53"/>
      <c r="Q107" s="53"/>
      <c r="R107" s="53"/>
      <c r="S107" s="134"/>
      <c r="T107" s="134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ht="12.75" customHeight="1">
      <c r="A108" s="134"/>
      <c r="B108" s="134"/>
      <c r="C108" s="134"/>
      <c r="D108" s="134"/>
      <c r="E108" s="134"/>
      <c r="F108" s="134"/>
      <c r="G108" s="134"/>
      <c r="H108" s="52"/>
      <c r="I108" s="52"/>
      <c r="J108" s="52"/>
      <c r="K108" s="134"/>
      <c r="L108" s="53"/>
      <c r="M108" s="53"/>
      <c r="N108" s="53"/>
      <c r="O108" s="53"/>
      <c r="P108" s="53"/>
      <c r="Q108" s="53"/>
      <c r="R108" s="53"/>
      <c r="S108" s="134"/>
      <c r="T108" s="134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ht="12.75" customHeight="1">
      <c r="A109" s="134"/>
      <c r="B109" s="134"/>
      <c r="C109" s="134"/>
      <c r="D109" s="134"/>
      <c r="E109" s="134"/>
      <c r="F109" s="134"/>
      <c r="G109" s="134"/>
      <c r="H109" s="52"/>
      <c r="I109" s="52"/>
      <c r="J109" s="52"/>
      <c r="K109" s="134"/>
      <c r="L109" s="53"/>
      <c r="M109" s="53"/>
      <c r="N109" s="53"/>
      <c r="O109" s="53"/>
      <c r="P109" s="53"/>
      <c r="Q109" s="53"/>
      <c r="R109" s="53"/>
      <c r="S109" s="134"/>
      <c r="T109" s="134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ht="12.75" customHeight="1">
      <c r="A110" s="134"/>
      <c r="B110" s="134"/>
      <c r="C110" s="134"/>
      <c r="D110" s="134"/>
      <c r="E110" s="134"/>
      <c r="F110" s="134"/>
      <c r="G110" s="134"/>
      <c r="H110" s="52"/>
      <c r="I110" s="52"/>
      <c r="J110" s="52"/>
      <c r="K110" s="134"/>
      <c r="L110" s="53"/>
      <c r="M110" s="53"/>
      <c r="N110" s="53"/>
      <c r="O110" s="53"/>
      <c r="P110" s="53"/>
      <c r="Q110" s="53"/>
      <c r="R110" s="53"/>
      <c r="S110" s="134"/>
      <c r="T110" s="134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ht="12.75" customHeight="1">
      <c r="A111" s="134"/>
      <c r="B111" s="134"/>
      <c r="C111" s="134"/>
      <c r="D111" s="134"/>
      <c r="E111" s="134"/>
      <c r="F111" s="134"/>
      <c r="G111" s="134"/>
      <c r="H111" s="52"/>
      <c r="I111" s="52"/>
      <c r="J111" s="52"/>
      <c r="K111" s="134"/>
      <c r="L111" s="53"/>
      <c r="M111" s="53"/>
      <c r="N111" s="53"/>
      <c r="O111" s="53"/>
      <c r="P111" s="53"/>
      <c r="Q111" s="53"/>
      <c r="R111" s="53"/>
      <c r="S111" s="134"/>
      <c r="T111" s="134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ht="12.75" customHeight="1">
      <c r="A112" s="134"/>
      <c r="B112" s="134"/>
      <c r="C112" s="134"/>
      <c r="D112" s="134"/>
      <c r="E112" s="134"/>
      <c r="F112" s="134"/>
      <c r="G112" s="134"/>
      <c r="H112" s="52"/>
      <c r="I112" s="52"/>
      <c r="J112" s="52"/>
      <c r="K112" s="134"/>
      <c r="L112" s="53"/>
      <c r="M112" s="53"/>
      <c r="N112" s="53"/>
      <c r="O112" s="53"/>
      <c r="P112" s="53"/>
      <c r="Q112" s="53"/>
      <c r="R112" s="53"/>
      <c r="S112" s="134"/>
      <c r="T112" s="134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ht="12.75" customHeight="1">
      <c r="A113" s="134"/>
      <c r="B113" s="134"/>
      <c r="C113" s="134"/>
      <c r="D113" s="134"/>
      <c r="E113" s="134"/>
      <c r="F113" s="134"/>
      <c r="G113" s="134"/>
      <c r="H113" s="52"/>
      <c r="I113" s="52"/>
      <c r="J113" s="52"/>
      <c r="K113" s="134"/>
      <c r="L113" s="53"/>
      <c r="M113" s="53"/>
      <c r="N113" s="53"/>
      <c r="O113" s="53"/>
      <c r="P113" s="53"/>
      <c r="Q113" s="53"/>
      <c r="R113" s="53"/>
      <c r="S113" s="134"/>
      <c r="T113" s="134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ht="12.75" customHeight="1">
      <c r="A114" s="134"/>
      <c r="B114" s="134"/>
      <c r="C114" s="134"/>
      <c r="D114" s="134"/>
      <c r="E114" s="134"/>
      <c r="F114" s="134"/>
      <c r="G114" s="134"/>
      <c r="H114" s="52"/>
      <c r="I114" s="52"/>
      <c r="J114" s="52"/>
      <c r="K114" s="134"/>
      <c r="L114" s="53"/>
      <c r="M114" s="53"/>
      <c r="N114" s="53"/>
      <c r="O114" s="53"/>
      <c r="P114" s="53"/>
      <c r="Q114" s="53"/>
      <c r="R114" s="53"/>
      <c r="S114" s="134"/>
      <c r="T114" s="134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ht="12.75" customHeight="1">
      <c r="A115" s="134"/>
      <c r="B115" s="134"/>
      <c r="C115" s="134"/>
      <c r="D115" s="134"/>
      <c r="E115" s="134"/>
      <c r="F115" s="134"/>
      <c r="G115" s="134"/>
      <c r="H115" s="52"/>
      <c r="I115" s="52"/>
      <c r="J115" s="52"/>
      <c r="K115" s="134"/>
      <c r="L115" s="53"/>
      <c r="M115" s="53"/>
      <c r="N115" s="53"/>
      <c r="O115" s="53"/>
      <c r="P115" s="53"/>
      <c r="Q115" s="53"/>
      <c r="R115" s="53"/>
      <c r="S115" s="134"/>
      <c r="T115" s="134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ht="12.75" customHeight="1">
      <c r="A116" s="134"/>
      <c r="B116" s="134"/>
      <c r="C116" s="134"/>
      <c r="D116" s="134"/>
      <c r="E116" s="134"/>
      <c r="F116" s="134"/>
      <c r="G116" s="134"/>
      <c r="H116" s="52"/>
      <c r="I116" s="52"/>
      <c r="J116" s="52"/>
      <c r="K116" s="134"/>
      <c r="L116" s="53"/>
      <c r="M116" s="53"/>
      <c r="N116" s="53"/>
      <c r="O116" s="53"/>
      <c r="P116" s="53"/>
      <c r="Q116" s="53"/>
      <c r="R116" s="53"/>
      <c r="S116" s="134"/>
      <c r="T116" s="134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ht="12.75" customHeight="1">
      <c r="A117" s="134"/>
      <c r="B117" s="134"/>
      <c r="C117" s="134"/>
      <c r="D117" s="134"/>
      <c r="E117" s="134"/>
      <c r="F117" s="134"/>
      <c r="G117" s="134"/>
      <c r="H117" s="52"/>
      <c r="I117" s="52"/>
      <c r="J117" s="52"/>
      <c r="K117" s="134"/>
      <c r="L117" s="53"/>
      <c r="M117" s="53"/>
      <c r="N117" s="53"/>
      <c r="O117" s="53"/>
      <c r="P117" s="53"/>
      <c r="Q117" s="53"/>
      <c r="R117" s="53"/>
      <c r="S117" s="134"/>
      <c r="T117" s="134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ht="12.75" customHeight="1">
      <c r="A118" s="134"/>
      <c r="B118" s="134"/>
      <c r="C118" s="134"/>
      <c r="D118" s="134"/>
      <c r="E118" s="134"/>
      <c r="F118" s="134"/>
      <c r="G118" s="134"/>
      <c r="H118" s="52"/>
      <c r="I118" s="52"/>
      <c r="J118" s="52"/>
      <c r="K118" s="134"/>
      <c r="L118" s="53"/>
      <c r="M118" s="53"/>
      <c r="N118" s="53"/>
      <c r="O118" s="53"/>
      <c r="P118" s="53"/>
      <c r="Q118" s="53"/>
      <c r="R118" s="53"/>
      <c r="S118" s="134"/>
      <c r="T118" s="134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ht="12.75" customHeight="1">
      <c r="A119" s="134"/>
      <c r="B119" s="134"/>
      <c r="C119" s="134"/>
      <c r="D119" s="134"/>
      <c r="E119" s="134"/>
      <c r="F119" s="134"/>
      <c r="G119" s="134"/>
      <c r="H119" s="52"/>
      <c r="I119" s="52"/>
      <c r="J119" s="52"/>
      <c r="K119" s="134"/>
      <c r="L119" s="53"/>
      <c r="M119" s="53"/>
      <c r="N119" s="53"/>
      <c r="O119" s="53"/>
      <c r="P119" s="53"/>
      <c r="Q119" s="53"/>
      <c r="R119" s="53"/>
      <c r="S119" s="134"/>
      <c r="T119" s="134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ht="12.75" customHeight="1">
      <c r="A120" s="134"/>
      <c r="B120" s="134"/>
      <c r="C120" s="134"/>
      <c r="D120" s="134"/>
      <c r="E120" s="134"/>
      <c r="F120" s="134"/>
      <c r="G120" s="134"/>
      <c r="H120" s="52"/>
      <c r="I120" s="52"/>
      <c r="J120" s="52"/>
      <c r="K120" s="134"/>
      <c r="L120" s="53"/>
      <c r="M120" s="53"/>
      <c r="N120" s="53"/>
      <c r="O120" s="53"/>
      <c r="P120" s="53"/>
      <c r="Q120" s="53"/>
      <c r="R120" s="53"/>
      <c r="S120" s="134"/>
      <c r="T120" s="134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ht="12.75" customHeight="1">
      <c r="A121" s="134"/>
      <c r="B121" s="134"/>
      <c r="C121" s="134"/>
      <c r="D121" s="134"/>
      <c r="E121" s="134"/>
      <c r="F121" s="134"/>
      <c r="G121" s="134"/>
      <c r="H121" s="52"/>
      <c r="I121" s="52"/>
      <c r="J121" s="52"/>
      <c r="K121" s="134"/>
      <c r="L121" s="53"/>
      <c r="M121" s="53"/>
      <c r="N121" s="53"/>
      <c r="O121" s="53"/>
      <c r="P121" s="53"/>
      <c r="Q121" s="53"/>
      <c r="R121" s="53"/>
      <c r="S121" s="134"/>
      <c r="T121" s="134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ht="12.75" customHeight="1">
      <c r="A122" s="134"/>
      <c r="B122" s="134"/>
      <c r="C122" s="134"/>
      <c r="D122" s="134"/>
      <c r="E122" s="134"/>
      <c r="F122" s="134"/>
      <c r="G122" s="134"/>
      <c r="H122" s="52"/>
      <c r="I122" s="52"/>
      <c r="J122" s="52"/>
      <c r="K122" s="134"/>
      <c r="L122" s="53"/>
      <c r="M122" s="53"/>
      <c r="N122" s="53"/>
      <c r="O122" s="53"/>
      <c r="P122" s="53"/>
      <c r="Q122" s="53"/>
      <c r="R122" s="53"/>
      <c r="S122" s="134"/>
      <c r="T122" s="134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ht="12.75" customHeight="1">
      <c r="A123" s="134"/>
      <c r="B123" s="134"/>
      <c r="C123" s="134"/>
      <c r="D123" s="134"/>
      <c r="E123" s="134"/>
      <c r="F123" s="134"/>
      <c r="G123" s="134"/>
      <c r="H123" s="52"/>
      <c r="I123" s="52"/>
      <c r="J123" s="52"/>
      <c r="K123" s="134"/>
      <c r="L123" s="53"/>
      <c r="M123" s="53"/>
      <c r="N123" s="53"/>
      <c r="O123" s="53"/>
      <c r="P123" s="53"/>
      <c r="Q123" s="53"/>
      <c r="R123" s="53"/>
      <c r="S123" s="134"/>
      <c r="T123" s="134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ht="12.75" customHeight="1">
      <c r="A124" s="134"/>
      <c r="B124" s="134"/>
      <c r="C124" s="134"/>
      <c r="D124" s="134"/>
      <c r="E124" s="134"/>
      <c r="F124" s="134"/>
      <c r="G124" s="134"/>
      <c r="H124" s="52"/>
      <c r="I124" s="52"/>
      <c r="J124" s="52"/>
      <c r="K124" s="134"/>
      <c r="L124" s="53"/>
      <c r="M124" s="53"/>
      <c r="N124" s="53"/>
      <c r="O124" s="53"/>
      <c r="P124" s="53"/>
      <c r="Q124" s="53"/>
      <c r="R124" s="53"/>
      <c r="S124" s="134"/>
      <c r="T124" s="134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ht="12.75" customHeight="1">
      <c r="A125" s="134"/>
      <c r="B125" s="134"/>
      <c r="C125" s="134"/>
      <c r="D125" s="134"/>
      <c r="E125" s="134"/>
      <c r="F125" s="134"/>
      <c r="G125" s="134"/>
      <c r="H125" s="52"/>
      <c r="I125" s="52"/>
      <c r="J125" s="52"/>
      <c r="K125" s="134"/>
      <c r="L125" s="53"/>
      <c r="M125" s="53"/>
      <c r="N125" s="53"/>
      <c r="O125" s="53"/>
      <c r="P125" s="53"/>
      <c r="Q125" s="53"/>
      <c r="R125" s="53"/>
      <c r="S125" s="134"/>
      <c r="T125" s="134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ht="12.75" customHeight="1">
      <c r="A126" s="134"/>
      <c r="B126" s="134"/>
      <c r="C126" s="134"/>
      <c r="D126" s="134"/>
      <c r="E126" s="134"/>
      <c r="F126" s="134"/>
      <c r="G126" s="134"/>
      <c r="H126" s="52"/>
      <c r="I126" s="52"/>
      <c r="J126" s="52"/>
      <c r="K126" s="134"/>
      <c r="L126" s="53"/>
      <c r="M126" s="53"/>
      <c r="N126" s="53"/>
      <c r="O126" s="53"/>
      <c r="P126" s="53"/>
      <c r="Q126" s="53"/>
      <c r="R126" s="53"/>
      <c r="S126" s="134"/>
      <c r="T126" s="134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ht="12.75" customHeight="1">
      <c r="A127" s="134"/>
      <c r="B127" s="134"/>
      <c r="C127" s="134"/>
      <c r="D127" s="134"/>
      <c r="E127" s="134"/>
      <c r="F127" s="134"/>
      <c r="G127" s="134"/>
      <c r="H127" s="52"/>
      <c r="I127" s="52"/>
      <c r="J127" s="52"/>
      <c r="K127" s="134"/>
      <c r="L127" s="53"/>
      <c r="M127" s="53"/>
      <c r="N127" s="53"/>
      <c r="O127" s="53"/>
      <c r="P127" s="53"/>
      <c r="Q127" s="53"/>
      <c r="R127" s="53"/>
      <c r="S127" s="134"/>
      <c r="T127" s="134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ht="12.75" customHeight="1">
      <c r="A128" s="134"/>
      <c r="B128" s="134"/>
      <c r="C128" s="134"/>
      <c r="D128" s="134"/>
      <c r="E128" s="134"/>
      <c r="F128" s="134"/>
      <c r="G128" s="134"/>
      <c r="H128" s="52"/>
      <c r="I128" s="52"/>
      <c r="J128" s="52"/>
      <c r="K128" s="134"/>
      <c r="L128" s="53"/>
      <c r="M128" s="53"/>
      <c r="N128" s="53"/>
      <c r="O128" s="53"/>
      <c r="P128" s="53"/>
      <c r="Q128" s="53"/>
      <c r="R128" s="53"/>
      <c r="S128" s="134"/>
      <c r="T128" s="134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ht="12.75" customHeight="1">
      <c r="A129" s="134"/>
      <c r="B129" s="134"/>
      <c r="C129" s="134"/>
      <c r="D129" s="134"/>
      <c r="E129" s="134"/>
      <c r="F129" s="134"/>
      <c r="G129" s="134"/>
      <c r="H129" s="52"/>
      <c r="I129" s="52"/>
      <c r="J129" s="52"/>
      <c r="K129" s="134"/>
      <c r="L129" s="53"/>
      <c r="M129" s="53"/>
      <c r="N129" s="53"/>
      <c r="O129" s="53"/>
      <c r="P129" s="53"/>
      <c r="Q129" s="53"/>
      <c r="R129" s="53"/>
      <c r="S129" s="134"/>
      <c r="T129" s="134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ht="12.75" customHeight="1">
      <c r="A130" s="134"/>
      <c r="B130" s="134"/>
      <c r="C130" s="134"/>
      <c r="D130" s="134"/>
      <c r="E130" s="134"/>
      <c r="F130" s="134"/>
      <c r="G130" s="134"/>
      <c r="H130" s="52"/>
      <c r="I130" s="52"/>
      <c r="J130" s="52"/>
      <c r="K130" s="134"/>
      <c r="L130" s="53"/>
      <c r="M130" s="53"/>
      <c r="N130" s="53"/>
      <c r="O130" s="53"/>
      <c r="P130" s="53"/>
      <c r="Q130" s="53"/>
      <c r="R130" s="53"/>
      <c r="S130" s="134"/>
      <c r="T130" s="134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ht="12.75" customHeight="1">
      <c r="A131" s="134"/>
      <c r="B131" s="134"/>
      <c r="C131" s="134"/>
      <c r="D131" s="134"/>
      <c r="E131" s="134"/>
      <c r="F131" s="134"/>
      <c r="G131" s="134"/>
      <c r="H131" s="52"/>
      <c r="I131" s="52"/>
      <c r="J131" s="52"/>
      <c r="K131" s="134"/>
      <c r="L131" s="53"/>
      <c r="M131" s="53"/>
      <c r="N131" s="53"/>
      <c r="O131" s="53"/>
      <c r="P131" s="53"/>
      <c r="Q131" s="53"/>
      <c r="R131" s="53"/>
      <c r="S131" s="134"/>
      <c r="T131" s="134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ht="12.75" customHeight="1">
      <c r="A132" s="134"/>
      <c r="B132" s="134"/>
      <c r="C132" s="134"/>
      <c r="D132" s="134"/>
      <c r="E132" s="134"/>
      <c r="F132" s="134"/>
      <c r="G132" s="134"/>
      <c r="H132" s="52"/>
      <c r="I132" s="52"/>
      <c r="J132" s="52"/>
      <c r="K132" s="134"/>
      <c r="L132" s="53"/>
      <c r="M132" s="53"/>
      <c r="N132" s="53"/>
      <c r="O132" s="53"/>
      <c r="P132" s="53"/>
      <c r="Q132" s="53"/>
      <c r="R132" s="53"/>
      <c r="S132" s="134"/>
      <c r="T132" s="134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ht="12.75" customHeight="1">
      <c r="A133" s="134"/>
      <c r="B133" s="134"/>
      <c r="C133" s="134"/>
      <c r="D133" s="134"/>
      <c r="E133" s="134"/>
      <c r="F133" s="134"/>
      <c r="G133" s="134"/>
      <c r="H133" s="52"/>
      <c r="I133" s="52"/>
      <c r="J133" s="52"/>
      <c r="K133" s="134"/>
      <c r="L133" s="53"/>
      <c r="M133" s="53"/>
      <c r="N133" s="53"/>
      <c r="O133" s="53"/>
      <c r="P133" s="53"/>
      <c r="Q133" s="53"/>
      <c r="R133" s="53"/>
      <c r="S133" s="134"/>
      <c r="T133" s="134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ht="12.75" customHeight="1">
      <c r="A134" s="134"/>
      <c r="B134" s="134"/>
      <c r="C134" s="134"/>
      <c r="D134" s="134"/>
      <c r="E134" s="134"/>
      <c r="F134" s="134"/>
      <c r="G134" s="134"/>
      <c r="H134" s="52"/>
      <c r="I134" s="52"/>
      <c r="J134" s="52"/>
      <c r="K134" s="134"/>
      <c r="L134" s="53"/>
      <c r="M134" s="53"/>
      <c r="N134" s="53"/>
      <c r="O134" s="53"/>
      <c r="P134" s="53"/>
      <c r="Q134" s="53"/>
      <c r="R134" s="53"/>
      <c r="S134" s="134"/>
      <c r="T134" s="134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ht="12.75" customHeight="1">
      <c r="A135" s="134"/>
      <c r="B135" s="134"/>
      <c r="C135" s="134"/>
      <c r="D135" s="134"/>
      <c r="E135" s="134"/>
      <c r="F135" s="134"/>
      <c r="G135" s="134"/>
      <c r="H135" s="52"/>
      <c r="I135" s="52"/>
      <c r="J135" s="52"/>
      <c r="K135" s="134"/>
      <c r="L135" s="53"/>
      <c r="M135" s="53"/>
      <c r="N135" s="53"/>
      <c r="O135" s="53"/>
      <c r="P135" s="53"/>
      <c r="Q135" s="53"/>
      <c r="R135" s="53"/>
      <c r="S135" s="134"/>
      <c r="T135" s="134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ht="12.75" customHeight="1">
      <c r="A136" s="134"/>
      <c r="B136" s="134"/>
      <c r="C136" s="134"/>
      <c r="D136" s="134"/>
      <c r="E136" s="134"/>
      <c r="F136" s="134"/>
      <c r="G136" s="134"/>
      <c r="H136" s="52"/>
      <c r="I136" s="52"/>
      <c r="J136" s="52"/>
      <c r="K136" s="134"/>
      <c r="L136" s="53"/>
      <c r="M136" s="53"/>
      <c r="N136" s="53"/>
      <c r="O136" s="53"/>
      <c r="P136" s="53"/>
      <c r="Q136" s="53"/>
      <c r="R136" s="53"/>
      <c r="S136" s="134"/>
      <c r="T136" s="134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ht="12.75" customHeight="1">
      <c r="A137" s="134"/>
      <c r="B137" s="134"/>
      <c r="C137" s="134"/>
      <c r="D137" s="134"/>
      <c r="E137" s="134"/>
      <c r="F137" s="134"/>
      <c r="G137" s="134"/>
      <c r="H137" s="52"/>
      <c r="I137" s="52"/>
      <c r="J137" s="52"/>
      <c r="K137" s="134"/>
      <c r="L137" s="53"/>
      <c r="M137" s="53"/>
      <c r="N137" s="53"/>
      <c r="O137" s="53"/>
      <c r="P137" s="53"/>
      <c r="Q137" s="53"/>
      <c r="R137" s="53"/>
      <c r="S137" s="134"/>
      <c r="T137" s="134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ht="12.75" customHeight="1">
      <c r="A138" s="134"/>
      <c r="B138" s="134"/>
      <c r="C138" s="134"/>
      <c r="D138" s="134"/>
      <c r="E138" s="134"/>
      <c r="F138" s="134"/>
      <c r="G138" s="134"/>
      <c r="H138" s="52"/>
      <c r="I138" s="52"/>
      <c r="J138" s="52"/>
      <c r="K138" s="134"/>
      <c r="L138" s="53"/>
      <c r="M138" s="53"/>
      <c r="N138" s="53"/>
      <c r="O138" s="53"/>
      <c r="P138" s="53"/>
      <c r="Q138" s="53"/>
      <c r="R138" s="53"/>
      <c r="S138" s="134"/>
      <c r="T138" s="134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ht="12.75" customHeight="1">
      <c r="A139" s="134"/>
      <c r="B139" s="134"/>
      <c r="C139" s="134"/>
      <c r="D139" s="134"/>
      <c r="E139" s="134"/>
      <c r="F139" s="134"/>
      <c r="G139" s="134"/>
      <c r="H139" s="52"/>
      <c r="I139" s="52"/>
      <c r="J139" s="52"/>
      <c r="K139" s="134"/>
      <c r="L139" s="53"/>
      <c r="M139" s="53"/>
      <c r="N139" s="53"/>
      <c r="O139" s="53"/>
      <c r="P139" s="53"/>
      <c r="Q139" s="53"/>
      <c r="R139" s="53"/>
      <c r="S139" s="134"/>
      <c r="T139" s="134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ht="12.75" customHeight="1">
      <c r="A140" s="134"/>
      <c r="B140" s="134"/>
      <c r="C140" s="134"/>
      <c r="D140" s="134"/>
      <c r="E140" s="134"/>
      <c r="F140" s="134"/>
      <c r="G140" s="134"/>
      <c r="H140" s="52"/>
      <c r="I140" s="52"/>
      <c r="J140" s="52"/>
      <c r="K140" s="134"/>
      <c r="L140" s="53"/>
      <c r="M140" s="53"/>
      <c r="N140" s="53"/>
      <c r="O140" s="53"/>
      <c r="P140" s="53"/>
      <c r="Q140" s="53"/>
      <c r="R140" s="53"/>
      <c r="S140" s="134"/>
      <c r="T140" s="134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ht="12.75" customHeight="1">
      <c r="A141" s="134"/>
      <c r="B141" s="134"/>
      <c r="C141" s="134"/>
      <c r="D141" s="134"/>
      <c r="E141" s="134"/>
      <c r="F141" s="134"/>
      <c r="G141" s="134"/>
      <c r="H141" s="52"/>
      <c r="I141" s="52"/>
      <c r="J141" s="52"/>
      <c r="K141" s="134"/>
      <c r="L141" s="53"/>
      <c r="M141" s="53"/>
      <c r="N141" s="53"/>
      <c r="O141" s="53"/>
      <c r="P141" s="53"/>
      <c r="Q141" s="53"/>
      <c r="R141" s="53"/>
      <c r="S141" s="134"/>
      <c r="T141" s="134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ht="12.75" customHeight="1">
      <c r="A142" s="134"/>
      <c r="B142" s="134"/>
      <c r="C142" s="134"/>
      <c r="D142" s="134"/>
      <c r="E142" s="134"/>
      <c r="F142" s="134"/>
      <c r="G142" s="134"/>
      <c r="H142" s="52"/>
      <c r="I142" s="52"/>
      <c r="J142" s="52"/>
      <c r="K142" s="134"/>
      <c r="L142" s="53"/>
      <c r="M142" s="53"/>
      <c r="N142" s="53"/>
      <c r="O142" s="53"/>
      <c r="P142" s="53"/>
      <c r="Q142" s="53"/>
      <c r="R142" s="53"/>
      <c r="S142" s="134"/>
      <c r="T142" s="134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ht="12.75" customHeight="1">
      <c r="A143" s="134"/>
      <c r="B143" s="134"/>
      <c r="C143" s="134"/>
      <c r="D143" s="134"/>
      <c r="E143" s="134"/>
      <c r="F143" s="134"/>
      <c r="G143" s="134"/>
      <c r="H143" s="52"/>
      <c r="I143" s="52"/>
      <c r="J143" s="52"/>
      <c r="K143" s="134"/>
      <c r="L143" s="53"/>
      <c r="M143" s="53"/>
      <c r="N143" s="53"/>
      <c r="O143" s="53"/>
      <c r="P143" s="53"/>
      <c r="Q143" s="53"/>
      <c r="R143" s="53"/>
      <c r="S143" s="134"/>
      <c r="T143" s="134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ht="12.75" customHeight="1">
      <c r="A144" s="134"/>
      <c r="B144" s="134"/>
      <c r="C144" s="134"/>
      <c r="D144" s="134"/>
      <c r="E144" s="134"/>
      <c r="F144" s="134"/>
      <c r="G144" s="134"/>
      <c r="H144" s="52"/>
      <c r="I144" s="52"/>
      <c r="J144" s="52"/>
      <c r="K144" s="134"/>
      <c r="L144" s="53"/>
      <c r="M144" s="53"/>
      <c r="N144" s="53"/>
      <c r="O144" s="53"/>
      <c r="P144" s="53"/>
      <c r="Q144" s="53"/>
      <c r="R144" s="53"/>
      <c r="S144" s="134"/>
      <c r="T144" s="134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ht="12.75" customHeight="1">
      <c r="A145" s="134"/>
      <c r="B145" s="134"/>
      <c r="C145" s="134"/>
      <c r="D145" s="134"/>
      <c r="E145" s="134"/>
      <c r="F145" s="134"/>
      <c r="G145" s="134"/>
      <c r="H145" s="52"/>
      <c r="I145" s="52"/>
      <c r="J145" s="52"/>
      <c r="K145" s="134"/>
      <c r="L145" s="53"/>
      <c r="M145" s="53"/>
      <c r="N145" s="53"/>
      <c r="O145" s="53"/>
      <c r="P145" s="53"/>
      <c r="Q145" s="53"/>
      <c r="R145" s="53"/>
      <c r="S145" s="134"/>
      <c r="T145" s="134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ht="12.75" customHeight="1">
      <c r="A146" s="134"/>
      <c r="B146" s="134"/>
      <c r="C146" s="134"/>
      <c r="D146" s="134"/>
      <c r="E146" s="134"/>
      <c r="F146" s="134"/>
      <c r="G146" s="134"/>
      <c r="H146" s="52"/>
      <c r="I146" s="52"/>
      <c r="J146" s="52"/>
      <c r="K146" s="134"/>
      <c r="L146" s="53"/>
      <c r="M146" s="53"/>
      <c r="N146" s="53"/>
      <c r="O146" s="53"/>
      <c r="P146" s="53"/>
      <c r="Q146" s="53"/>
      <c r="R146" s="53"/>
      <c r="S146" s="134"/>
      <c r="T146" s="134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ht="12.75" customHeight="1">
      <c r="A147" s="134"/>
      <c r="B147" s="134"/>
      <c r="C147" s="134"/>
      <c r="D147" s="134"/>
      <c r="E147" s="134"/>
      <c r="F147" s="134"/>
      <c r="G147" s="134"/>
      <c r="H147" s="52"/>
      <c r="I147" s="52"/>
      <c r="J147" s="52"/>
      <c r="K147" s="134"/>
      <c r="L147" s="53"/>
      <c r="M147" s="53"/>
      <c r="N147" s="53"/>
      <c r="O147" s="53"/>
      <c r="P147" s="53"/>
      <c r="Q147" s="53"/>
      <c r="R147" s="53"/>
      <c r="S147" s="134"/>
      <c r="T147" s="134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ht="12.75" customHeight="1">
      <c r="A148" s="134"/>
      <c r="B148" s="134"/>
      <c r="C148" s="134"/>
      <c r="D148" s="134"/>
      <c r="E148" s="134"/>
      <c r="F148" s="134"/>
      <c r="G148" s="134"/>
      <c r="H148" s="52"/>
      <c r="I148" s="52"/>
      <c r="J148" s="52"/>
      <c r="K148" s="134"/>
      <c r="L148" s="53"/>
      <c r="M148" s="53"/>
      <c r="N148" s="53"/>
      <c r="O148" s="53"/>
      <c r="P148" s="53"/>
      <c r="Q148" s="53"/>
      <c r="R148" s="53"/>
      <c r="S148" s="134"/>
      <c r="T148" s="134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ht="12.75" customHeight="1">
      <c r="A149" s="134"/>
      <c r="B149" s="134"/>
      <c r="C149" s="134"/>
      <c r="D149" s="134"/>
      <c r="E149" s="134"/>
      <c r="F149" s="134"/>
      <c r="G149" s="134"/>
      <c r="H149" s="52"/>
      <c r="I149" s="52"/>
      <c r="J149" s="52"/>
      <c r="K149" s="134"/>
      <c r="L149" s="53"/>
      <c r="M149" s="53"/>
      <c r="N149" s="53"/>
      <c r="O149" s="53"/>
      <c r="P149" s="53"/>
      <c r="Q149" s="53"/>
      <c r="R149" s="53"/>
      <c r="S149" s="134"/>
      <c r="T149" s="134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ht="12.75" customHeight="1">
      <c r="A150" s="134"/>
      <c r="B150" s="134"/>
      <c r="C150" s="134"/>
      <c r="D150" s="134"/>
      <c r="E150" s="134"/>
      <c r="F150" s="134"/>
      <c r="G150" s="134"/>
      <c r="H150" s="52"/>
      <c r="I150" s="52"/>
      <c r="J150" s="52"/>
      <c r="K150" s="134"/>
      <c r="L150" s="53"/>
      <c r="M150" s="53"/>
      <c r="N150" s="53"/>
      <c r="O150" s="53"/>
      <c r="P150" s="53"/>
      <c r="Q150" s="53"/>
      <c r="R150" s="53"/>
      <c r="S150" s="134"/>
      <c r="T150" s="134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ht="12.75" customHeight="1">
      <c r="A151" s="134"/>
      <c r="B151" s="134"/>
      <c r="C151" s="134"/>
      <c r="D151" s="134"/>
      <c r="E151" s="134"/>
      <c r="F151" s="134"/>
      <c r="G151" s="134"/>
      <c r="H151" s="52"/>
      <c r="I151" s="52"/>
      <c r="J151" s="52"/>
      <c r="K151" s="134"/>
      <c r="L151" s="53"/>
      <c r="M151" s="53"/>
      <c r="N151" s="53"/>
      <c r="O151" s="53"/>
      <c r="P151" s="53"/>
      <c r="Q151" s="53"/>
      <c r="R151" s="53"/>
      <c r="S151" s="134"/>
      <c r="T151" s="134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ht="12.75" customHeight="1">
      <c r="A152" s="134"/>
      <c r="B152" s="134"/>
      <c r="C152" s="134"/>
      <c r="D152" s="134"/>
      <c r="E152" s="134"/>
      <c r="F152" s="134"/>
      <c r="G152" s="134"/>
      <c r="H152" s="52"/>
      <c r="I152" s="52"/>
      <c r="J152" s="52"/>
      <c r="K152" s="134"/>
      <c r="L152" s="53"/>
      <c r="M152" s="53"/>
      <c r="N152" s="53"/>
      <c r="O152" s="53"/>
      <c r="P152" s="53"/>
      <c r="Q152" s="53"/>
      <c r="R152" s="53"/>
      <c r="S152" s="134"/>
      <c r="T152" s="134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ht="12.75" customHeight="1">
      <c r="A153" s="134"/>
      <c r="B153" s="134"/>
      <c r="C153" s="134"/>
      <c r="D153" s="134"/>
      <c r="E153" s="134"/>
      <c r="F153" s="134"/>
      <c r="G153" s="134"/>
      <c r="H153" s="52"/>
      <c r="I153" s="52"/>
      <c r="J153" s="52"/>
      <c r="K153" s="134"/>
      <c r="L153" s="53"/>
      <c r="M153" s="53"/>
      <c r="N153" s="53"/>
      <c r="O153" s="53"/>
      <c r="P153" s="53"/>
      <c r="Q153" s="53"/>
      <c r="R153" s="53"/>
      <c r="S153" s="134"/>
      <c r="T153" s="134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ht="12.75" customHeight="1">
      <c r="A154" s="134"/>
      <c r="B154" s="134"/>
      <c r="C154" s="134"/>
      <c r="D154" s="134"/>
      <c r="E154" s="134"/>
      <c r="F154" s="134"/>
      <c r="G154" s="134"/>
      <c r="H154" s="52"/>
      <c r="I154" s="52"/>
      <c r="J154" s="52"/>
      <c r="K154" s="134"/>
      <c r="L154" s="53"/>
      <c r="M154" s="53"/>
      <c r="N154" s="53"/>
      <c r="O154" s="53"/>
      <c r="P154" s="53"/>
      <c r="Q154" s="53"/>
      <c r="R154" s="53"/>
      <c r="S154" s="134"/>
      <c r="T154" s="134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ht="12.75" customHeight="1">
      <c r="A155" s="134"/>
      <c r="B155" s="134"/>
      <c r="C155" s="134"/>
      <c r="D155" s="134"/>
      <c r="E155" s="134"/>
      <c r="F155" s="134"/>
      <c r="G155" s="134"/>
      <c r="H155" s="52"/>
      <c r="I155" s="52"/>
      <c r="J155" s="52"/>
      <c r="K155" s="134"/>
      <c r="L155" s="53"/>
      <c r="M155" s="53"/>
      <c r="N155" s="53"/>
      <c r="O155" s="53"/>
      <c r="P155" s="53"/>
      <c r="Q155" s="53"/>
      <c r="R155" s="53"/>
      <c r="S155" s="134"/>
      <c r="T155" s="134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ht="12.75" customHeight="1">
      <c r="A156" s="134"/>
      <c r="B156" s="134"/>
      <c r="C156" s="134"/>
      <c r="D156" s="134"/>
      <c r="E156" s="134"/>
      <c r="F156" s="134"/>
      <c r="G156" s="134"/>
      <c r="H156" s="52"/>
      <c r="I156" s="52"/>
      <c r="J156" s="52"/>
      <c r="K156" s="134"/>
      <c r="L156" s="53"/>
      <c r="M156" s="53"/>
      <c r="N156" s="53"/>
      <c r="O156" s="53"/>
      <c r="P156" s="53"/>
      <c r="Q156" s="53"/>
      <c r="R156" s="53"/>
      <c r="S156" s="134"/>
      <c r="T156" s="134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ht="12.75" customHeight="1">
      <c r="A157" s="134"/>
      <c r="B157" s="134"/>
      <c r="C157" s="134"/>
      <c r="D157" s="134"/>
      <c r="E157" s="134"/>
      <c r="F157" s="134"/>
      <c r="G157" s="134"/>
      <c r="H157" s="52"/>
      <c r="I157" s="52"/>
      <c r="J157" s="52"/>
      <c r="K157" s="134"/>
      <c r="L157" s="53"/>
      <c r="M157" s="53"/>
      <c r="N157" s="53"/>
      <c r="O157" s="53"/>
      <c r="P157" s="53"/>
      <c r="Q157" s="53"/>
      <c r="R157" s="53"/>
      <c r="S157" s="134"/>
      <c r="T157" s="134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ht="12.75" customHeight="1">
      <c r="A158" s="134"/>
      <c r="B158" s="134"/>
      <c r="C158" s="134"/>
      <c r="D158" s="134"/>
      <c r="E158" s="134"/>
      <c r="F158" s="134"/>
      <c r="G158" s="134"/>
      <c r="H158" s="52"/>
      <c r="I158" s="52"/>
      <c r="J158" s="52"/>
      <c r="K158" s="134"/>
      <c r="L158" s="53"/>
      <c r="M158" s="53"/>
      <c r="N158" s="53"/>
      <c r="O158" s="53"/>
      <c r="P158" s="53"/>
      <c r="Q158" s="53"/>
      <c r="R158" s="53"/>
      <c r="S158" s="134"/>
      <c r="T158" s="134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ht="12.75" customHeight="1">
      <c r="A159" s="134"/>
      <c r="B159" s="134"/>
      <c r="C159" s="134"/>
      <c r="D159" s="134"/>
      <c r="E159" s="134"/>
      <c r="F159" s="134"/>
      <c r="G159" s="134"/>
      <c r="H159" s="52"/>
      <c r="I159" s="52"/>
      <c r="J159" s="52"/>
      <c r="K159" s="134"/>
      <c r="L159" s="53"/>
      <c r="M159" s="53"/>
      <c r="N159" s="53"/>
      <c r="O159" s="53"/>
      <c r="P159" s="53"/>
      <c r="Q159" s="53"/>
      <c r="R159" s="53"/>
      <c r="S159" s="134"/>
      <c r="T159" s="134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ht="12.75" customHeight="1">
      <c r="A160" s="134"/>
      <c r="B160" s="134"/>
      <c r="C160" s="134"/>
      <c r="D160" s="134"/>
      <c r="E160" s="134"/>
      <c r="F160" s="134"/>
      <c r="G160" s="134"/>
      <c r="H160" s="52"/>
      <c r="I160" s="52"/>
      <c r="J160" s="52"/>
      <c r="K160" s="134"/>
      <c r="L160" s="53"/>
      <c r="M160" s="53"/>
      <c r="N160" s="53"/>
      <c r="O160" s="53"/>
      <c r="P160" s="53"/>
      <c r="Q160" s="53"/>
      <c r="R160" s="53"/>
      <c r="S160" s="134"/>
      <c r="T160" s="134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ht="12.75" customHeight="1">
      <c r="A161" s="134"/>
      <c r="B161" s="134"/>
      <c r="C161" s="134"/>
      <c r="D161" s="134"/>
      <c r="E161" s="134"/>
      <c r="F161" s="134"/>
      <c r="G161" s="134"/>
      <c r="H161" s="52"/>
      <c r="I161" s="52"/>
      <c r="J161" s="52"/>
      <c r="K161" s="134"/>
      <c r="L161" s="53"/>
      <c r="M161" s="53"/>
      <c r="N161" s="53"/>
      <c r="O161" s="53"/>
      <c r="P161" s="53"/>
      <c r="Q161" s="53"/>
      <c r="R161" s="53"/>
      <c r="S161" s="134"/>
      <c r="T161" s="134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ht="12.75" customHeight="1">
      <c r="A162" s="134"/>
      <c r="B162" s="134"/>
      <c r="C162" s="134"/>
      <c r="D162" s="134"/>
      <c r="E162" s="134"/>
      <c r="F162" s="134"/>
      <c r="G162" s="134"/>
      <c r="H162" s="52"/>
      <c r="I162" s="52"/>
      <c r="J162" s="52"/>
      <c r="K162" s="134"/>
      <c r="L162" s="53"/>
      <c r="M162" s="53"/>
      <c r="N162" s="53"/>
      <c r="O162" s="53"/>
      <c r="P162" s="53"/>
      <c r="Q162" s="53"/>
      <c r="R162" s="53"/>
      <c r="S162" s="134"/>
      <c r="T162" s="134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ht="12.75" customHeight="1">
      <c r="A163" s="134"/>
      <c r="B163" s="134"/>
      <c r="C163" s="134"/>
      <c r="D163" s="134"/>
      <c r="E163" s="134"/>
      <c r="F163" s="134"/>
      <c r="G163" s="134"/>
      <c r="H163" s="52"/>
      <c r="I163" s="52"/>
      <c r="J163" s="52"/>
      <c r="K163" s="134"/>
      <c r="L163" s="53"/>
      <c r="M163" s="53"/>
      <c r="N163" s="53"/>
      <c r="O163" s="53"/>
      <c r="P163" s="53"/>
      <c r="Q163" s="53"/>
      <c r="R163" s="53"/>
      <c r="S163" s="134"/>
      <c r="T163" s="134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ht="12.75" customHeight="1">
      <c r="A164" s="134"/>
      <c r="B164" s="134"/>
      <c r="C164" s="134"/>
      <c r="D164" s="134"/>
      <c r="E164" s="134"/>
      <c r="F164" s="134"/>
      <c r="G164" s="134"/>
      <c r="H164" s="52"/>
      <c r="I164" s="52"/>
      <c r="J164" s="52"/>
      <c r="K164" s="134"/>
      <c r="L164" s="53"/>
      <c r="M164" s="53"/>
      <c r="N164" s="53"/>
      <c r="O164" s="53"/>
      <c r="P164" s="53"/>
      <c r="Q164" s="53"/>
      <c r="R164" s="53"/>
      <c r="S164" s="134"/>
      <c r="T164" s="134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ht="12.75" customHeight="1">
      <c r="A165" s="134"/>
      <c r="B165" s="134"/>
      <c r="C165" s="134"/>
      <c r="D165" s="134"/>
      <c r="E165" s="134"/>
      <c r="F165" s="134"/>
      <c r="G165" s="134"/>
      <c r="H165" s="52"/>
      <c r="I165" s="52"/>
      <c r="J165" s="52"/>
      <c r="K165" s="134"/>
      <c r="L165" s="53"/>
      <c r="M165" s="53"/>
      <c r="N165" s="53"/>
      <c r="O165" s="53"/>
      <c r="P165" s="53"/>
      <c r="Q165" s="53"/>
      <c r="R165" s="53"/>
      <c r="S165" s="134"/>
      <c r="T165" s="134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ht="12.75" customHeight="1">
      <c r="A166" s="134"/>
      <c r="B166" s="134"/>
      <c r="C166" s="134"/>
      <c r="D166" s="134"/>
      <c r="E166" s="134"/>
      <c r="F166" s="134"/>
      <c r="G166" s="134"/>
      <c r="H166" s="52"/>
      <c r="I166" s="52"/>
      <c r="J166" s="52"/>
      <c r="K166" s="134"/>
      <c r="L166" s="53"/>
      <c r="M166" s="53"/>
      <c r="N166" s="53"/>
      <c r="O166" s="53"/>
      <c r="P166" s="53"/>
      <c r="Q166" s="53"/>
      <c r="R166" s="53"/>
      <c r="S166" s="134"/>
      <c r="T166" s="134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ht="12.75" customHeight="1">
      <c r="A167" s="134"/>
      <c r="B167" s="134"/>
      <c r="C167" s="134"/>
      <c r="D167" s="134"/>
      <c r="E167" s="134"/>
      <c r="F167" s="134"/>
      <c r="G167" s="134"/>
      <c r="H167" s="52"/>
      <c r="I167" s="52"/>
      <c r="J167" s="52"/>
      <c r="K167" s="134"/>
      <c r="L167" s="53"/>
      <c r="M167" s="53"/>
      <c r="N167" s="53"/>
      <c r="O167" s="53"/>
      <c r="P167" s="53"/>
      <c r="Q167" s="53"/>
      <c r="R167" s="53"/>
      <c r="S167" s="134"/>
      <c r="T167" s="134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ht="12.75" customHeight="1">
      <c r="A168" s="134"/>
      <c r="B168" s="134"/>
      <c r="C168" s="134"/>
      <c r="D168" s="134"/>
      <c r="E168" s="134"/>
      <c r="F168" s="134"/>
      <c r="G168" s="134"/>
      <c r="H168" s="52"/>
      <c r="I168" s="52"/>
      <c r="J168" s="52"/>
      <c r="K168" s="134"/>
      <c r="L168" s="53"/>
      <c r="M168" s="53"/>
      <c r="N168" s="53"/>
      <c r="O168" s="53"/>
      <c r="P168" s="53"/>
      <c r="Q168" s="53"/>
      <c r="R168" s="53"/>
      <c r="S168" s="134"/>
      <c r="T168" s="134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ht="12.75" customHeight="1">
      <c r="A169" s="134"/>
      <c r="B169" s="134"/>
      <c r="C169" s="134"/>
      <c r="D169" s="134"/>
      <c r="E169" s="134"/>
      <c r="F169" s="134"/>
      <c r="G169" s="134"/>
      <c r="H169" s="52"/>
      <c r="I169" s="52"/>
      <c r="J169" s="52"/>
      <c r="K169" s="134"/>
      <c r="L169" s="53"/>
      <c r="M169" s="53"/>
      <c r="N169" s="53"/>
      <c r="O169" s="53"/>
      <c r="P169" s="53"/>
      <c r="Q169" s="53"/>
      <c r="R169" s="53"/>
      <c r="S169" s="134"/>
      <c r="T169" s="134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ht="12.75" customHeight="1">
      <c r="A170" s="134"/>
      <c r="B170" s="134"/>
      <c r="C170" s="134"/>
      <c r="D170" s="134"/>
      <c r="E170" s="134"/>
      <c r="F170" s="134"/>
      <c r="G170" s="134"/>
      <c r="H170" s="52"/>
      <c r="I170" s="52"/>
      <c r="J170" s="52"/>
      <c r="K170" s="134"/>
      <c r="L170" s="53"/>
      <c r="M170" s="53"/>
      <c r="N170" s="53"/>
      <c r="O170" s="53"/>
      <c r="P170" s="53"/>
      <c r="Q170" s="53"/>
      <c r="R170" s="53"/>
      <c r="S170" s="134"/>
      <c r="T170" s="134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ht="12.75" customHeight="1">
      <c r="A171" s="134"/>
      <c r="B171" s="134"/>
      <c r="C171" s="134"/>
      <c r="D171" s="134"/>
      <c r="E171" s="134"/>
      <c r="F171" s="134"/>
      <c r="G171" s="134"/>
      <c r="H171" s="52"/>
      <c r="I171" s="52"/>
      <c r="J171" s="52"/>
      <c r="K171" s="134"/>
      <c r="L171" s="53"/>
      <c r="M171" s="53"/>
      <c r="N171" s="53"/>
      <c r="O171" s="53"/>
      <c r="P171" s="53"/>
      <c r="Q171" s="53"/>
      <c r="R171" s="53"/>
      <c r="S171" s="134"/>
      <c r="T171" s="134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ht="12.75" customHeight="1">
      <c r="A172" s="134"/>
      <c r="B172" s="134"/>
      <c r="C172" s="134"/>
      <c r="D172" s="134"/>
      <c r="E172" s="134"/>
      <c r="F172" s="134"/>
      <c r="G172" s="134"/>
      <c r="H172" s="52"/>
      <c r="I172" s="52"/>
      <c r="J172" s="52"/>
      <c r="K172" s="134"/>
      <c r="L172" s="53"/>
      <c r="M172" s="53"/>
      <c r="N172" s="53"/>
      <c r="O172" s="53"/>
      <c r="P172" s="53"/>
      <c r="Q172" s="53"/>
      <c r="R172" s="53"/>
      <c r="S172" s="134"/>
      <c r="T172" s="134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ht="12.75" customHeight="1">
      <c r="A173" s="134"/>
      <c r="B173" s="134"/>
      <c r="C173" s="134"/>
      <c r="D173" s="134"/>
      <c r="E173" s="134"/>
      <c r="F173" s="134"/>
      <c r="G173" s="134"/>
      <c r="H173" s="52"/>
      <c r="I173" s="52"/>
      <c r="J173" s="52"/>
      <c r="K173" s="134"/>
      <c r="L173" s="53"/>
      <c r="M173" s="53"/>
      <c r="N173" s="53"/>
      <c r="O173" s="53"/>
      <c r="P173" s="53"/>
      <c r="Q173" s="53"/>
      <c r="R173" s="53"/>
      <c r="S173" s="134"/>
      <c r="T173" s="134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ht="12.75" customHeight="1">
      <c r="A174" s="134"/>
      <c r="B174" s="134"/>
      <c r="C174" s="134"/>
      <c r="D174" s="134"/>
      <c r="E174" s="134"/>
      <c r="F174" s="134"/>
      <c r="G174" s="134"/>
      <c r="H174" s="52"/>
      <c r="I174" s="52"/>
      <c r="J174" s="52"/>
      <c r="K174" s="134"/>
      <c r="L174" s="53"/>
      <c r="M174" s="53"/>
      <c r="N174" s="53"/>
      <c r="O174" s="53"/>
      <c r="P174" s="53"/>
      <c r="Q174" s="53"/>
      <c r="R174" s="53"/>
      <c r="S174" s="134"/>
      <c r="T174" s="134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ht="12.75" customHeight="1">
      <c r="A175" s="134"/>
      <c r="B175" s="134"/>
      <c r="C175" s="134"/>
      <c r="D175" s="134"/>
      <c r="E175" s="134"/>
      <c r="F175" s="134"/>
      <c r="G175" s="134"/>
      <c r="H175" s="52"/>
      <c r="I175" s="52"/>
      <c r="J175" s="52"/>
      <c r="K175" s="134"/>
      <c r="L175" s="53"/>
      <c r="M175" s="53"/>
      <c r="N175" s="53"/>
      <c r="O175" s="53"/>
      <c r="P175" s="53"/>
      <c r="Q175" s="53"/>
      <c r="R175" s="53"/>
      <c r="S175" s="134"/>
      <c r="T175" s="134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ht="12.75" customHeight="1">
      <c r="A176" s="134"/>
      <c r="B176" s="134"/>
      <c r="C176" s="134"/>
      <c r="D176" s="134"/>
      <c r="E176" s="134"/>
      <c r="F176" s="134"/>
      <c r="G176" s="134"/>
      <c r="H176" s="52"/>
      <c r="I176" s="52"/>
      <c r="J176" s="52"/>
      <c r="K176" s="134"/>
      <c r="L176" s="53"/>
      <c r="M176" s="53"/>
      <c r="N176" s="53"/>
      <c r="O176" s="53"/>
      <c r="P176" s="53"/>
      <c r="Q176" s="53"/>
      <c r="R176" s="53"/>
      <c r="S176" s="134"/>
      <c r="T176" s="134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ht="12.75" customHeight="1">
      <c r="A177" s="134"/>
      <c r="B177" s="134"/>
      <c r="C177" s="134"/>
      <c r="D177" s="134"/>
      <c r="E177" s="134"/>
      <c r="F177" s="134"/>
      <c r="G177" s="134"/>
      <c r="H177" s="52"/>
      <c r="I177" s="52"/>
      <c r="J177" s="52"/>
      <c r="K177" s="134"/>
      <c r="L177" s="53"/>
      <c r="M177" s="53"/>
      <c r="N177" s="53"/>
      <c r="O177" s="53"/>
      <c r="P177" s="53"/>
      <c r="Q177" s="53"/>
      <c r="R177" s="53"/>
      <c r="S177" s="134"/>
      <c r="T177" s="134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ht="12.75" customHeight="1">
      <c r="A178" s="134"/>
      <c r="B178" s="134"/>
      <c r="C178" s="134"/>
      <c r="D178" s="134"/>
      <c r="E178" s="134"/>
      <c r="F178" s="134"/>
      <c r="G178" s="134"/>
      <c r="H178" s="52"/>
      <c r="I178" s="52"/>
      <c r="J178" s="52"/>
      <c r="K178" s="134"/>
      <c r="L178" s="53"/>
      <c r="M178" s="53"/>
      <c r="N178" s="53"/>
      <c r="O178" s="53"/>
      <c r="P178" s="53"/>
      <c r="Q178" s="53"/>
      <c r="R178" s="53"/>
      <c r="S178" s="134"/>
      <c r="T178" s="134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ht="12.75" customHeight="1">
      <c r="A179" s="134"/>
      <c r="B179" s="134"/>
      <c r="C179" s="134"/>
      <c r="D179" s="134"/>
      <c r="E179" s="134"/>
      <c r="F179" s="134"/>
      <c r="G179" s="134"/>
      <c r="H179" s="52"/>
      <c r="I179" s="52"/>
      <c r="J179" s="52"/>
      <c r="K179" s="134"/>
      <c r="L179" s="53"/>
      <c r="M179" s="53"/>
      <c r="N179" s="53"/>
      <c r="O179" s="53"/>
      <c r="P179" s="53"/>
      <c r="Q179" s="53"/>
      <c r="R179" s="53"/>
      <c r="S179" s="134"/>
      <c r="T179" s="134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ht="12.75" customHeight="1">
      <c r="A180" s="134"/>
      <c r="B180" s="134"/>
      <c r="C180" s="134"/>
      <c r="D180" s="134"/>
      <c r="E180" s="134"/>
      <c r="F180" s="134"/>
      <c r="G180" s="134"/>
      <c r="H180" s="52"/>
      <c r="I180" s="52"/>
      <c r="J180" s="52"/>
      <c r="K180" s="134"/>
      <c r="L180" s="53"/>
      <c r="M180" s="53"/>
      <c r="N180" s="53"/>
      <c r="O180" s="53"/>
      <c r="P180" s="53"/>
      <c r="Q180" s="53"/>
      <c r="R180" s="53"/>
      <c r="S180" s="134"/>
      <c r="T180" s="134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ht="12.75" customHeight="1">
      <c r="A181" s="134"/>
      <c r="B181" s="134"/>
      <c r="C181" s="134"/>
      <c r="D181" s="134"/>
      <c r="E181" s="134"/>
      <c r="F181" s="134"/>
      <c r="G181" s="134"/>
      <c r="H181" s="52"/>
      <c r="I181" s="52"/>
      <c r="J181" s="52"/>
      <c r="K181" s="134"/>
      <c r="L181" s="53"/>
      <c r="M181" s="53"/>
      <c r="N181" s="53"/>
      <c r="O181" s="53"/>
      <c r="P181" s="53"/>
      <c r="Q181" s="53"/>
      <c r="R181" s="53"/>
      <c r="S181" s="134"/>
      <c r="T181" s="134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ht="12.75" customHeight="1">
      <c r="A182" s="134"/>
      <c r="B182" s="134"/>
      <c r="C182" s="134"/>
      <c r="D182" s="134"/>
      <c r="E182" s="134"/>
      <c r="F182" s="134"/>
      <c r="G182" s="134"/>
      <c r="H182" s="52"/>
      <c r="I182" s="52"/>
      <c r="J182" s="52"/>
      <c r="K182" s="134"/>
      <c r="L182" s="53"/>
      <c r="M182" s="53"/>
      <c r="N182" s="53"/>
      <c r="O182" s="53"/>
      <c r="P182" s="53"/>
      <c r="Q182" s="53"/>
      <c r="R182" s="53"/>
      <c r="S182" s="134"/>
      <c r="T182" s="134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ht="12.75" customHeight="1">
      <c r="A183" s="134"/>
      <c r="B183" s="134"/>
      <c r="C183" s="134"/>
      <c r="D183" s="134"/>
      <c r="E183" s="134"/>
      <c r="F183" s="134"/>
      <c r="G183" s="134"/>
      <c r="H183" s="52"/>
      <c r="I183" s="52"/>
      <c r="J183" s="52"/>
      <c r="K183" s="134"/>
      <c r="L183" s="53"/>
      <c r="M183" s="53"/>
      <c r="N183" s="53"/>
      <c r="O183" s="53"/>
      <c r="P183" s="53"/>
      <c r="Q183" s="53"/>
      <c r="R183" s="53"/>
      <c r="S183" s="134"/>
      <c r="T183" s="134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ht="12.75" customHeight="1">
      <c r="A184" s="134"/>
      <c r="B184" s="134"/>
      <c r="C184" s="134"/>
      <c r="D184" s="134"/>
      <c r="E184" s="134"/>
      <c r="F184" s="134"/>
      <c r="G184" s="134"/>
      <c r="H184" s="52"/>
      <c r="I184" s="52"/>
      <c r="J184" s="52"/>
      <c r="K184" s="134"/>
      <c r="L184" s="53"/>
      <c r="M184" s="53"/>
      <c r="N184" s="53"/>
      <c r="O184" s="53"/>
      <c r="P184" s="53"/>
      <c r="Q184" s="53"/>
      <c r="R184" s="53"/>
      <c r="S184" s="134"/>
      <c r="T184" s="134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ht="12.75" customHeight="1">
      <c r="A185" s="134"/>
      <c r="B185" s="134"/>
      <c r="C185" s="134"/>
      <c r="D185" s="134"/>
      <c r="E185" s="134"/>
      <c r="F185" s="134"/>
      <c r="G185" s="134"/>
      <c r="H185" s="52"/>
      <c r="I185" s="52"/>
      <c r="J185" s="52"/>
      <c r="K185" s="134"/>
      <c r="L185" s="53"/>
      <c r="M185" s="53"/>
      <c r="N185" s="53"/>
      <c r="O185" s="53"/>
      <c r="P185" s="53"/>
      <c r="Q185" s="53"/>
      <c r="R185" s="53"/>
      <c r="S185" s="134"/>
      <c r="T185" s="134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ht="12.75" customHeight="1">
      <c r="A186" s="134"/>
      <c r="B186" s="134"/>
      <c r="C186" s="134"/>
      <c r="D186" s="134"/>
      <c r="E186" s="134"/>
      <c r="F186" s="134"/>
      <c r="G186" s="134"/>
      <c r="H186" s="52"/>
      <c r="I186" s="52"/>
      <c r="J186" s="52"/>
      <c r="K186" s="134"/>
      <c r="L186" s="53"/>
      <c r="M186" s="53"/>
      <c r="N186" s="53"/>
      <c r="O186" s="53"/>
      <c r="P186" s="53"/>
      <c r="Q186" s="53"/>
      <c r="R186" s="53"/>
      <c r="S186" s="134"/>
      <c r="T186" s="134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ht="12.75" customHeight="1">
      <c r="A187" s="134"/>
      <c r="B187" s="134"/>
      <c r="C187" s="134"/>
      <c r="D187" s="134"/>
      <c r="E187" s="134"/>
      <c r="F187" s="134"/>
      <c r="G187" s="134"/>
      <c r="H187" s="52"/>
      <c r="I187" s="52"/>
      <c r="J187" s="52"/>
      <c r="K187" s="134"/>
      <c r="L187" s="53"/>
      <c r="M187" s="53"/>
      <c r="N187" s="53"/>
      <c r="O187" s="53"/>
      <c r="P187" s="53"/>
      <c r="Q187" s="53"/>
      <c r="R187" s="53"/>
      <c r="S187" s="134"/>
      <c r="T187" s="134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ht="12.75" customHeight="1">
      <c r="A188" s="134"/>
      <c r="B188" s="134"/>
      <c r="C188" s="134"/>
      <c r="D188" s="134"/>
      <c r="E188" s="134"/>
      <c r="F188" s="134"/>
      <c r="G188" s="134"/>
      <c r="H188" s="52"/>
      <c r="I188" s="52"/>
      <c r="J188" s="52"/>
      <c r="K188" s="134"/>
      <c r="L188" s="53"/>
      <c r="M188" s="53"/>
      <c r="N188" s="53"/>
      <c r="O188" s="53"/>
      <c r="P188" s="53"/>
      <c r="Q188" s="53"/>
      <c r="R188" s="53"/>
      <c r="S188" s="134"/>
      <c r="T188" s="134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ht="12.75" customHeight="1">
      <c r="A189" s="134"/>
      <c r="B189" s="134"/>
      <c r="C189" s="134"/>
      <c r="D189" s="134"/>
      <c r="E189" s="134"/>
      <c r="F189" s="134"/>
      <c r="G189" s="134"/>
      <c r="H189" s="52"/>
      <c r="I189" s="52"/>
      <c r="J189" s="52"/>
      <c r="K189" s="134"/>
      <c r="L189" s="53"/>
      <c r="M189" s="53"/>
      <c r="N189" s="53"/>
      <c r="O189" s="53"/>
      <c r="P189" s="53"/>
      <c r="Q189" s="53"/>
      <c r="R189" s="53"/>
      <c r="S189" s="134"/>
      <c r="T189" s="134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ht="12.75" customHeight="1">
      <c r="A190" s="134"/>
      <c r="B190" s="134"/>
      <c r="C190" s="134"/>
      <c r="D190" s="134"/>
      <c r="E190" s="134"/>
      <c r="F190" s="134"/>
      <c r="G190" s="134"/>
      <c r="H190" s="52"/>
      <c r="I190" s="52"/>
      <c r="J190" s="52"/>
      <c r="K190" s="134"/>
      <c r="L190" s="53"/>
      <c r="M190" s="53"/>
      <c r="N190" s="53"/>
      <c r="O190" s="53"/>
      <c r="P190" s="53"/>
      <c r="Q190" s="53"/>
      <c r="R190" s="53"/>
      <c r="S190" s="134"/>
      <c r="T190" s="134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ht="12.75" customHeight="1">
      <c r="A191" s="134"/>
      <c r="B191" s="134"/>
      <c r="C191" s="134"/>
      <c r="D191" s="134"/>
      <c r="E191" s="134"/>
      <c r="F191" s="134"/>
      <c r="G191" s="134"/>
      <c r="H191" s="52"/>
      <c r="I191" s="52"/>
      <c r="J191" s="52"/>
      <c r="K191" s="134"/>
      <c r="L191" s="53"/>
      <c r="M191" s="53"/>
      <c r="N191" s="53"/>
      <c r="O191" s="53"/>
      <c r="P191" s="53"/>
      <c r="Q191" s="53"/>
      <c r="R191" s="53"/>
      <c r="S191" s="134"/>
      <c r="T191" s="134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ht="12.75" customHeight="1">
      <c r="A192" s="134"/>
      <c r="B192" s="134"/>
      <c r="C192" s="134"/>
      <c r="D192" s="134"/>
      <c r="E192" s="134"/>
      <c r="F192" s="134"/>
      <c r="G192" s="134"/>
      <c r="H192" s="52"/>
      <c r="I192" s="52"/>
      <c r="J192" s="52"/>
      <c r="K192" s="134"/>
      <c r="L192" s="53"/>
      <c r="M192" s="53"/>
      <c r="N192" s="53"/>
      <c r="O192" s="53"/>
      <c r="P192" s="53"/>
      <c r="Q192" s="53"/>
      <c r="R192" s="53"/>
      <c r="S192" s="134"/>
      <c r="T192" s="134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ht="12.75" customHeight="1">
      <c r="A193" s="134"/>
      <c r="B193" s="134"/>
      <c r="C193" s="134"/>
      <c r="D193" s="134"/>
      <c r="E193" s="134"/>
      <c r="F193" s="134"/>
      <c r="G193" s="134"/>
      <c r="H193" s="52"/>
      <c r="I193" s="52"/>
      <c r="J193" s="52"/>
      <c r="K193" s="134"/>
      <c r="L193" s="53"/>
      <c r="M193" s="53"/>
      <c r="N193" s="53"/>
      <c r="O193" s="53"/>
      <c r="P193" s="53"/>
      <c r="Q193" s="53"/>
      <c r="R193" s="53"/>
      <c r="S193" s="134"/>
      <c r="T193" s="134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ht="12.75" customHeight="1">
      <c r="A194" s="134"/>
      <c r="B194" s="134"/>
      <c r="C194" s="134"/>
      <c r="D194" s="134"/>
      <c r="E194" s="134"/>
      <c r="F194" s="134"/>
      <c r="G194" s="134"/>
      <c r="H194" s="52"/>
      <c r="I194" s="52"/>
      <c r="J194" s="52"/>
      <c r="K194" s="134"/>
      <c r="L194" s="53"/>
      <c r="M194" s="53"/>
      <c r="N194" s="53"/>
      <c r="O194" s="53"/>
      <c r="P194" s="53"/>
      <c r="Q194" s="53"/>
      <c r="R194" s="53"/>
      <c r="S194" s="134"/>
      <c r="T194" s="134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ht="12.75" customHeight="1">
      <c r="A195" s="134"/>
      <c r="B195" s="134"/>
      <c r="C195" s="134"/>
      <c r="D195" s="134"/>
      <c r="E195" s="134"/>
      <c r="F195" s="134"/>
      <c r="G195" s="134"/>
      <c r="H195" s="52"/>
      <c r="I195" s="52"/>
      <c r="J195" s="52"/>
      <c r="K195" s="134"/>
      <c r="L195" s="53"/>
      <c r="M195" s="53"/>
      <c r="N195" s="53"/>
      <c r="O195" s="53"/>
      <c r="P195" s="53"/>
      <c r="Q195" s="53"/>
      <c r="R195" s="53"/>
      <c r="S195" s="134"/>
      <c r="T195" s="134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ht="12.75" customHeight="1">
      <c r="A196" s="134"/>
      <c r="B196" s="134"/>
      <c r="C196" s="134"/>
      <c r="D196" s="134"/>
      <c r="E196" s="134"/>
      <c r="F196" s="134"/>
      <c r="G196" s="134"/>
      <c r="H196" s="52"/>
      <c r="I196" s="52"/>
      <c r="J196" s="52"/>
      <c r="K196" s="134"/>
      <c r="L196" s="53"/>
      <c r="M196" s="53"/>
      <c r="N196" s="53"/>
      <c r="O196" s="53"/>
      <c r="P196" s="53"/>
      <c r="Q196" s="53"/>
      <c r="R196" s="53"/>
      <c r="S196" s="134"/>
      <c r="T196" s="134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ht="12.75" customHeight="1">
      <c r="A197" s="134"/>
      <c r="B197" s="134"/>
      <c r="C197" s="134"/>
      <c r="D197" s="134"/>
      <c r="E197" s="134"/>
      <c r="F197" s="134"/>
      <c r="G197" s="134"/>
      <c r="H197" s="52"/>
      <c r="I197" s="52"/>
      <c r="J197" s="52"/>
      <c r="K197" s="134"/>
      <c r="L197" s="53"/>
      <c r="M197" s="53"/>
      <c r="N197" s="53"/>
      <c r="O197" s="53"/>
      <c r="P197" s="53"/>
      <c r="Q197" s="53"/>
      <c r="R197" s="53"/>
      <c r="S197" s="134"/>
      <c r="T197" s="134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ht="12.75" customHeight="1">
      <c r="A198" s="134"/>
      <c r="B198" s="134"/>
      <c r="C198" s="134"/>
      <c r="D198" s="134"/>
      <c r="E198" s="134"/>
      <c r="F198" s="134"/>
      <c r="G198" s="134"/>
      <c r="H198" s="52"/>
      <c r="I198" s="52"/>
      <c r="J198" s="52"/>
      <c r="K198" s="134"/>
      <c r="L198" s="53"/>
      <c r="M198" s="53"/>
      <c r="N198" s="53"/>
      <c r="O198" s="53"/>
      <c r="P198" s="53"/>
      <c r="Q198" s="53"/>
      <c r="R198" s="53"/>
      <c r="S198" s="134"/>
      <c r="T198" s="134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ht="12.75" customHeight="1">
      <c r="A199" s="134"/>
      <c r="B199" s="134"/>
      <c r="C199" s="134"/>
      <c r="D199" s="134"/>
      <c r="E199" s="134"/>
      <c r="F199" s="134"/>
      <c r="G199" s="134"/>
      <c r="H199" s="52"/>
      <c r="I199" s="52"/>
      <c r="J199" s="52"/>
      <c r="K199" s="134"/>
      <c r="L199" s="53"/>
      <c r="M199" s="53"/>
      <c r="N199" s="53"/>
      <c r="O199" s="53"/>
      <c r="P199" s="53"/>
      <c r="Q199" s="53"/>
      <c r="R199" s="53"/>
      <c r="S199" s="134"/>
      <c r="T199" s="134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ht="12.75" customHeight="1">
      <c r="A200" s="134"/>
      <c r="B200" s="134"/>
      <c r="C200" s="134"/>
      <c r="D200" s="134"/>
      <c r="E200" s="134"/>
      <c r="F200" s="134"/>
      <c r="G200" s="134"/>
      <c r="H200" s="52"/>
      <c r="I200" s="52"/>
      <c r="J200" s="52"/>
      <c r="K200" s="134"/>
      <c r="L200" s="53"/>
      <c r="M200" s="53"/>
      <c r="N200" s="53"/>
      <c r="O200" s="53"/>
      <c r="P200" s="53"/>
      <c r="Q200" s="53"/>
      <c r="R200" s="53"/>
      <c r="S200" s="134"/>
      <c r="T200" s="134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ht="12.75" customHeight="1">
      <c r="A201" s="134"/>
      <c r="B201" s="134"/>
      <c r="C201" s="134"/>
      <c r="D201" s="134"/>
      <c r="E201" s="134"/>
      <c r="F201" s="134"/>
      <c r="G201" s="134"/>
      <c r="H201" s="52"/>
      <c r="I201" s="52"/>
      <c r="J201" s="52"/>
      <c r="K201" s="134"/>
      <c r="L201" s="53"/>
      <c r="M201" s="53"/>
      <c r="N201" s="53"/>
      <c r="O201" s="53"/>
      <c r="P201" s="53"/>
      <c r="Q201" s="53"/>
      <c r="R201" s="53"/>
      <c r="S201" s="134"/>
      <c r="T201" s="134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ht="12.75" customHeight="1">
      <c r="A202" s="134"/>
      <c r="B202" s="134"/>
      <c r="C202" s="134"/>
      <c r="D202" s="134"/>
      <c r="E202" s="134"/>
      <c r="F202" s="134"/>
      <c r="G202" s="134"/>
      <c r="H202" s="52"/>
      <c r="I202" s="52"/>
      <c r="J202" s="52"/>
      <c r="K202" s="134"/>
      <c r="L202" s="53"/>
      <c r="M202" s="53"/>
      <c r="N202" s="53"/>
      <c r="O202" s="53"/>
      <c r="P202" s="53"/>
      <c r="Q202" s="53"/>
      <c r="R202" s="53"/>
      <c r="S202" s="134"/>
      <c r="T202" s="134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ht="12.75" customHeight="1">
      <c r="A203" s="134"/>
      <c r="B203" s="134"/>
      <c r="C203" s="134"/>
      <c r="D203" s="134"/>
      <c r="E203" s="134"/>
      <c r="F203" s="134"/>
      <c r="G203" s="134"/>
      <c r="H203" s="52"/>
      <c r="I203" s="52"/>
      <c r="J203" s="52"/>
      <c r="K203" s="134"/>
      <c r="L203" s="53"/>
      <c r="M203" s="53"/>
      <c r="N203" s="53"/>
      <c r="O203" s="53"/>
      <c r="P203" s="53"/>
      <c r="Q203" s="53"/>
      <c r="R203" s="53"/>
      <c r="S203" s="134"/>
      <c r="T203" s="134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ht="12.75" customHeight="1">
      <c r="A204" s="134"/>
      <c r="B204" s="134"/>
      <c r="C204" s="134"/>
      <c r="D204" s="134"/>
      <c r="E204" s="134"/>
      <c r="F204" s="134"/>
      <c r="G204" s="134"/>
      <c r="H204" s="52"/>
      <c r="I204" s="52"/>
      <c r="J204" s="52"/>
      <c r="K204" s="134"/>
      <c r="L204" s="53"/>
      <c r="M204" s="53"/>
      <c r="N204" s="53"/>
      <c r="O204" s="53"/>
      <c r="P204" s="53"/>
      <c r="Q204" s="53"/>
      <c r="R204" s="53"/>
      <c r="S204" s="134"/>
      <c r="T204" s="134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ht="12.75" customHeight="1">
      <c r="A205" s="134"/>
      <c r="B205" s="134"/>
      <c r="C205" s="134"/>
      <c r="D205" s="134"/>
      <c r="E205" s="134"/>
      <c r="F205" s="134"/>
      <c r="G205" s="134"/>
      <c r="H205" s="52"/>
      <c r="I205" s="52"/>
      <c r="J205" s="52"/>
      <c r="K205" s="134"/>
      <c r="L205" s="53"/>
      <c r="M205" s="53"/>
      <c r="N205" s="53"/>
      <c r="O205" s="53"/>
      <c r="P205" s="53"/>
      <c r="Q205" s="53"/>
      <c r="R205" s="53"/>
      <c r="S205" s="134"/>
      <c r="T205" s="134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ht="12.75" customHeight="1">
      <c r="A206" s="134"/>
      <c r="B206" s="134"/>
      <c r="C206" s="134"/>
      <c r="D206" s="134"/>
      <c r="E206" s="134"/>
      <c r="F206" s="134"/>
      <c r="G206" s="134"/>
      <c r="H206" s="52"/>
      <c r="I206" s="52"/>
      <c r="J206" s="52"/>
      <c r="K206" s="134"/>
      <c r="L206" s="53"/>
      <c r="M206" s="53"/>
      <c r="N206" s="53"/>
      <c r="O206" s="53"/>
      <c r="P206" s="53"/>
      <c r="Q206" s="53"/>
      <c r="R206" s="53"/>
      <c r="S206" s="134"/>
      <c r="T206" s="134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ht="12.75" customHeight="1">
      <c r="A207" s="134"/>
      <c r="B207" s="134"/>
      <c r="C207" s="134"/>
      <c r="D207" s="134"/>
      <c r="E207" s="134"/>
      <c r="F207" s="134"/>
      <c r="G207" s="134"/>
      <c r="H207" s="52"/>
      <c r="I207" s="52"/>
      <c r="J207" s="52"/>
      <c r="K207" s="134"/>
      <c r="L207" s="53"/>
      <c r="M207" s="53"/>
      <c r="N207" s="53"/>
      <c r="O207" s="53"/>
      <c r="P207" s="53"/>
      <c r="Q207" s="53"/>
      <c r="R207" s="53"/>
      <c r="S207" s="134"/>
      <c r="T207" s="134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ht="12.75" customHeight="1">
      <c r="A208" s="134"/>
      <c r="B208" s="134"/>
      <c r="C208" s="134"/>
      <c r="D208" s="134"/>
      <c r="E208" s="134"/>
      <c r="F208" s="134"/>
      <c r="G208" s="134"/>
      <c r="H208" s="52"/>
      <c r="I208" s="52"/>
      <c r="J208" s="52"/>
      <c r="K208" s="134"/>
      <c r="L208" s="53"/>
      <c r="M208" s="53"/>
      <c r="N208" s="53"/>
      <c r="O208" s="53"/>
      <c r="P208" s="53"/>
      <c r="Q208" s="53"/>
      <c r="R208" s="53"/>
      <c r="S208" s="134"/>
      <c r="T208" s="134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ht="12.75" customHeight="1">
      <c r="A209" s="134"/>
      <c r="B209" s="134"/>
      <c r="C209" s="134"/>
      <c r="D209" s="134"/>
      <c r="E209" s="134"/>
      <c r="F209" s="134"/>
      <c r="G209" s="134"/>
      <c r="H209" s="52"/>
      <c r="I209" s="52"/>
      <c r="J209" s="52"/>
      <c r="K209" s="134"/>
      <c r="L209" s="53"/>
      <c r="M209" s="53"/>
      <c r="N209" s="53"/>
      <c r="O209" s="53"/>
      <c r="P209" s="53"/>
      <c r="Q209" s="53"/>
      <c r="R209" s="53"/>
      <c r="S209" s="134"/>
      <c r="T209" s="134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ht="12.75" customHeight="1">
      <c r="A210" s="134"/>
      <c r="B210" s="134"/>
      <c r="C210" s="134"/>
      <c r="D210" s="134"/>
      <c r="E210" s="134"/>
      <c r="F210" s="134"/>
      <c r="G210" s="134"/>
      <c r="H210" s="52"/>
      <c r="I210" s="52"/>
      <c r="J210" s="52"/>
      <c r="K210" s="134"/>
      <c r="L210" s="53"/>
      <c r="M210" s="53"/>
      <c r="N210" s="53"/>
      <c r="O210" s="53"/>
      <c r="P210" s="53"/>
      <c r="Q210" s="53"/>
      <c r="R210" s="53"/>
      <c r="S210" s="134"/>
      <c r="T210" s="134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ht="12.75" customHeight="1">
      <c r="A211" s="134"/>
      <c r="B211" s="134"/>
      <c r="C211" s="134"/>
      <c r="D211" s="134"/>
      <c r="E211" s="134"/>
      <c r="F211" s="134"/>
      <c r="G211" s="134"/>
      <c r="H211" s="52"/>
      <c r="I211" s="52"/>
      <c r="J211" s="52"/>
      <c r="K211" s="134"/>
      <c r="L211" s="53"/>
      <c r="M211" s="53"/>
      <c r="N211" s="53"/>
      <c r="O211" s="53"/>
      <c r="P211" s="53"/>
      <c r="Q211" s="53"/>
      <c r="R211" s="53"/>
      <c r="S211" s="134"/>
      <c r="T211" s="134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ht="12.75" customHeight="1">
      <c r="A212" s="134"/>
      <c r="B212" s="134"/>
      <c r="C212" s="134"/>
      <c r="D212" s="134"/>
      <c r="E212" s="134"/>
      <c r="F212" s="134"/>
      <c r="G212" s="134"/>
      <c r="H212" s="52"/>
      <c r="I212" s="52"/>
      <c r="J212" s="52"/>
      <c r="K212" s="134"/>
      <c r="L212" s="53"/>
      <c r="M212" s="53"/>
      <c r="N212" s="53"/>
      <c r="O212" s="53"/>
      <c r="P212" s="53"/>
      <c r="Q212" s="53"/>
      <c r="R212" s="53"/>
      <c r="S212" s="134"/>
      <c r="T212" s="134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ht="12.75" customHeight="1">
      <c r="A213" s="134"/>
      <c r="B213" s="134"/>
      <c r="C213" s="134"/>
      <c r="D213" s="134"/>
      <c r="E213" s="134"/>
      <c r="F213" s="134"/>
      <c r="G213" s="134"/>
      <c r="H213" s="52"/>
      <c r="I213" s="52"/>
      <c r="J213" s="52"/>
      <c r="K213" s="134"/>
      <c r="L213" s="53"/>
      <c r="M213" s="53"/>
      <c r="N213" s="53"/>
      <c r="O213" s="53"/>
      <c r="P213" s="53"/>
      <c r="Q213" s="53"/>
      <c r="R213" s="53"/>
      <c r="S213" s="134"/>
      <c r="T213" s="134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ht="12.75" customHeight="1">
      <c r="A214" s="134"/>
      <c r="B214" s="134"/>
      <c r="C214" s="134"/>
      <c r="D214" s="134"/>
      <c r="E214" s="134"/>
      <c r="F214" s="134"/>
      <c r="G214" s="134"/>
      <c r="H214" s="52"/>
      <c r="I214" s="52"/>
      <c r="J214" s="52"/>
      <c r="K214" s="134"/>
      <c r="L214" s="53"/>
      <c r="M214" s="53"/>
      <c r="N214" s="53"/>
      <c r="O214" s="53"/>
      <c r="P214" s="53"/>
      <c r="Q214" s="53"/>
      <c r="R214" s="53"/>
      <c r="S214" s="134"/>
      <c r="T214" s="134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ht="12.75" customHeight="1">
      <c r="A215" s="134"/>
      <c r="B215" s="134"/>
      <c r="C215" s="134"/>
      <c r="D215" s="134"/>
      <c r="E215" s="134"/>
      <c r="F215" s="134"/>
      <c r="G215" s="134"/>
      <c r="H215" s="52"/>
      <c r="I215" s="52"/>
      <c r="J215" s="52"/>
      <c r="K215" s="134"/>
      <c r="L215" s="53"/>
      <c r="M215" s="53"/>
      <c r="N215" s="53"/>
      <c r="O215" s="53"/>
      <c r="P215" s="53"/>
      <c r="Q215" s="53"/>
      <c r="R215" s="53"/>
      <c r="S215" s="134"/>
      <c r="T215" s="134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ht="12.75" customHeight="1">
      <c r="A216" s="134"/>
      <c r="B216" s="134"/>
      <c r="C216" s="134"/>
      <c r="D216" s="134"/>
      <c r="E216" s="134"/>
      <c r="F216" s="134"/>
      <c r="G216" s="134"/>
      <c r="H216" s="52"/>
      <c r="I216" s="52"/>
      <c r="J216" s="52"/>
      <c r="K216" s="134"/>
      <c r="L216" s="53"/>
      <c r="M216" s="53"/>
      <c r="N216" s="53"/>
      <c r="O216" s="53"/>
      <c r="P216" s="53"/>
      <c r="Q216" s="53"/>
      <c r="R216" s="53"/>
      <c r="S216" s="134"/>
      <c r="T216" s="134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ht="12.75" customHeight="1">
      <c r="A217" s="134"/>
      <c r="B217" s="134"/>
      <c r="C217" s="134"/>
      <c r="D217" s="134"/>
      <c r="E217" s="134"/>
      <c r="F217" s="134"/>
      <c r="G217" s="134"/>
      <c r="H217" s="52"/>
      <c r="I217" s="52"/>
      <c r="J217" s="52"/>
      <c r="K217" s="134"/>
      <c r="L217" s="53"/>
      <c r="M217" s="53"/>
      <c r="N217" s="53"/>
      <c r="O217" s="53"/>
      <c r="P217" s="53"/>
      <c r="Q217" s="53"/>
      <c r="R217" s="53"/>
      <c r="S217" s="134"/>
      <c r="T217" s="134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ht="12.75" customHeight="1">
      <c r="A218" s="134"/>
      <c r="B218" s="134"/>
      <c r="C218" s="134"/>
      <c r="D218" s="134"/>
      <c r="E218" s="134"/>
      <c r="F218" s="134"/>
      <c r="G218" s="134"/>
      <c r="H218" s="52"/>
      <c r="I218" s="52"/>
      <c r="J218" s="52"/>
      <c r="K218" s="134"/>
      <c r="L218" s="53"/>
      <c r="M218" s="53"/>
      <c r="N218" s="53"/>
      <c r="O218" s="53"/>
      <c r="P218" s="53"/>
      <c r="Q218" s="53"/>
      <c r="R218" s="53"/>
      <c r="S218" s="134"/>
      <c r="T218" s="134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ht="12.75" customHeight="1">
      <c r="A219" s="134"/>
      <c r="B219" s="134"/>
      <c r="C219" s="134"/>
      <c r="D219" s="134"/>
      <c r="E219" s="134"/>
      <c r="F219" s="134"/>
      <c r="G219" s="134"/>
      <c r="H219" s="52"/>
      <c r="I219" s="52"/>
      <c r="J219" s="52"/>
      <c r="K219" s="134"/>
      <c r="L219" s="53"/>
      <c r="M219" s="53"/>
      <c r="N219" s="53"/>
      <c r="O219" s="53"/>
      <c r="P219" s="53"/>
      <c r="Q219" s="53"/>
      <c r="R219" s="53"/>
      <c r="S219" s="134"/>
      <c r="T219" s="134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ht="12.75" customHeight="1">
      <c r="A220" s="134"/>
      <c r="B220" s="134"/>
      <c r="C220" s="134"/>
      <c r="D220" s="134"/>
      <c r="E220" s="134"/>
      <c r="F220" s="134"/>
      <c r="G220" s="134"/>
      <c r="H220" s="52"/>
      <c r="I220" s="52"/>
      <c r="J220" s="52"/>
      <c r="K220" s="134"/>
      <c r="L220" s="53"/>
      <c r="M220" s="53"/>
      <c r="N220" s="53"/>
      <c r="O220" s="53"/>
      <c r="P220" s="53"/>
      <c r="Q220" s="53"/>
      <c r="R220" s="53"/>
      <c r="S220" s="134"/>
      <c r="T220" s="134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ht="12.75" customHeight="1">
      <c r="A221" s="134"/>
      <c r="B221" s="134"/>
      <c r="C221" s="134"/>
      <c r="D221" s="134"/>
      <c r="E221" s="134"/>
      <c r="F221" s="134"/>
      <c r="G221" s="134"/>
      <c r="H221" s="52"/>
      <c r="I221" s="52"/>
      <c r="J221" s="52"/>
      <c r="K221" s="134"/>
      <c r="L221" s="53"/>
      <c r="M221" s="53"/>
      <c r="N221" s="53"/>
      <c r="O221" s="53"/>
      <c r="P221" s="53"/>
      <c r="Q221" s="53"/>
      <c r="R221" s="53"/>
      <c r="S221" s="134"/>
      <c r="T221" s="134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ht="12.75" customHeight="1">
      <c r="A222" s="134"/>
      <c r="B222" s="134"/>
      <c r="C222" s="134"/>
      <c r="D222" s="134"/>
      <c r="E222" s="134"/>
      <c r="F222" s="134"/>
      <c r="G222" s="134"/>
      <c r="H222" s="52"/>
      <c r="I222" s="52"/>
      <c r="J222" s="52"/>
      <c r="K222" s="134"/>
      <c r="L222" s="53"/>
      <c r="M222" s="53"/>
      <c r="N222" s="53"/>
      <c r="O222" s="53"/>
      <c r="P222" s="53"/>
      <c r="Q222" s="53"/>
      <c r="R222" s="53"/>
      <c r="S222" s="134"/>
      <c r="T222" s="134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ht="12.75" customHeight="1">
      <c r="A223" s="134"/>
      <c r="B223" s="134"/>
      <c r="C223" s="134"/>
      <c r="D223" s="134"/>
      <c r="E223" s="134"/>
      <c r="F223" s="134"/>
      <c r="G223" s="134"/>
      <c r="H223" s="52"/>
      <c r="I223" s="52"/>
      <c r="J223" s="52"/>
      <c r="K223" s="134"/>
      <c r="L223" s="53"/>
      <c r="M223" s="53"/>
      <c r="N223" s="53"/>
      <c r="O223" s="53"/>
      <c r="P223" s="53"/>
      <c r="Q223" s="53"/>
      <c r="R223" s="53"/>
      <c r="S223" s="134"/>
      <c r="T223" s="134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ht="12.75" customHeight="1">
      <c r="A224" s="134"/>
      <c r="B224" s="134"/>
      <c r="C224" s="134"/>
      <c r="D224" s="134"/>
      <c r="E224" s="134"/>
      <c r="F224" s="134"/>
      <c r="G224" s="134"/>
      <c r="H224" s="52"/>
      <c r="I224" s="52"/>
      <c r="J224" s="52"/>
      <c r="K224" s="134"/>
      <c r="L224" s="53"/>
      <c r="M224" s="53"/>
      <c r="N224" s="53"/>
      <c r="O224" s="53"/>
      <c r="P224" s="53"/>
      <c r="Q224" s="53"/>
      <c r="R224" s="53"/>
      <c r="S224" s="134"/>
      <c r="T224" s="134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ht="12.75" customHeight="1">
      <c r="A225" s="134"/>
      <c r="B225" s="134"/>
      <c r="C225" s="134"/>
      <c r="D225" s="134"/>
      <c r="E225" s="134"/>
      <c r="F225" s="134"/>
      <c r="G225" s="134"/>
      <c r="H225" s="52"/>
      <c r="I225" s="52"/>
      <c r="J225" s="52"/>
      <c r="K225" s="134"/>
      <c r="L225" s="53"/>
      <c r="M225" s="53"/>
      <c r="N225" s="53"/>
      <c r="O225" s="53"/>
      <c r="P225" s="53"/>
      <c r="Q225" s="53"/>
      <c r="R225" s="53"/>
      <c r="S225" s="134"/>
      <c r="T225" s="134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ht="12.75" customHeight="1">
      <c r="A226" s="134"/>
      <c r="B226" s="134"/>
      <c r="C226" s="134"/>
      <c r="D226" s="134"/>
      <c r="E226" s="134"/>
      <c r="F226" s="134"/>
      <c r="G226" s="134"/>
      <c r="H226" s="52"/>
      <c r="I226" s="52"/>
      <c r="J226" s="52"/>
      <c r="K226" s="134"/>
      <c r="L226" s="53"/>
      <c r="M226" s="53"/>
      <c r="N226" s="53"/>
      <c r="O226" s="53"/>
      <c r="P226" s="53"/>
      <c r="Q226" s="53"/>
      <c r="R226" s="53"/>
      <c r="S226" s="134"/>
      <c r="T226" s="134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ht="12.75" customHeight="1">
      <c r="A227" s="134"/>
      <c r="B227" s="134"/>
      <c r="C227" s="134"/>
      <c r="D227" s="134"/>
      <c r="E227" s="134"/>
      <c r="F227" s="134"/>
      <c r="G227" s="134"/>
      <c r="H227" s="52"/>
      <c r="I227" s="52"/>
      <c r="J227" s="52"/>
      <c r="K227" s="134"/>
      <c r="L227" s="53"/>
      <c r="M227" s="53"/>
      <c r="N227" s="53"/>
      <c r="O227" s="53"/>
      <c r="P227" s="53"/>
      <c r="Q227" s="53"/>
      <c r="R227" s="53"/>
      <c r="S227" s="134"/>
      <c r="T227" s="134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ht="12.75" customHeight="1">
      <c r="A228" s="134"/>
      <c r="B228" s="134"/>
      <c r="C228" s="134"/>
      <c r="D228" s="134"/>
      <c r="E228" s="134"/>
      <c r="F228" s="134"/>
      <c r="G228" s="134"/>
      <c r="H228" s="52"/>
      <c r="I228" s="52"/>
      <c r="J228" s="52"/>
      <c r="K228" s="134"/>
      <c r="L228" s="53"/>
      <c r="M228" s="53"/>
      <c r="N228" s="53"/>
      <c r="O228" s="53"/>
      <c r="P228" s="53"/>
      <c r="Q228" s="53"/>
      <c r="R228" s="53"/>
      <c r="S228" s="134"/>
      <c r="T228" s="134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ht="12.75" customHeight="1">
      <c r="A229" s="134"/>
      <c r="B229" s="134"/>
      <c r="C229" s="134"/>
      <c r="D229" s="134"/>
      <c r="E229" s="134"/>
      <c r="F229" s="134"/>
      <c r="G229" s="134"/>
      <c r="H229" s="52"/>
      <c r="I229" s="52"/>
      <c r="J229" s="52"/>
      <c r="K229" s="134"/>
      <c r="L229" s="53"/>
      <c r="M229" s="53"/>
      <c r="N229" s="53"/>
      <c r="O229" s="53"/>
      <c r="P229" s="53"/>
      <c r="Q229" s="53"/>
      <c r="R229" s="53"/>
      <c r="S229" s="134"/>
      <c r="T229" s="134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ht="12.75" customHeight="1">
      <c r="A230" s="134"/>
      <c r="B230" s="134"/>
      <c r="C230" s="134"/>
      <c r="D230" s="134"/>
      <c r="E230" s="134"/>
      <c r="F230" s="134"/>
      <c r="G230" s="134"/>
      <c r="H230" s="52"/>
      <c r="I230" s="52"/>
      <c r="J230" s="52"/>
      <c r="K230" s="134"/>
      <c r="L230" s="53"/>
      <c r="M230" s="53"/>
      <c r="N230" s="53"/>
      <c r="O230" s="53"/>
      <c r="P230" s="53"/>
      <c r="Q230" s="53"/>
      <c r="R230" s="53"/>
      <c r="S230" s="134"/>
      <c r="T230" s="134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ht="12.75" customHeight="1">
      <c r="A231" s="134"/>
      <c r="B231" s="134"/>
      <c r="C231" s="134"/>
      <c r="D231" s="134"/>
      <c r="E231" s="134"/>
      <c r="F231" s="134"/>
      <c r="G231" s="134"/>
      <c r="H231" s="52"/>
      <c r="I231" s="52"/>
      <c r="J231" s="52"/>
      <c r="K231" s="134"/>
      <c r="L231" s="53"/>
      <c r="M231" s="53"/>
      <c r="N231" s="53"/>
      <c r="O231" s="53"/>
      <c r="P231" s="53"/>
      <c r="Q231" s="53"/>
      <c r="R231" s="53"/>
      <c r="S231" s="134"/>
      <c r="T231" s="134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ht="12.75" customHeight="1">
      <c r="A232" s="134"/>
      <c r="B232" s="134"/>
      <c r="C232" s="134"/>
      <c r="D232" s="134"/>
      <c r="E232" s="134"/>
      <c r="F232" s="134"/>
      <c r="G232" s="134"/>
      <c r="H232" s="52"/>
      <c r="I232" s="52"/>
      <c r="J232" s="52"/>
      <c r="K232" s="134"/>
      <c r="L232" s="53"/>
      <c r="M232" s="53"/>
      <c r="N232" s="53"/>
      <c r="O232" s="53"/>
      <c r="P232" s="53"/>
      <c r="Q232" s="53"/>
      <c r="R232" s="53"/>
      <c r="S232" s="134"/>
      <c r="T232" s="134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ht="12.75" customHeight="1">
      <c r="A233" s="134"/>
      <c r="B233" s="134"/>
      <c r="C233" s="134"/>
      <c r="D233" s="134"/>
      <c r="E233" s="134"/>
      <c r="F233" s="134"/>
      <c r="G233" s="134"/>
      <c r="H233" s="52"/>
      <c r="I233" s="52"/>
      <c r="J233" s="52"/>
      <c r="K233" s="134"/>
      <c r="L233" s="53"/>
      <c r="M233" s="53"/>
      <c r="N233" s="53"/>
      <c r="O233" s="53"/>
      <c r="P233" s="53"/>
      <c r="Q233" s="53"/>
      <c r="R233" s="53"/>
      <c r="S233" s="134"/>
      <c r="T233" s="134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ht="12.75" customHeight="1">
      <c r="A234" s="134"/>
      <c r="B234" s="134"/>
      <c r="C234" s="134"/>
      <c r="D234" s="134"/>
      <c r="E234" s="134"/>
      <c r="F234" s="134"/>
      <c r="G234" s="134"/>
      <c r="H234" s="52"/>
      <c r="I234" s="52"/>
      <c r="J234" s="52"/>
      <c r="K234" s="134"/>
      <c r="L234" s="53"/>
      <c r="M234" s="53"/>
      <c r="N234" s="53"/>
      <c r="O234" s="53"/>
      <c r="P234" s="53"/>
      <c r="Q234" s="53"/>
      <c r="R234" s="53"/>
      <c r="S234" s="134"/>
      <c r="T234" s="134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ht="12.75" customHeight="1">
      <c r="A235" s="134"/>
      <c r="B235" s="134"/>
      <c r="C235" s="134"/>
      <c r="D235" s="134"/>
      <c r="E235" s="134"/>
      <c r="F235" s="134"/>
      <c r="G235" s="134"/>
      <c r="H235" s="52"/>
      <c r="I235" s="52"/>
      <c r="J235" s="52"/>
      <c r="K235" s="134"/>
      <c r="L235" s="53"/>
      <c r="M235" s="53"/>
      <c r="N235" s="53"/>
      <c r="O235" s="53"/>
      <c r="P235" s="53"/>
      <c r="Q235" s="53"/>
      <c r="R235" s="53"/>
      <c r="S235" s="134"/>
      <c r="T235" s="134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ht="12.75" customHeight="1">
      <c r="A236" s="134"/>
      <c r="B236" s="134"/>
      <c r="C236" s="134"/>
      <c r="D236" s="134"/>
      <c r="E236" s="134"/>
      <c r="F236" s="134"/>
      <c r="G236" s="134"/>
      <c r="H236" s="52"/>
      <c r="I236" s="52"/>
      <c r="J236" s="52"/>
      <c r="K236" s="134"/>
      <c r="L236" s="53"/>
      <c r="M236" s="53"/>
      <c r="N236" s="53"/>
      <c r="O236" s="53"/>
      <c r="P236" s="53"/>
      <c r="Q236" s="53"/>
      <c r="R236" s="53"/>
      <c r="S236" s="134"/>
      <c r="T236" s="134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ht="12.75" customHeight="1">
      <c r="A237" s="134"/>
      <c r="B237" s="134"/>
      <c r="C237" s="134"/>
      <c r="D237" s="134"/>
      <c r="E237" s="134"/>
      <c r="F237" s="134"/>
      <c r="G237" s="134"/>
      <c r="H237" s="52"/>
      <c r="I237" s="52"/>
      <c r="J237" s="52"/>
      <c r="K237" s="134"/>
      <c r="L237" s="53"/>
      <c r="M237" s="53"/>
      <c r="N237" s="53"/>
      <c r="O237" s="53"/>
      <c r="P237" s="53"/>
      <c r="Q237" s="53"/>
      <c r="R237" s="53"/>
      <c r="S237" s="134"/>
      <c r="T237" s="134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ht="12.75" customHeight="1">
      <c r="A238" s="134"/>
      <c r="B238" s="134"/>
      <c r="C238" s="134"/>
      <c r="D238" s="134"/>
      <c r="E238" s="134"/>
      <c r="F238" s="134"/>
      <c r="G238" s="134"/>
      <c r="H238" s="52"/>
      <c r="I238" s="52"/>
      <c r="J238" s="52"/>
      <c r="K238" s="134"/>
      <c r="L238" s="53"/>
      <c r="M238" s="53"/>
      <c r="N238" s="53"/>
      <c r="O238" s="53"/>
      <c r="P238" s="53"/>
      <c r="Q238" s="53"/>
      <c r="R238" s="53"/>
      <c r="S238" s="134"/>
      <c r="T238" s="134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ht="12.75" customHeight="1">
      <c r="A239" s="134"/>
      <c r="B239" s="134"/>
      <c r="C239" s="134"/>
      <c r="D239" s="134"/>
      <c r="E239" s="134"/>
      <c r="F239" s="134"/>
      <c r="G239" s="134"/>
      <c r="H239" s="52"/>
      <c r="I239" s="52"/>
      <c r="J239" s="52"/>
      <c r="K239" s="134"/>
      <c r="L239" s="53"/>
      <c r="M239" s="53"/>
      <c r="N239" s="53"/>
      <c r="O239" s="53"/>
      <c r="P239" s="53"/>
      <c r="Q239" s="53"/>
      <c r="R239" s="53"/>
      <c r="S239" s="134"/>
      <c r="T239" s="134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ht="12.75" customHeight="1">
      <c r="A240" s="134"/>
      <c r="B240" s="134"/>
      <c r="C240" s="134"/>
      <c r="D240" s="134"/>
      <c r="E240" s="134"/>
      <c r="F240" s="134"/>
      <c r="G240" s="134"/>
      <c r="H240" s="52"/>
      <c r="I240" s="52"/>
      <c r="J240" s="52"/>
      <c r="K240" s="134"/>
      <c r="L240" s="53"/>
      <c r="M240" s="53"/>
      <c r="N240" s="53"/>
      <c r="O240" s="53"/>
      <c r="P240" s="53"/>
      <c r="Q240" s="53"/>
      <c r="R240" s="53"/>
      <c r="S240" s="134"/>
      <c r="T240" s="134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ht="12.75" customHeight="1">
      <c r="A241" s="134"/>
      <c r="B241" s="134"/>
      <c r="C241" s="134"/>
      <c r="D241" s="134"/>
      <c r="E241" s="134"/>
      <c r="F241" s="134"/>
      <c r="G241" s="134"/>
      <c r="H241" s="52"/>
      <c r="I241" s="52"/>
      <c r="J241" s="52"/>
      <c r="K241" s="134"/>
      <c r="L241" s="53"/>
      <c r="M241" s="53"/>
      <c r="N241" s="53"/>
      <c r="O241" s="53"/>
      <c r="P241" s="53"/>
      <c r="Q241" s="53"/>
      <c r="R241" s="53"/>
      <c r="S241" s="134"/>
      <c r="T241" s="134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ht="12.75" customHeight="1">
      <c r="A242" s="134"/>
      <c r="B242" s="134"/>
      <c r="C242" s="134"/>
      <c r="D242" s="134"/>
      <c r="E242" s="134"/>
      <c r="F242" s="134"/>
      <c r="G242" s="134"/>
      <c r="H242" s="52"/>
      <c r="I242" s="52"/>
      <c r="J242" s="52"/>
      <c r="K242" s="134"/>
      <c r="L242" s="53"/>
      <c r="M242" s="53"/>
      <c r="N242" s="53"/>
      <c r="O242" s="53"/>
      <c r="P242" s="53"/>
      <c r="Q242" s="53"/>
      <c r="R242" s="53"/>
      <c r="S242" s="134"/>
      <c r="T242" s="134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ht="12.75" customHeight="1">
      <c r="A243" s="134"/>
      <c r="B243" s="134"/>
      <c r="C243" s="134"/>
      <c r="D243" s="134"/>
      <c r="E243" s="134"/>
      <c r="F243" s="134"/>
      <c r="G243" s="134"/>
      <c r="H243" s="52"/>
      <c r="I243" s="52"/>
      <c r="J243" s="52"/>
      <c r="K243" s="134"/>
      <c r="L243" s="53"/>
      <c r="M243" s="53"/>
      <c r="N243" s="53"/>
      <c r="O243" s="53"/>
      <c r="P243" s="53"/>
      <c r="Q243" s="53"/>
      <c r="R243" s="53"/>
      <c r="S243" s="134"/>
      <c r="T243" s="134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ht="12.75" customHeight="1">
      <c r="A244" s="134"/>
      <c r="B244" s="134"/>
      <c r="C244" s="134"/>
      <c r="D244" s="134"/>
      <c r="E244" s="134"/>
      <c r="F244" s="134"/>
      <c r="G244" s="134"/>
      <c r="H244" s="52"/>
      <c r="I244" s="52"/>
      <c r="J244" s="52"/>
      <c r="K244" s="134"/>
      <c r="L244" s="53"/>
      <c r="M244" s="53"/>
      <c r="N244" s="53"/>
      <c r="O244" s="53"/>
      <c r="P244" s="53"/>
      <c r="Q244" s="53"/>
      <c r="R244" s="53"/>
      <c r="S244" s="134"/>
      <c r="T244" s="134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ht="12.75" customHeight="1">
      <c r="A245" s="134"/>
      <c r="B245" s="134"/>
      <c r="C245" s="134"/>
      <c r="D245" s="134"/>
      <c r="E245" s="134"/>
      <c r="F245" s="134"/>
      <c r="G245" s="134"/>
      <c r="H245" s="52"/>
      <c r="I245" s="52"/>
      <c r="J245" s="52"/>
      <c r="K245" s="134"/>
      <c r="L245" s="53"/>
      <c r="M245" s="53"/>
      <c r="N245" s="53"/>
      <c r="O245" s="53"/>
      <c r="P245" s="53"/>
      <c r="Q245" s="53"/>
      <c r="R245" s="53"/>
      <c r="S245" s="134"/>
      <c r="T245" s="134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ht="12.75" customHeight="1">
      <c r="A246" s="134"/>
      <c r="B246" s="134"/>
      <c r="C246" s="134"/>
      <c r="D246" s="134"/>
      <c r="E246" s="134"/>
      <c r="F246" s="134"/>
      <c r="G246" s="134"/>
      <c r="H246" s="52"/>
      <c r="I246" s="52"/>
      <c r="J246" s="52"/>
      <c r="K246" s="134"/>
      <c r="L246" s="53"/>
      <c r="M246" s="53"/>
      <c r="N246" s="53"/>
      <c r="O246" s="53"/>
      <c r="P246" s="53"/>
      <c r="Q246" s="53"/>
      <c r="R246" s="53"/>
      <c r="S246" s="134"/>
      <c r="T246" s="134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ht="12.75" customHeight="1">
      <c r="A247" s="134"/>
      <c r="B247" s="134"/>
      <c r="C247" s="134"/>
      <c r="D247" s="134"/>
      <c r="E247" s="134"/>
      <c r="F247" s="134"/>
      <c r="G247" s="134"/>
      <c r="H247" s="52"/>
      <c r="I247" s="52"/>
      <c r="J247" s="52"/>
      <c r="K247" s="134"/>
      <c r="L247" s="53"/>
      <c r="M247" s="53"/>
      <c r="N247" s="53"/>
      <c r="O247" s="53"/>
      <c r="P247" s="53"/>
      <c r="Q247" s="53"/>
      <c r="R247" s="53"/>
      <c r="S247" s="134"/>
      <c r="T247" s="134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ht="12.75" customHeight="1">
      <c r="A248" s="134"/>
      <c r="B248" s="134"/>
      <c r="C248" s="134"/>
      <c r="D248" s="134"/>
      <c r="E248" s="134"/>
      <c r="F248" s="134"/>
      <c r="G248" s="134"/>
      <c r="H248" s="52"/>
      <c r="I248" s="52"/>
      <c r="J248" s="52"/>
      <c r="K248" s="134"/>
      <c r="L248" s="53"/>
      <c r="M248" s="53"/>
      <c r="N248" s="53"/>
      <c r="O248" s="53"/>
      <c r="P248" s="53"/>
      <c r="Q248" s="53"/>
      <c r="R248" s="53"/>
      <c r="S248" s="134"/>
      <c r="T248" s="134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ht="12.75" customHeight="1">
      <c r="A249" s="134"/>
      <c r="B249" s="134"/>
      <c r="C249" s="134"/>
      <c r="D249" s="134"/>
      <c r="E249" s="134"/>
      <c r="F249" s="134"/>
      <c r="G249" s="134"/>
      <c r="H249" s="52"/>
      <c r="I249" s="52"/>
      <c r="J249" s="52"/>
      <c r="K249" s="134"/>
      <c r="L249" s="53"/>
      <c r="M249" s="53"/>
      <c r="N249" s="53"/>
      <c r="O249" s="53"/>
      <c r="P249" s="53"/>
      <c r="Q249" s="53"/>
      <c r="R249" s="53"/>
      <c r="S249" s="134"/>
      <c r="T249" s="134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ht="12.75" customHeight="1">
      <c r="A250" s="134"/>
      <c r="B250" s="134"/>
      <c r="C250" s="134"/>
      <c r="D250" s="134"/>
      <c r="E250" s="134"/>
      <c r="F250" s="134"/>
      <c r="G250" s="134"/>
      <c r="H250" s="52"/>
      <c r="I250" s="52"/>
      <c r="J250" s="52"/>
      <c r="K250" s="134"/>
      <c r="L250" s="53"/>
      <c r="M250" s="53"/>
      <c r="N250" s="53"/>
      <c r="O250" s="53"/>
      <c r="P250" s="53"/>
      <c r="Q250" s="53"/>
      <c r="R250" s="53"/>
      <c r="S250" s="134"/>
      <c r="T250" s="134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ht="12.75" customHeight="1">
      <c r="A251" s="134"/>
      <c r="B251" s="134"/>
      <c r="C251" s="134"/>
      <c r="D251" s="134"/>
      <c r="E251" s="134"/>
      <c r="F251" s="134"/>
      <c r="G251" s="134"/>
      <c r="H251" s="52"/>
      <c r="I251" s="52"/>
      <c r="J251" s="52"/>
      <c r="K251" s="134"/>
      <c r="L251" s="53"/>
      <c r="M251" s="53"/>
      <c r="N251" s="53"/>
      <c r="O251" s="53"/>
      <c r="P251" s="53"/>
      <c r="Q251" s="53"/>
      <c r="R251" s="53"/>
      <c r="S251" s="134"/>
      <c r="T251" s="134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ht="12.75" customHeight="1">
      <c r="A252" s="134"/>
      <c r="B252" s="134"/>
      <c r="C252" s="134"/>
      <c r="D252" s="134"/>
      <c r="E252" s="134"/>
      <c r="F252" s="134"/>
      <c r="G252" s="134"/>
      <c r="H252" s="52"/>
      <c r="I252" s="52"/>
      <c r="J252" s="52"/>
      <c r="K252" s="134"/>
      <c r="L252" s="53"/>
      <c r="M252" s="53"/>
      <c r="N252" s="53"/>
      <c r="O252" s="53"/>
      <c r="P252" s="53"/>
      <c r="Q252" s="53"/>
      <c r="R252" s="53"/>
      <c r="S252" s="134"/>
      <c r="T252" s="134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ht="12.75" customHeight="1">
      <c r="A253" s="134"/>
      <c r="B253" s="134"/>
      <c r="C253" s="134"/>
      <c r="D253" s="134"/>
      <c r="E253" s="134"/>
      <c r="F253" s="134"/>
      <c r="G253" s="134"/>
      <c r="H253" s="52"/>
      <c r="I253" s="52"/>
      <c r="J253" s="52"/>
      <c r="K253" s="134"/>
      <c r="L253" s="53"/>
      <c r="M253" s="53"/>
      <c r="N253" s="53"/>
      <c r="O253" s="53"/>
      <c r="P253" s="53"/>
      <c r="Q253" s="53"/>
      <c r="R253" s="53"/>
      <c r="S253" s="134"/>
      <c r="T253" s="134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ht="12.75" customHeight="1">
      <c r="A254" s="134"/>
      <c r="B254" s="134"/>
      <c r="C254" s="134"/>
      <c r="D254" s="134"/>
      <c r="E254" s="134"/>
      <c r="F254" s="134"/>
      <c r="G254" s="134"/>
      <c r="H254" s="52"/>
      <c r="I254" s="52"/>
      <c r="J254" s="52"/>
      <c r="K254" s="134"/>
      <c r="L254" s="53"/>
      <c r="M254" s="53"/>
      <c r="N254" s="53"/>
      <c r="O254" s="53"/>
      <c r="P254" s="53"/>
      <c r="Q254" s="53"/>
      <c r="R254" s="53"/>
      <c r="S254" s="134"/>
      <c r="T254" s="134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ht="12.75" customHeight="1">
      <c r="A255" s="134"/>
      <c r="B255" s="134"/>
      <c r="C255" s="134"/>
      <c r="D255" s="134"/>
      <c r="E255" s="134"/>
      <c r="F255" s="134"/>
      <c r="G255" s="134"/>
      <c r="H255" s="52"/>
      <c r="I255" s="52"/>
      <c r="J255" s="52"/>
      <c r="K255" s="134"/>
      <c r="L255" s="53"/>
      <c r="M255" s="53"/>
      <c r="N255" s="53"/>
      <c r="O255" s="53"/>
      <c r="P255" s="53"/>
      <c r="Q255" s="53"/>
      <c r="R255" s="53"/>
      <c r="S255" s="134"/>
      <c r="T255" s="134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ht="12.75" customHeight="1">
      <c r="A256" s="134"/>
      <c r="B256" s="134"/>
      <c r="C256" s="134"/>
      <c r="D256" s="134"/>
      <c r="E256" s="134"/>
      <c r="F256" s="134"/>
      <c r="G256" s="134"/>
      <c r="H256" s="52"/>
      <c r="I256" s="52"/>
      <c r="J256" s="52"/>
      <c r="K256" s="134"/>
      <c r="L256" s="53"/>
      <c r="M256" s="53"/>
      <c r="N256" s="53"/>
      <c r="O256" s="53"/>
      <c r="P256" s="53"/>
      <c r="Q256" s="53"/>
      <c r="R256" s="53"/>
      <c r="S256" s="134"/>
      <c r="T256" s="134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ht="12.75" customHeight="1">
      <c r="A257" s="134"/>
      <c r="B257" s="134"/>
      <c r="C257" s="134"/>
      <c r="D257" s="134"/>
      <c r="E257" s="134"/>
      <c r="F257" s="134"/>
      <c r="G257" s="134"/>
      <c r="H257" s="52"/>
      <c r="I257" s="52"/>
      <c r="J257" s="52"/>
      <c r="K257" s="134"/>
      <c r="L257" s="53"/>
      <c r="M257" s="53"/>
      <c r="N257" s="53"/>
      <c r="O257" s="53"/>
      <c r="P257" s="53"/>
      <c r="Q257" s="53"/>
      <c r="R257" s="53"/>
      <c r="S257" s="134"/>
      <c r="T257" s="134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ht="12.75" customHeight="1">
      <c r="A258" s="134"/>
      <c r="B258" s="134"/>
      <c r="C258" s="134"/>
      <c r="D258" s="134"/>
      <c r="E258" s="134"/>
      <c r="F258" s="134"/>
      <c r="G258" s="134"/>
      <c r="H258" s="52"/>
      <c r="I258" s="52"/>
      <c r="J258" s="52"/>
      <c r="K258" s="134"/>
      <c r="L258" s="53"/>
      <c r="M258" s="53"/>
      <c r="N258" s="53"/>
      <c r="O258" s="53"/>
      <c r="P258" s="53"/>
      <c r="Q258" s="53"/>
      <c r="R258" s="53"/>
      <c r="S258" s="134"/>
      <c r="T258" s="134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ht="12.75" customHeight="1">
      <c r="A259" s="134"/>
      <c r="B259" s="134"/>
      <c r="C259" s="134"/>
      <c r="D259" s="134"/>
      <c r="E259" s="134"/>
      <c r="F259" s="134"/>
      <c r="G259" s="134"/>
      <c r="H259" s="52"/>
      <c r="I259" s="52"/>
      <c r="J259" s="52"/>
      <c r="K259" s="134"/>
      <c r="L259" s="53"/>
      <c r="M259" s="53"/>
      <c r="N259" s="53"/>
      <c r="O259" s="53"/>
      <c r="P259" s="53"/>
      <c r="Q259" s="53"/>
      <c r="R259" s="53"/>
      <c r="S259" s="134"/>
      <c r="T259" s="134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ht="12.75" customHeight="1">
      <c r="A260" s="134"/>
      <c r="B260" s="134"/>
      <c r="C260" s="134"/>
      <c r="D260" s="134"/>
      <c r="E260" s="134"/>
      <c r="F260" s="134"/>
      <c r="G260" s="134"/>
      <c r="H260" s="52"/>
      <c r="I260" s="52"/>
      <c r="J260" s="52"/>
      <c r="K260" s="134"/>
      <c r="L260" s="53"/>
      <c r="M260" s="53"/>
      <c r="N260" s="53"/>
      <c r="O260" s="53"/>
      <c r="P260" s="53"/>
      <c r="Q260" s="53"/>
      <c r="R260" s="53"/>
      <c r="S260" s="134"/>
      <c r="T260" s="134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ht="12.75" customHeight="1">
      <c r="A261" s="134"/>
      <c r="B261" s="134"/>
      <c r="C261" s="134"/>
      <c r="D261" s="134"/>
      <c r="E261" s="134"/>
      <c r="F261" s="134"/>
      <c r="G261" s="134"/>
      <c r="H261" s="52"/>
      <c r="I261" s="52"/>
      <c r="J261" s="52"/>
      <c r="K261" s="134"/>
      <c r="L261" s="53"/>
      <c r="M261" s="53"/>
      <c r="N261" s="53"/>
      <c r="O261" s="53"/>
      <c r="P261" s="53"/>
      <c r="Q261" s="53"/>
      <c r="R261" s="53"/>
      <c r="S261" s="134"/>
      <c r="T261" s="134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ht="12.75" customHeight="1">
      <c r="A262" s="134"/>
      <c r="B262" s="134"/>
      <c r="C262" s="134"/>
      <c r="D262" s="134"/>
      <c r="E262" s="134"/>
      <c r="F262" s="134"/>
      <c r="G262" s="134"/>
      <c r="H262" s="52"/>
      <c r="I262" s="52"/>
      <c r="J262" s="52"/>
      <c r="K262" s="134"/>
      <c r="L262" s="53"/>
      <c r="M262" s="53"/>
      <c r="N262" s="53"/>
      <c r="O262" s="53"/>
      <c r="P262" s="53"/>
      <c r="Q262" s="53"/>
      <c r="R262" s="53"/>
      <c r="S262" s="134"/>
      <c r="T262" s="134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ht="12.75" customHeight="1">
      <c r="A263" s="134"/>
      <c r="B263" s="134"/>
      <c r="C263" s="134"/>
      <c r="D263" s="134"/>
      <c r="E263" s="134"/>
      <c r="F263" s="134"/>
      <c r="G263" s="134"/>
      <c r="H263" s="52"/>
      <c r="I263" s="52"/>
      <c r="J263" s="52"/>
      <c r="K263" s="134"/>
      <c r="L263" s="53"/>
      <c r="M263" s="53"/>
      <c r="N263" s="53"/>
      <c r="O263" s="53"/>
      <c r="P263" s="53"/>
      <c r="Q263" s="53"/>
      <c r="R263" s="53"/>
      <c r="S263" s="134"/>
      <c r="T263" s="134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ht="12.75" customHeight="1">
      <c r="A264" s="134"/>
      <c r="B264" s="134"/>
      <c r="C264" s="134"/>
      <c r="D264" s="134"/>
      <c r="E264" s="134"/>
      <c r="F264" s="134"/>
      <c r="G264" s="134"/>
      <c r="H264" s="52"/>
      <c r="I264" s="52"/>
      <c r="J264" s="52"/>
      <c r="K264" s="134"/>
      <c r="L264" s="53"/>
      <c r="M264" s="53"/>
      <c r="N264" s="53"/>
      <c r="O264" s="53"/>
      <c r="P264" s="53"/>
      <c r="Q264" s="53"/>
      <c r="R264" s="53"/>
      <c r="S264" s="134"/>
      <c r="T264" s="134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ht="12.75" customHeight="1">
      <c r="A265" s="134"/>
      <c r="B265" s="134"/>
      <c r="C265" s="134"/>
      <c r="D265" s="134"/>
      <c r="E265" s="134"/>
      <c r="F265" s="134"/>
      <c r="G265" s="134"/>
      <c r="H265" s="52"/>
      <c r="I265" s="52"/>
      <c r="J265" s="52"/>
      <c r="K265" s="134"/>
      <c r="L265" s="53"/>
      <c r="M265" s="53"/>
      <c r="N265" s="53"/>
      <c r="O265" s="53"/>
      <c r="P265" s="53"/>
      <c r="Q265" s="53"/>
      <c r="R265" s="53"/>
      <c r="S265" s="134"/>
      <c r="T265" s="134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ht="12.75" customHeight="1">
      <c r="A266" s="134"/>
      <c r="B266" s="134"/>
      <c r="C266" s="134"/>
      <c r="D266" s="134"/>
      <c r="E266" s="134"/>
      <c r="F266" s="134"/>
      <c r="G266" s="134"/>
      <c r="H266" s="52"/>
      <c r="I266" s="52"/>
      <c r="J266" s="52"/>
      <c r="K266" s="134"/>
      <c r="L266" s="53"/>
      <c r="M266" s="53"/>
      <c r="N266" s="53"/>
      <c r="O266" s="53"/>
      <c r="P266" s="53"/>
      <c r="Q266" s="53"/>
      <c r="R266" s="53"/>
      <c r="S266" s="134"/>
      <c r="T266" s="134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ht="12.75" customHeight="1">
      <c r="A267" s="134"/>
      <c r="B267" s="134"/>
      <c r="C267" s="134"/>
      <c r="D267" s="134"/>
      <c r="E267" s="134"/>
      <c r="F267" s="134"/>
      <c r="G267" s="134"/>
      <c r="H267" s="52"/>
      <c r="I267" s="52"/>
      <c r="J267" s="52"/>
      <c r="K267" s="134"/>
      <c r="L267" s="53"/>
      <c r="M267" s="53"/>
      <c r="N267" s="53"/>
      <c r="O267" s="53"/>
      <c r="P267" s="53"/>
      <c r="Q267" s="53"/>
      <c r="R267" s="53"/>
      <c r="S267" s="134"/>
      <c r="T267" s="134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ht="12.75" customHeight="1">
      <c r="A268" s="134"/>
      <c r="B268" s="134"/>
      <c r="C268" s="134"/>
      <c r="D268" s="134"/>
      <c r="E268" s="134"/>
      <c r="F268" s="134"/>
      <c r="G268" s="134"/>
      <c r="H268" s="52"/>
      <c r="I268" s="52"/>
      <c r="J268" s="52"/>
      <c r="K268" s="134"/>
      <c r="L268" s="53"/>
      <c r="M268" s="53"/>
      <c r="N268" s="53"/>
      <c r="O268" s="53"/>
      <c r="P268" s="53"/>
      <c r="Q268" s="53"/>
      <c r="R268" s="53"/>
      <c r="S268" s="134"/>
      <c r="T268" s="134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ht="12.75" customHeight="1">
      <c r="A269" s="134"/>
      <c r="B269" s="134"/>
      <c r="C269" s="134"/>
      <c r="D269" s="134"/>
      <c r="E269" s="134"/>
      <c r="F269" s="134"/>
      <c r="G269" s="134"/>
      <c r="H269" s="52"/>
      <c r="I269" s="52"/>
      <c r="J269" s="52"/>
      <c r="K269" s="134"/>
      <c r="L269" s="53"/>
      <c r="M269" s="53"/>
      <c r="N269" s="53"/>
      <c r="O269" s="53"/>
      <c r="P269" s="53"/>
      <c r="Q269" s="53"/>
      <c r="R269" s="53"/>
      <c r="S269" s="134"/>
      <c r="T269" s="134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ht="12.75" customHeight="1">
      <c r="A270" s="134"/>
      <c r="B270" s="134"/>
      <c r="C270" s="134"/>
      <c r="D270" s="134"/>
      <c r="E270" s="134"/>
      <c r="F270" s="134"/>
      <c r="G270" s="134"/>
      <c r="H270" s="52"/>
      <c r="I270" s="52"/>
      <c r="J270" s="52"/>
      <c r="K270" s="134"/>
      <c r="L270" s="53"/>
      <c r="M270" s="53"/>
      <c r="N270" s="53"/>
      <c r="O270" s="53"/>
      <c r="P270" s="53"/>
      <c r="Q270" s="53"/>
      <c r="R270" s="53"/>
      <c r="S270" s="134"/>
      <c r="T270" s="134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ht="12.75" customHeight="1">
      <c r="A271" s="134"/>
      <c r="B271" s="134"/>
      <c r="C271" s="134"/>
      <c r="D271" s="134"/>
      <c r="E271" s="134"/>
      <c r="F271" s="134"/>
      <c r="G271" s="134"/>
      <c r="H271" s="52"/>
      <c r="I271" s="52"/>
      <c r="J271" s="52"/>
      <c r="K271" s="134"/>
      <c r="L271" s="53"/>
      <c r="M271" s="53"/>
      <c r="N271" s="53"/>
      <c r="O271" s="53"/>
      <c r="P271" s="53"/>
      <c r="Q271" s="53"/>
      <c r="R271" s="53"/>
      <c r="S271" s="134"/>
      <c r="T271" s="134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ht="12.75" customHeight="1">
      <c r="A272" s="134"/>
      <c r="B272" s="134"/>
      <c r="C272" s="134"/>
      <c r="D272" s="134"/>
      <c r="E272" s="134"/>
      <c r="F272" s="134"/>
      <c r="G272" s="134"/>
      <c r="H272" s="52"/>
      <c r="I272" s="52"/>
      <c r="J272" s="52"/>
      <c r="K272" s="134"/>
      <c r="L272" s="53"/>
      <c r="M272" s="53"/>
      <c r="N272" s="53"/>
      <c r="O272" s="53"/>
      <c r="P272" s="53"/>
      <c r="Q272" s="53"/>
      <c r="R272" s="53"/>
      <c r="S272" s="134"/>
      <c r="T272" s="134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ht="12.75" customHeight="1">
      <c r="A273" s="134"/>
      <c r="B273" s="134"/>
      <c r="C273" s="134"/>
      <c r="D273" s="134"/>
      <c r="E273" s="134"/>
      <c r="F273" s="134"/>
      <c r="G273" s="134"/>
      <c r="H273" s="52"/>
      <c r="I273" s="52"/>
      <c r="J273" s="52"/>
      <c r="K273" s="134"/>
      <c r="L273" s="53"/>
      <c r="M273" s="53"/>
      <c r="N273" s="53"/>
      <c r="O273" s="53"/>
      <c r="P273" s="53"/>
      <c r="Q273" s="53"/>
      <c r="R273" s="53"/>
      <c r="S273" s="134"/>
      <c r="T273" s="134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ht="12.75" customHeight="1">
      <c r="A274" s="134"/>
      <c r="B274" s="134"/>
      <c r="C274" s="134"/>
      <c r="D274" s="134"/>
      <c r="E274" s="134"/>
      <c r="F274" s="134"/>
      <c r="G274" s="134"/>
      <c r="H274" s="52"/>
      <c r="I274" s="52"/>
      <c r="J274" s="52"/>
      <c r="K274" s="134"/>
      <c r="L274" s="53"/>
      <c r="M274" s="53"/>
      <c r="N274" s="53"/>
      <c r="O274" s="53"/>
      <c r="P274" s="53"/>
      <c r="Q274" s="53"/>
      <c r="R274" s="53"/>
      <c r="S274" s="134"/>
      <c r="T274" s="134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ht="12.75" customHeight="1">
      <c r="A275" s="134"/>
      <c r="B275" s="134"/>
      <c r="C275" s="134"/>
      <c r="D275" s="134"/>
      <c r="E275" s="134"/>
      <c r="F275" s="134"/>
      <c r="G275" s="134"/>
      <c r="H275" s="52"/>
      <c r="I275" s="52"/>
      <c r="J275" s="52"/>
      <c r="K275" s="134"/>
      <c r="L275" s="53"/>
      <c r="M275" s="53"/>
      <c r="N275" s="53"/>
      <c r="O275" s="53"/>
      <c r="P275" s="53"/>
      <c r="Q275" s="53"/>
      <c r="R275" s="53"/>
      <c r="S275" s="134"/>
      <c r="T275" s="134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ht="12.75" customHeight="1">
      <c r="A276" s="134"/>
      <c r="B276" s="134"/>
      <c r="C276" s="134"/>
      <c r="D276" s="134"/>
      <c r="E276" s="134"/>
      <c r="F276" s="134"/>
      <c r="G276" s="134"/>
      <c r="H276" s="52"/>
      <c r="I276" s="52"/>
      <c r="J276" s="52"/>
      <c r="K276" s="134"/>
      <c r="L276" s="53"/>
      <c r="M276" s="53"/>
      <c r="N276" s="53"/>
      <c r="O276" s="53"/>
      <c r="P276" s="53"/>
      <c r="Q276" s="53"/>
      <c r="R276" s="53"/>
      <c r="S276" s="134"/>
      <c r="T276" s="134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ht="12.75" customHeight="1">
      <c r="A277" s="134"/>
      <c r="B277" s="134"/>
      <c r="C277" s="134"/>
      <c r="D277" s="134"/>
      <c r="E277" s="134"/>
      <c r="F277" s="134"/>
      <c r="G277" s="134"/>
      <c r="H277" s="52"/>
      <c r="I277" s="52"/>
      <c r="J277" s="52"/>
      <c r="K277" s="134"/>
      <c r="L277" s="53"/>
      <c r="M277" s="53"/>
      <c r="N277" s="53"/>
      <c r="O277" s="53"/>
      <c r="P277" s="53"/>
      <c r="Q277" s="53"/>
      <c r="R277" s="53"/>
      <c r="S277" s="134"/>
      <c r="T277" s="134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ht="12.75" customHeight="1">
      <c r="A278" s="134"/>
      <c r="B278" s="134"/>
      <c r="C278" s="134"/>
      <c r="D278" s="134"/>
      <c r="E278" s="134"/>
      <c r="F278" s="134"/>
      <c r="G278" s="134"/>
      <c r="H278" s="52"/>
      <c r="I278" s="52"/>
      <c r="J278" s="52"/>
      <c r="K278" s="134"/>
      <c r="L278" s="53"/>
      <c r="M278" s="53"/>
      <c r="N278" s="53"/>
      <c r="O278" s="53"/>
      <c r="P278" s="53"/>
      <c r="Q278" s="53"/>
      <c r="R278" s="53"/>
      <c r="S278" s="134"/>
      <c r="T278" s="134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ht="12.75" customHeight="1">
      <c r="A279" s="134"/>
      <c r="B279" s="134"/>
      <c r="C279" s="134"/>
      <c r="D279" s="134"/>
      <c r="E279" s="134"/>
      <c r="F279" s="134"/>
      <c r="G279" s="134"/>
      <c r="H279" s="52"/>
      <c r="I279" s="52"/>
      <c r="J279" s="52"/>
      <c r="K279" s="134"/>
      <c r="L279" s="53"/>
      <c r="M279" s="53"/>
      <c r="N279" s="53"/>
      <c r="O279" s="53"/>
      <c r="P279" s="53"/>
      <c r="Q279" s="53"/>
      <c r="R279" s="53"/>
      <c r="S279" s="134"/>
      <c r="T279" s="134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ht="12.75" customHeight="1">
      <c r="A280" s="134"/>
      <c r="B280" s="134"/>
      <c r="C280" s="134"/>
      <c r="D280" s="134"/>
      <c r="E280" s="134"/>
      <c r="F280" s="134"/>
      <c r="G280" s="134"/>
      <c r="H280" s="52"/>
      <c r="I280" s="52"/>
      <c r="J280" s="52"/>
      <c r="K280" s="134"/>
      <c r="L280" s="53"/>
      <c r="M280" s="53"/>
      <c r="N280" s="53"/>
      <c r="O280" s="53"/>
      <c r="P280" s="53"/>
      <c r="Q280" s="53"/>
      <c r="R280" s="53"/>
      <c r="S280" s="134"/>
      <c r="T280" s="134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ht="12.75" customHeight="1">
      <c r="A281" s="134"/>
      <c r="B281" s="134"/>
      <c r="C281" s="134"/>
      <c r="D281" s="134"/>
      <c r="E281" s="134"/>
      <c r="F281" s="134"/>
      <c r="G281" s="134"/>
      <c r="H281" s="52"/>
      <c r="I281" s="52"/>
      <c r="J281" s="52"/>
      <c r="K281" s="134"/>
      <c r="L281" s="53"/>
      <c r="M281" s="53"/>
      <c r="N281" s="53"/>
      <c r="O281" s="53"/>
      <c r="P281" s="53"/>
      <c r="Q281" s="53"/>
      <c r="R281" s="53"/>
      <c r="S281" s="134"/>
      <c r="T281" s="134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ht="12.75" customHeight="1">
      <c r="A282" s="134"/>
      <c r="B282" s="134"/>
      <c r="C282" s="134"/>
      <c r="D282" s="134"/>
      <c r="E282" s="134"/>
      <c r="F282" s="134"/>
      <c r="G282" s="134"/>
      <c r="H282" s="52"/>
      <c r="I282" s="52"/>
      <c r="J282" s="52"/>
      <c r="K282" s="134"/>
      <c r="L282" s="53"/>
      <c r="M282" s="53"/>
      <c r="N282" s="53"/>
      <c r="O282" s="53"/>
      <c r="P282" s="53"/>
      <c r="Q282" s="53"/>
      <c r="R282" s="53"/>
      <c r="S282" s="134"/>
      <c r="T282" s="134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ht="12.75" customHeight="1">
      <c r="A283" s="134"/>
      <c r="B283" s="134"/>
      <c r="C283" s="134"/>
      <c r="D283" s="134"/>
      <c r="E283" s="134"/>
      <c r="F283" s="134"/>
      <c r="G283" s="134"/>
      <c r="H283" s="52"/>
      <c r="I283" s="52"/>
      <c r="J283" s="52"/>
      <c r="K283" s="134"/>
      <c r="L283" s="53"/>
      <c r="M283" s="53"/>
      <c r="N283" s="53"/>
      <c r="O283" s="53"/>
      <c r="P283" s="53"/>
      <c r="Q283" s="53"/>
      <c r="R283" s="53"/>
      <c r="S283" s="134"/>
      <c r="T283" s="134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ht="12.75" customHeight="1">
      <c r="A284" s="134"/>
      <c r="B284" s="134"/>
      <c r="C284" s="134"/>
      <c r="D284" s="134"/>
      <c r="E284" s="134"/>
      <c r="F284" s="134"/>
      <c r="G284" s="134"/>
      <c r="H284" s="52"/>
      <c r="I284" s="52"/>
      <c r="J284" s="52"/>
      <c r="K284" s="134"/>
      <c r="L284" s="53"/>
      <c r="M284" s="53"/>
      <c r="N284" s="53"/>
      <c r="O284" s="53"/>
      <c r="P284" s="53"/>
      <c r="Q284" s="53"/>
      <c r="R284" s="53"/>
      <c r="S284" s="134"/>
      <c r="T284" s="134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ht="12.75" customHeight="1">
      <c r="A285" s="134"/>
      <c r="B285" s="134"/>
      <c r="C285" s="134"/>
      <c r="D285" s="134"/>
      <c r="E285" s="134"/>
      <c r="F285" s="134"/>
      <c r="G285" s="134"/>
      <c r="H285" s="52"/>
      <c r="I285" s="52"/>
      <c r="J285" s="52"/>
      <c r="K285" s="134"/>
      <c r="L285" s="53"/>
      <c r="M285" s="53"/>
      <c r="N285" s="53"/>
      <c r="O285" s="53"/>
      <c r="P285" s="53"/>
      <c r="Q285" s="53"/>
      <c r="R285" s="53"/>
      <c r="S285" s="134"/>
      <c r="T285" s="134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ht="12.75" customHeight="1">
      <c r="A286" s="134"/>
      <c r="B286" s="134"/>
      <c r="C286" s="134"/>
      <c r="D286" s="134"/>
      <c r="E286" s="134"/>
      <c r="F286" s="134"/>
      <c r="G286" s="134"/>
      <c r="H286" s="52"/>
      <c r="I286" s="52"/>
      <c r="J286" s="52"/>
      <c r="K286" s="134"/>
      <c r="L286" s="53"/>
      <c r="M286" s="53"/>
      <c r="N286" s="53"/>
      <c r="O286" s="53"/>
      <c r="P286" s="53"/>
      <c r="Q286" s="53"/>
      <c r="R286" s="53"/>
      <c r="S286" s="134"/>
      <c r="T286" s="134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ht="12.75" customHeight="1">
      <c r="A287" s="134"/>
      <c r="B287" s="134"/>
      <c r="C287" s="134"/>
      <c r="D287" s="134"/>
      <c r="E287" s="134"/>
      <c r="F287" s="134"/>
      <c r="G287" s="134"/>
      <c r="H287" s="52"/>
      <c r="I287" s="52"/>
      <c r="J287" s="52"/>
      <c r="K287" s="134"/>
      <c r="L287" s="53"/>
      <c r="M287" s="53"/>
      <c r="N287" s="53"/>
      <c r="O287" s="53"/>
      <c r="P287" s="53"/>
      <c r="Q287" s="53"/>
      <c r="R287" s="53"/>
      <c r="S287" s="134"/>
      <c r="T287" s="134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ht="12.75" customHeight="1">
      <c r="A288" s="134"/>
      <c r="B288" s="134"/>
      <c r="C288" s="134"/>
      <c r="D288" s="134"/>
      <c r="E288" s="134"/>
      <c r="F288" s="134"/>
      <c r="G288" s="134"/>
      <c r="H288" s="52"/>
      <c r="I288" s="52"/>
      <c r="J288" s="52"/>
      <c r="K288" s="134"/>
      <c r="L288" s="53"/>
      <c r="M288" s="53"/>
      <c r="N288" s="53"/>
      <c r="O288" s="53"/>
      <c r="P288" s="53"/>
      <c r="Q288" s="53"/>
      <c r="R288" s="53"/>
      <c r="S288" s="134"/>
      <c r="T288" s="134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ht="12.75" customHeight="1">
      <c r="A289" s="134"/>
      <c r="B289" s="134"/>
      <c r="C289" s="134"/>
      <c r="D289" s="134"/>
      <c r="E289" s="134"/>
      <c r="F289" s="134"/>
      <c r="G289" s="134"/>
      <c r="H289" s="52"/>
      <c r="I289" s="52"/>
      <c r="J289" s="52"/>
      <c r="K289" s="134"/>
      <c r="L289" s="53"/>
      <c r="M289" s="53"/>
      <c r="N289" s="53"/>
      <c r="O289" s="53"/>
      <c r="P289" s="53"/>
      <c r="Q289" s="53"/>
      <c r="R289" s="53"/>
      <c r="S289" s="134"/>
      <c r="T289" s="134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ht="12.75" customHeight="1">
      <c r="A290" s="134"/>
      <c r="B290" s="134"/>
      <c r="C290" s="134"/>
      <c r="D290" s="134"/>
      <c r="E290" s="134"/>
      <c r="F290" s="134"/>
      <c r="G290" s="134"/>
      <c r="H290" s="52"/>
      <c r="I290" s="52"/>
      <c r="J290" s="52"/>
      <c r="K290" s="134"/>
      <c r="L290" s="53"/>
      <c r="M290" s="53"/>
      <c r="N290" s="53"/>
      <c r="O290" s="53"/>
      <c r="P290" s="53"/>
      <c r="Q290" s="53"/>
      <c r="R290" s="53"/>
      <c r="S290" s="134"/>
      <c r="T290" s="134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ht="12.75" customHeight="1">
      <c r="A291" s="134"/>
      <c r="B291" s="134"/>
      <c r="C291" s="134"/>
      <c r="D291" s="134"/>
      <c r="E291" s="134"/>
      <c r="F291" s="134"/>
      <c r="G291" s="134"/>
      <c r="H291" s="52"/>
      <c r="I291" s="52"/>
      <c r="J291" s="52"/>
      <c r="K291" s="134"/>
      <c r="L291" s="53"/>
      <c r="M291" s="53"/>
      <c r="N291" s="53"/>
      <c r="O291" s="53"/>
      <c r="P291" s="53"/>
      <c r="Q291" s="53"/>
      <c r="R291" s="53"/>
      <c r="S291" s="134"/>
      <c r="T291" s="134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ht="12.75" customHeight="1">
      <c r="A292" s="134"/>
      <c r="B292" s="134"/>
      <c r="C292" s="134"/>
      <c r="D292" s="134"/>
      <c r="E292" s="134"/>
      <c r="F292" s="134"/>
      <c r="G292" s="134"/>
      <c r="H292" s="52"/>
      <c r="I292" s="52"/>
      <c r="J292" s="52"/>
      <c r="K292" s="134"/>
      <c r="L292" s="53"/>
      <c r="M292" s="53"/>
      <c r="N292" s="53"/>
      <c r="O292" s="53"/>
      <c r="P292" s="53"/>
      <c r="Q292" s="53"/>
      <c r="R292" s="53"/>
      <c r="S292" s="134"/>
      <c r="T292" s="134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ht="12.75" customHeight="1">
      <c r="A293" s="134"/>
      <c r="B293" s="134"/>
      <c r="C293" s="134"/>
      <c r="D293" s="134"/>
      <c r="E293" s="134"/>
      <c r="F293" s="134"/>
      <c r="G293" s="134"/>
      <c r="H293" s="52"/>
      <c r="I293" s="52"/>
      <c r="J293" s="52"/>
      <c r="K293" s="134"/>
      <c r="L293" s="53"/>
      <c r="M293" s="53"/>
      <c r="N293" s="53"/>
      <c r="O293" s="53"/>
      <c r="P293" s="53"/>
      <c r="Q293" s="53"/>
      <c r="R293" s="53"/>
      <c r="S293" s="134"/>
      <c r="T293" s="134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ht="12.75" customHeight="1">
      <c r="A294" s="134"/>
      <c r="B294" s="134"/>
      <c r="C294" s="134"/>
      <c r="D294" s="134"/>
      <c r="E294" s="134"/>
      <c r="F294" s="134"/>
      <c r="G294" s="134"/>
      <c r="H294" s="52"/>
      <c r="I294" s="52"/>
      <c r="J294" s="52"/>
      <c r="K294" s="134"/>
      <c r="L294" s="53"/>
      <c r="M294" s="53"/>
      <c r="N294" s="53"/>
      <c r="O294" s="53"/>
      <c r="P294" s="53"/>
      <c r="Q294" s="53"/>
      <c r="R294" s="53"/>
      <c r="S294" s="134"/>
      <c r="T294" s="134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ht="12.75" customHeight="1">
      <c r="A295" s="134"/>
      <c r="B295" s="134"/>
      <c r="C295" s="134"/>
      <c r="D295" s="134"/>
      <c r="E295" s="134"/>
      <c r="F295" s="134"/>
      <c r="G295" s="134"/>
      <c r="H295" s="52"/>
      <c r="I295" s="52"/>
      <c r="J295" s="52"/>
      <c r="K295" s="134"/>
      <c r="L295" s="53"/>
      <c r="M295" s="53"/>
      <c r="N295" s="53"/>
      <c r="O295" s="53"/>
      <c r="P295" s="53"/>
      <c r="Q295" s="53"/>
      <c r="R295" s="53"/>
      <c r="S295" s="134"/>
      <c r="T295" s="134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ht="12.75" customHeight="1">
      <c r="A296" s="134"/>
      <c r="B296" s="134"/>
      <c r="C296" s="134"/>
      <c r="D296" s="134"/>
      <c r="E296" s="134"/>
      <c r="F296" s="134"/>
      <c r="G296" s="134"/>
      <c r="H296" s="52"/>
      <c r="I296" s="52"/>
      <c r="J296" s="52"/>
      <c r="K296" s="134"/>
      <c r="L296" s="53"/>
      <c r="M296" s="53"/>
      <c r="N296" s="53"/>
      <c r="O296" s="53"/>
      <c r="P296" s="53"/>
      <c r="Q296" s="53"/>
      <c r="R296" s="53"/>
      <c r="S296" s="134"/>
      <c r="T296" s="134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ht="12.75" customHeight="1">
      <c r="A297" s="134"/>
      <c r="B297" s="134"/>
      <c r="C297" s="134"/>
      <c r="D297" s="134"/>
      <c r="E297" s="134"/>
      <c r="F297" s="134"/>
      <c r="G297" s="134"/>
      <c r="H297" s="52"/>
      <c r="I297" s="52"/>
      <c r="J297" s="52"/>
      <c r="K297" s="134"/>
      <c r="L297" s="53"/>
      <c r="M297" s="53"/>
      <c r="N297" s="53"/>
      <c r="O297" s="53"/>
      <c r="P297" s="53"/>
      <c r="Q297" s="53"/>
      <c r="R297" s="53"/>
      <c r="S297" s="134"/>
      <c r="T297" s="134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ht="12.75" customHeight="1">
      <c r="A298" s="134"/>
      <c r="B298" s="134"/>
      <c r="C298" s="134"/>
      <c r="D298" s="134"/>
      <c r="E298" s="134"/>
      <c r="F298" s="134"/>
      <c r="G298" s="134"/>
      <c r="H298" s="52"/>
      <c r="I298" s="52"/>
      <c r="J298" s="52"/>
      <c r="K298" s="134"/>
      <c r="L298" s="53"/>
      <c r="M298" s="53"/>
      <c r="N298" s="53"/>
      <c r="O298" s="53"/>
      <c r="P298" s="53"/>
      <c r="Q298" s="53"/>
      <c r="R298" s="53"/>
      <c r="S298" s="134"/>
      <c r="T298" s="134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12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A2" s="134"/>
      <c r="B2" s="8" t="s">
        <v>256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ht="13.5" customHeight="1">
      <c r="A4" s="134"/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T4" s="134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ht="13.5" customHeight="1">
      <c r="A5" s="134"/>
      <c r="B5" s="21" t="s">
        <v>30</v>
      </c>
      <c r="C5" s="22"/>
      <c r="D5" s="19" t="s">
        <v>31</v>
      </c>
      <c r="E5" s="23"/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ht="13.5" customHeight="1">
      <c r="A6" s="134"/>
      <c r="B6" s="21" t="s">
        <v>40</v>
      </c>
      <c r="C6" s="22"/>
      <c r="D6" s="19" t="s">
        <v>31</v>
      </c>
      <c r="E6" s="23"/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ht="12.75" customHeight="1">
      <c r="A7" s="134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57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ht="12.75" customHeight="1">
      <c r="A8" s="134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57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ht="12.75" customHeight="1">
      <c r="A9" s="134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57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ht="13.5" customHeight="1">
      <c r="A10" s="134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L10" s="134"/>
      <c r="M10" s="134"/>
      <c r="N10" s="134"/>
      <c r="O10" s="134"/>
      <c r="P10" s="134"/>
      <c r="Q10" s="134"/>
      <c r="R10" s="134"/>
      <c r="S10" s="57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ht="13.5" customHeight="1">
      <c r="A11" s="134"/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ht="13.5" customHeight="1">
      <c r="A12" s="134"/>
      <c r="B12" s="140" t="s">
        <v>54</v>
      </c>
      <c r="C12" s="140"/>
      <c r="D12" s="140"/>
      <c r="E12" s="140"/>
      <c r="F12" s="14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ht="13.5" customHeight="1">
      <c r="A13" s="134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ht="13.5" customHeight="1">
      <c r="A14" s="134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ht="12.75" customHeight="1">
      <c r="A15" s="134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57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ht="12.75" customHeight="1">
      <c r="A16" s="134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57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ht="12.75" customHeight="1">
      <c r="A17" s="134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57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ht="13.5" customHeight="1">
      <c r="A18" s="134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L18" s="134"/>
      <c r="M18" s="134"/>
      <c r="N18" s="134"/>
      <c r="O18" s="134"/>
      <c r="P18" s="134"/>
      <c r="Q18" s="134"/>
      <c r="R18" s="134"/>
      <c r="S18" s="57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ht="13.5" customHeight="1">
      <c r="A19" s="134"/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ht="13.5" customHeight="1">
      <c r="A20" s="134"/>
      <c r="B20" s="140" t="s">
        <v>71</v>
      </c>
      <c r="C20" s="140"/>
      <c r="D20" s="140"/>
      <c r="E20" s="140"/>
      <c r="F20" s="14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ht="13.5" customHeight="1">
      <c r="A21" s="134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ht="13.5" customHeight="1">
      <c r="A22" s="134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ht="12.75" customHeight="1">
      <c r="A23" s="134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57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ht="12.75" customHeight="1">
      <c r="A24" s="134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57"/>
      <c r="T24" s="32" t="str">
        <f t="shared" si="27"/>
        <v/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ht="12.75" customHeight="1">
      <c r="A25" s="134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57"/>
      <c r="T25" s="32" t="str">
        <f t="shared" si="27"/>
        <v/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ht="13.5" customHeight="1">
      <c r="A26" s="134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L26" s="134"/>
      <c r="M26" s="134"/>
      <c r="N26" s="134"/>
      <c r="O26" s="134"/>
      <c r="P26" s="134"/>
      <c r="Q26" s="134"/>
      <c r="R26" s="134"/>
      <c r="S26" s="57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ht="13.5" customHeight="1">
      <c r="A27" s="134"/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ht="13.5" customHeight="1">
      <c r="A28" s="134"/>
      <c r="B28" s="140" t="s">
        <v>88</v>
      </c>
      <c r="C28" s="140"/>
      <c r="D28" s="140"/>
      <c r="E28" s="140"/>
      <c r="F28" s="14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ht="13.5" customHeight="1">
      <c r="A29" s="134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ht="13.5" customHeight="1">
      <c r="A30" s="134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ht="12.75" customHeight="1">
      <c r="A31" s="134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57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ht="12.75" customHeight="1">
      <c r="A32" s="134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57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ht="12.75" customHeight="1">
      <c r="A33" s="134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57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ht="13.5" customHeight="1">
      <c r="A34" s="134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L34" s="134"/>
      <c r="M34" s="134"/>
      <c r="N34" s="134"/>
      <c r="O34" s="134"/>
      <c r="P34" s="134"/>
      <c r="Q34" s="134"/>
      <c r="R34" s="134"/>
      <c r="S34" s="57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ht="13.5" customHeight="1">
      <c r="A35" s="134"/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ht="13.5" customHeight="1">
      <c r="A36" s="134"/>
      <c r="B36" s="140" t="s">
        <v>104</v>
      </c>
      <c r="C36" s="140"/>
      <c r="D36" s="140"/>
      <c r="E36" s="140"/>
      <c r="F36" s="14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ht="13.5" customHeight="1">
      <c r="A37" s="134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ht="13.5" customHeight="1">
      <c r="A38" s="134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ht="12.75" customHeight="1">
      <c r="A39" s="134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57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ht="12.75" customHeight="1">
      <c r="A40" s="134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57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ht="12.75" customHeight="1">
      <c r="A41" s="134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57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ht="13.5" customHeight="1">
      <c r="A42" s="134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L42" s="134"/>
      <c r="M42" s="134"/>
      <c r="N42" s="134"/>
      <c r="O42" s="134"/>
      <c r="P42" s="134"/>
      <c r="Q42" s="134"/>
      <c r="R42" s="134"/>
      <c r="S42" s="57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ht="13.5" customHeight="1">
      <c r="A43" s="134"/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ht="13.5" customHeight="1">
      <c r="A44" s="134"/>
      <c r="B44" s="140" t="s">
        <v>121</v>
      </c>
      <c r="C44" s="140"/>
      <c r="D44" s="140"/>
      <c r="E44" s="140"/>
      <c r="F44" s="14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ht="13.5" customHeight="1">
      <c r="A45" s="134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ht="13.5" customHeight="1">
      <c r="A46" s="134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ht="12.75" customHeight="1">
      <c r="A47" s="134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57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ht="12.75" customHeight="1">
      <c r="A48" s="134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57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ht="12.75" customHeight="1">
      <c r="A49" s="134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57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ht="13.5" customHeight="1">
      <c r="A50" s="134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L50" s="134"/>
      <c r="M50" s="134"/>
      <c r="N50" s="134"/>
      <c r="O50" s="134"/>
      <c r="P50" s="134"/>
      <c r="Q50" s="134"/>
      <c r="R50" s="134"/>
      <c r="S50" s="57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ht="13.5" customHeight="1">
      <c r="A51" s="134"/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ht="13.5" customHeight="1">
      <c r="A52" s="134"/>
      <c r="B52" s="140" t="s">
        <v>138</v>
      </c>
      <c r="C52" s="140"/>
      <c r="D52" s="140"/>
      <c r="E52" s="140"/>
      <c r="F52" s="14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ht="13.5" customHeight="1">
      <c r="A53" s="134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ht="13.5" customHeight="1">
      <c r="A54" s="134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ht="12.75" customHeight="1">
      <c r="A55" s="134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57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ht="12.75" customHeight="1">
      <c r="A56" s="134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57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ht="12.75" customHeight="1">
      <c r="A57" s="134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57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ht="13.5" customHeight="1">
      <c r="A58" s="134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57"/>
      <c r="H58" s="44">
        <v>46200.0</v>
      </c>
      <c r="I58" s="45">
        <v>0.0</v>
      </c>
      <c r="J58" s="27"/>
      <c r="K58" s="46"/>
      <c r="L58" s="134"/>
      <c r="M58" s="134"/>
      <c r="N58" s="134"/>
      <c r="O58" s="134"/>
      <c r="P58" s="134"/>
      <c r="Q58" s="134"/>
      <c r="R58" s="134"/>
      <c r="S58" s="57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ht="13.5" customHeight="1">
      <c r="A59" s="134"/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ht="13.5" customHeight="1">
      <c r="A60" s="134"/>
      <c r="B60" s="140" t="s">
        <v>155</v>
      </c>
      <c r="C60" s="140"/>
      <c r="D60" s="140"/>
      <c r="E60" s="140"/>
      <c r="F60" s="14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ht="13.5" customHeight="1">
      <c r="A61" s="134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ht="13.5" customHeight="1">
      <c r="A62" s="134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ht="12.75" customHeight="1">
      <c r="A63" s="134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57"/>
      <c r="T63" s="32" t="str">
        <f t="shared" si="92"/>
        <v/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ht="12.75" customHeight="1">
      <c r="A64" s="134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ht="12.75" customHeight="1">
      <c r="A65" s="134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57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ht="13.5" customHeight="1">
      <c r="A66" s="134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57"/>
      <c r="H66" s="44">
        <v>46199.0</v>
      </c>
      <c r="I66" s="45">
        <v>0.875</v>
      </c>
      <c r="J66" s="27"/>
      <c r="K66" s="46"/>
      <c r="L66" s="134"/>
      <c r="M66" s="134"/>
      <c r="N66" s="134"/>
      <c r="O66" s="134"/>
      <c r="P66" s="134"/>
      <c r="Q66" s="134"/>
      <c r="R66" s="134"/>
      <c r="S66" s="57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ht="12.75" customHeight="1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ht="12.75" customHeight="1">
      <c r="A68" s="134"/>
      <c r="B68" s="140" t="s">
        <v>172</v>
      </c>
      <c r="C68" s="140"/>
      <c r="D68" s="140"/>
      <c r="E68" s="140"/>
      <c r="F68" s="14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ht="12.75" customHeight="1">
      <c r="A69" s="134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ht="12.75" customHeight="1">
      <c r="A70" s="134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ht="12.75" customHeight="1">
      <c r="A71" s="134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57"/>
      <c r="T71" s="32" t="str">
        <f t="shared" si="105"/>
        <v/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ht="12.75" customHeight="1">
      <c r="A72" s="134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57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ht="12.75" customHeight="1">
      <c r="A73" s="134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57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ht="12.75" customHeight="1">
      <c r="A74" s="134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L74" s="134"/>
      <c r="M74" s="134"/>
      <c r="N74" s="134"/>
      <c r="O74" s="134"/>
      <c r="P74" s="134"/>
      <c r="Q74" s="134"/>
      <c r="R74" s="134"/>
      <c r="S74" s="57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ht="12.75" customHeight="1">
      <c r="A75" s="134"/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ht="12.75" customHeight="1">
      <c r="A76" s="134"/>
      <c r="B76" s="140" t="s">
        <v>189</v>
      </c>
      <c r="C76" s="140"/>
      <c r="D76" s="140"/>
      <c r="E76" s="140"/>
      <c r="F76" s="14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ht="12.75" customHeight="1">
      <c r="A77" s="134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ht="12.75" customHeight="1">
      <c r="A78" s="134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ht="12.75" customHeight="1">
      <c r="A79" s="134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57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ht="12.75" customHeight="1">
      <c r="A80" s="134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57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ht="12.75" customHeight="1">
      <c r="A81" s="134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57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ht="12.75" customHeight="1">
      <c r="A82" s="134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L82" s="134"/>
      <c r="M82" s="134"/>
      <c r="N82" s="134"/>
      <c r="O82" s="134"/>
      <c r="P82" s="134"/>
      <c r="Q82" s="134"/>
      <c r="R82" s="134"/>
      <c r="S82" s="57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ht="12.75" customHeight="1">
      <c r="A83" s="134"/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ht="12.75" customHeight="1">
      <c r="A84" s="134"/>
      <c r="B84" s="140" t="s">
        <v>206</v>
      </c>
      <c r="C84" s="140"/>
      <c r="D84" s="140"/>
      <c r="E84" s="140"/>
      <c r="F84" s="14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ht="12.75" customHeight="1">
      <c r="A85" s="134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ht="12.75" customHeight="1">
      <c r="A86" s="134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ht="12.75" customHeight="1">
      <c r="A87" s="134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/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ht="12.75" customHeight="1">
      <c r="A88" s="134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57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ht="12.75" customHeight="1">
      <c r="A89" s="134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57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ht="12.75" customHeight="1">
      <c r="A90" s="134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L90" s="134"/>
      <c r="M90" s="134"/>
      <c r="N90" s="134"/>
      <c r="O90" s="134"/>
      <c r="P90" s="134"/>
      <c r="Q90" s="134"/>
      <c r="R90" s="134"/>
      <c r="S90" s="57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ht="12.75" customHeight="1">
      <c r="A91" s="134"/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ht="12.75" customHeight="1">
      <c r="A92" s="134"/>
      <c r="B92" s="140" t="s">
        <v>223</v>
      </c>
      <c r="C92" s="140"/>
      <c r="D92" s="140"/>
      <c r="E92" s="140"/>
      <c r="F92" s="14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ht="12.75" customHeight="1">
      <c r="A93" s="134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ht="12.75" customHeight="1">
      <c r="A94" s="134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ht="12.75" customHeight="1">
      <c r="A95" s="134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57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ht="12.75" customHeight="1">
      <c r="A96" s="134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57"/>
      <c r="T96" s="32" t="str">
        <f t="shared" si="144"/>
        <v/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ht="12.75" customHeight="1">
      <c r="A97" s="134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57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ht="12.75" customHeight="1">
      <c r="A98" s="134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57"/>
      <c r="H98" s="44">
        <v>46200.0</v>
      </c>
      <c r="I98" s="45">
        <v>0.75</v>
      </c>
      <c r="J98" s="27"/>
      <c r="K98" s="46"/>
      <c r="L98" s="134"/>
      <c r="M98" s="134"/>
      <c r="N98" s="134"/>
      <c r="O98" s="134"/>
      <c r="P98" s="134"/>
      <c r="Q98" s="134"/>
      <c r="R98" s="134"/>
      <c r="S98" s="57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ht="12.75" customHeight="1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ht="12.75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ht="13.5" customHeight="1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A102" s="134"/>
      <c r="B102" s="134"/>
      <c r="C102" s="134"/>
      <c r="D102" s="134"/>
      <c r="E102" s="134"/>
      <c r="F102" s="134"/>
      <c r="G102" s="134"/>
      <c r="H102" s="52"/>
      <c r="I102" s="52"/>
      <c r="J102" s="52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ht="12.75" customHeight="1">
      <c r="A103" s="134"/>
      <c r="B103" s="134"/>
      <c r="C103" s="134"/>
      <c r="D103" s="134"/>
      <c r="E103" s="134"/>
      <c r="F103" s="134"/>
      <c r="G103" s="134"/>
      <c r="H103" s="52"/>
      <c r="I103" s="52"/>
      <c r="J103" s="52"/>
      <c r="K103" s="134"/>
      <c r="L103" s="53"/>
      <c r="M103" s="53"/>
      <c r="N103" s="53"/>
      <c r="O103" s="53"/>
      <c r="P103" s="53"/>
      <c r="Q103" s="53"/>
      <c r="R103" s="53"/>
      <c r="S103" s="134"/>
      <c r="T103" s="134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ht="12.75" customHeight="1">
      <c r="A104" s="134"/>
      <c r="B104" s="134"/>
      <c r="C104" s="134"/>
      <c r="D104" s="134"/>
      <c r="E104" s="134"/>
      <c r="F104" s="134"/>
      <c r="G104" s="134"/>
      <c r="H104" s="52"/>
      <c r="I104" s="52"/>
      <c r="J104" s="52"/>
      <c r="K104" s="134"/>
      <c r="L104" s="53"/>
      <c r="M104" s="53"/>
      <c r="N104" s="53"/>
      <c r="O104" s="53"/>
      <c r="P104" s="53"/>
      <c r="Q104" s="53"/>
      <c r="R104" s="53"/>
      <c r="S104" s="134"/>
      <c r="T104" s="134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ht="12.75" customHeight="1">
      <c r="A105" s="134"/>
      <c r="B105" s="134"/>
      <c r="C105" s="134"/>
      <c r="D105" s="134"/>
      <c r="E105" s="134"/>
      <c r="F105" s="134"/>
      <c r="G105" s="134"/>
      <c r="H105" s="52"/>
      <c r="I105" s="52"/>
      <c r="J105" s="52"/>
      <c r="K105" s="134"/>
      <c r="L105" s="53"/>
      <c r="M105" s="53"/>
      <c r="N105" s="53"/>
      <c r="O105" s="53"/>
      <c r="P105" s="53"/>
      <c r="Q105" s="53"/>
      <c r="R105" s="53"/>
      <c r="S105" s="134"/>
      <c r="T105" s="134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ht="12.75" customHeight="1">
      <c r="A106" s="134"/>
      <c r="B106" s="134"/>
      <c r="C106" s="134"/>
      <c r="D106" s="134"/>
      <c r="E106" s="134"/>
      <c r="F106" s="134"/>
      <c r="G106" s="134"/>
      <c r="H106" s="52"/>
      <c r="I106" s="52"/>
      <c r="J106" s="52"/>
      <c r="K106" s="134"/>
      <c r="L106" s="53"/>
      <c r="M106" s="53"/>
      <c r="N106" s="53"/>
      <c r="O106" s="53"/>
      <c r="P106" s="53"/>
      <c r="Q106" s="53"/>
      <c r="R106" s="53"/>
      <c r="S106" s="134"/>
      <c r="T106" s="134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ht="12.75" customHeight="1">
      <c r="A107" s="134"/>
      <c r="B107" s="134"/>
      <c r="C107" s="134"/>
      <c r="D107" s="134"/>
      <c r="E107" s="134"/>
      <c r="F107" s="134"/>
      <c r="G107" s="134"/>
      <c r="H107" s="52"/>
      <c r="I107" s="52"/>
      <c r="J107" s="52"/>
      <c r="K107" s="134"/>
      <c r="L107" s="53"/>
      <c r="M107" s="53"/>
      <c r="N107" s="53"/>
      <c r="O107" s="53"/>
      <c r="P107" s="53"/>
      <c r="Q107" s="53"/>
      <c r="R107" s="53"/>
      <c r="S107" s="134"/>
      <c r="T107" s="134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ht="12.75" customHeight="1">
      <c r="A108" s="134"/>
      <c r="B108" s="134"/>
      <c r="C108" s="134"/>
      <c r="D108" s="134"/>
      <c r="E108" s="134"/>
      <c r="F108" s="134"/>
      <c r="G108" s="134"/>
      <c r="H108" s="52"/>
      <c r="I108" s="52"/>
      <c r="J108" s="52"/>
      <c r="K108" s="134"/>
      <c r="L108" s="53"/>
      <c r="M108" s="53"/>
      <c r="N108" s="53"/>
      <c r="O108" s="53"/>
      <c r="P108" s="53"/>
      <c r="Q108" s="53"/>
      <c r="R108" s="53"/>
      <c r="S108" s="134"/>
      <c r="T108" s="134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ht="12.75" customHeight="1">
      <c r="A109" s="134"/>
      <c r="B109" s="134"/>
      <c r="C109" s="134"/>
      <c r="D109" s="134"/>
      <c r="E109" s="134"/>
      <c r="F109" s="134"/>
      <c r="G109" s="134"/>
      <c r="H109" s="52"/>
      <c r="I109" s="52"/>
      <c r="J109" s="52"/>
      <c r="K109" s="134"/>
      <c r="L109" s="53"/>
      <c r="M109" s="53"/>
      <c r="N109" s="53"/>
      <c r="O109" s="53"/>
      <c r="P109" s="53"/>
      <c r="Q109" s="53"/>
      <c r="R109" s="53"/>
      <c r="S109" s="134"/>
      <c r="T109" s="134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ht="12.75" customHeight="1">
      <c r="A110" s="134"/>
      <c r="B110" s="134"/>
      <c r="C110" s="134"/>
      <c r="D110" s="134"/>
      <c r="E110" s="134"/>
      <c r="F110" s="134"/>
      <c r="G110" s="134"/>
      <c r="H110" s="52"/>
      <c r="I110" s="52"/>
      <c r="J110" s="52"/>
      <c r="K110" s="134"/>
      <c r="L110" s="53"/>
      <c r="M110" s="53"/>
      <c r="N110" s="53"/>
      <c r="O110" s="53"/>
      <c r="P110" s="53"/>
      <c r="Q110" s="53"/>
      <c r="R110" s="53"/>
      <c r="S110" s="134"/>
      <c r="T110" s="134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ht="12.75" customHeight="1">
      <c r="A111" s="134"/>
      <c r="B111" s="134"/>
      <c r="C111" s="134"/>
      <c r="D111" s="134"/>
      <c r="E111" s="134"/>
      <c r="F111" s="134"/>
      <c r="G111" s="134"/>
      <c r="H111" s="52"/>
      <c r="I111" s="52"/>
      <c r="J111" s="52"/>
      <c r="K111" s="134"/>
      <c r="L111" s="53"/>
      <c r="M111" s="53"/>
      <c r="N111" s="53"/>
      <c r="O111" s="53"/>
      <c r="P111" s="53"/>
      <c r="Q111" s="53"/>
      <c r="R111" s="53"/>
      <c r="S111" s="134"/>
      <c r="T111" s="134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ht="12.75" customHeight="1">
      <c r="A112" s="134"/>
      <c r="B112" s="134"/>
      <c r="C112" s="134"/>
      <c r="D112" s="134"/>
      <c r="E112" s="134"/>
      <c r="F112" s="134"/>
      <c r="G112" s="134"/>
      <c r="H112" s="52"/>
      <c r="I112" s="52"/>
      <c r="J112" s="52"/>
      <c r="K112" s="134"/>
      <c r="L112" s="53"/>
      <c r="M112" s="53"/>
      <c r="N112" s="53"/>
      <c r="O112" s="53"/>
      <c r="P112" s="53"/>
      <c r="Q112" s="53"/>
      <c r="R112" s="53"/>
      <c r="S112" s="134"/>
      <c r="T112" s="134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ht="12.75" customHeight="1">
      <c r="A113" s="134"/>
      <c r="B113" s="134"/>
      <c r="C113" s="134"/>
      <c r="D113" s="134"/>
      <c r="E113" s="134"/>
      <c r="F113" s="134"/>
      <c r="G113" s="134"/>
      <c r="H113" s="52"/>
      <c r="I113" s="52"/>
      <c r="J113" s="52"/>
      <c r="K113" s="134"/>
      <c r="L113" s="53"/>
      <c r="M113" s="53"/>
      <c r="N113" s="53"/>
      <c r="O113" s="53"/>
      <c r="P113" s="53"/>
      <c r="Q113" s="53"/>
      <c r="R113" s="53"/>
      <c r="S113" s="134"/>
      <c r="T113" s="134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ht="12.75" customHeight="1">
      <c r="A114" s="134"/>
      <c r="B114" s="134"/>
      <c r="C114" s="134"/>
      <c r="D114" s="134"/>
      <c r="E114" s="134"/>
      <c r="F114" s="134"/>
      <c r="G114" s="134"/>
      <c r="H114" s="52"/>
      <c r="I114" s="52"/>
      <c r="J114" s="52"/>
      <c r="K114" s="134"/>
      <c r="L114" s="53"/>
      <c r="M114" s="53"/>
      <c r="N114" s="53"/>
      <c r="O114" s="53"/>
      <c r="P114" s="53"/>
      <c r="Q114" s="53"/>
      <c r="R114" s="53"/>
      <c r="S114" s="134"/>
      <c r="T114" s="134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ht="12.75" customHeight="1">
      <c r="A115" s="134"/>
      <c r="B115" s="134"/>
      <c r="C115" s="134"/>
      <c r="D115" s="134"/>
      <c r="E115" s="134"/>
      <c r="F115" s="134"/>
      <c r="G115" s="134"/>
      <c r="H115" s="52"/>
      <c r="I115" s="52"/>
      <c r="J115" s="52"/>
      <c r="K115" s="134"/>
      <c r="L115" s="53"/>
      <c r="M115" s="53"/>
      <c r="N115" s="53"/>
      <c r="O115" s="53"/>
      <c r="P115" s="53"/>
      <c r="Q115" s="53"/>
      <c r="R115" s="53"/>
      <c r="S115" s="134"/>
      <c r="T115" s="134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ht="12.75" customHeight="1">
      <c r="A116" s="134"/>
      <c r="B116" s="134"/>
      <c r="C116" s="134"/>
      <c r="D116" s="134"/>
      <c r="E116" s="134"/>
      <c r="F116" s="134"/>
      <c r="G116" s="134"/>
      <c r="H116" s="52"/>
      <c r="I116" s="52"/>
      <c r="J116" s="52"/>
      <c r="K116" s="134"/>
      <c r="L116" s="53"/>
      <c r="M116" s="53"/>
      <c r="N116" s="53"/>
      <c r="O116" s="53"/>
      <c r="P116" s="53"/>
      <c r="Q116" s="53"/>
      <c r="R116" s="53"/>
      <c r="S116" s="134"/>
      <c r="T116" s="134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ht="12.75" customHeight="1">
      <c r="A117" s="134"/>
      <c r="B117" s="134"/>
      <c r="C117" s="134"/>
      <c r="D117" s="134"/>
      <c r="E117" s="134"/>
      <c r="F117" s="134"/>
      <c r="G117" s="134"/>
      <c r="H117" s="52"/>
      <c r="I117" s="52"/>
      <c r="J117" s="52"/>
      <c r="K117" s="134"/>
      <c r="L117" s="53"/>
      <c r="M117" s="53"/>
      <c r="N117" s="53"/>
      <c r="O117" s="53"/>
      <c r="P117" s="53"/>
      <c r="Q117" s="53"/>
      <c r="R117" s="53"/>
      <c r="S117" s="134"/>
      <c r="T117" s="134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ht="12.75" customHeight="1">
      <c r="A118" s="134"/>
      <c r="B118" s="134"/>
      <c r="C118" s="134"/>
      <c r="D118" s="134"/>
      <c r="E118" s="134"/>
      <c r="F118" s="134"/>
      <c r="G118" s="134"/>
      <c r="H118" s="52"/>
      <c r="I118" s="52"/>
      <c r="J118" s="52"/>
      <c r="K118" s="134"/>
      <c r="L118" s="53"/>
      <c r="M118" s="53"/>
      <c r="N118" s="53"/>
      <c r="O118" s="53"/>
      <c r="P118" s="53"/>
      <c r="Q118" s="53"/>
      <c r="R118" s="53"/>
      <c r="S118" s="134"/>
      <c r="T118" s="134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ht="12.75" customHeight="1">
      <c r="A119" s="134"/>
      <c r="B119" s="134"/>
      <c r="C119" s="134"/>
      <c r="D119" s="134"/>
      <c r="E119" s="134"/>
      <c r="F119" s="134"/>
      <c r="G119" s="134"/>
      <c r="H119" s="52"/>
      <c r="I119" s="52"/>
      <c r="J119" s="52"/>
      <c r="K119" s="134"/>
      <c r="L119" s="53"/>
      <c r="M119" s="53"/>
      <c r="N119" s="53"/>
      <c r="O119" s="53"/>
      <c r="P119" s="53"/>
      <c r="Q119" s="53"/>
      <c r="R119" s="53"/>
      <c r="S119" s="134"/>
      <c r="T119" s="134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ht="12.75" customHeight="1">
      <c r="A120" s="134"/>
      <c r="B120" s="134"/>
      <c r="C120" s="134"/>
      <c r="D120" s="134"/>
      <c r="E120" s="134"/>
      <c r="F120" s="134"/>
      <c r="G120" s="134"/>
      <c r="H120" s="52"/>
      <c r="I120" s="52"/>
      <c r="J120" s="52"/>
      <c r="K120" s="134"/>
      <c r="L120" s="53"/>
      <c r="M120" s="53"/>
      <c r="N120" s="53"/>
      <c r="O120" s="53"/>
      <c r="P120" s="53"/>
      <c r="Q120" s="53"/>
      <c r="R120" s="53"/>
      <c r="S120" s="134"/>
      <c r="T120" s="134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ht="12.75" customHeight="1">
      <c r="A121" s="134"/>
      <c r="B121" s="134"/>
      <c r="C121" s="134"/>
      <c r="D121" s="134"/>
      <c r="E121" s="134"/>
      <c r="F121" s="134"/>
      <c r="G121" s="134"/>
      <c r="H121" s="52"/>
      <c r="I121" s="52"/>
      <c r="J121" s="52"/>
      <c r="K121" s="134"/>
      <c r="L121" s="53"/>
      <c r="M121" s="53"/>
      <c r="N121" s="53"/>
      <c r="O121" s="53"/>
      <c r="P121" s="53"/>
      <c r="Q121" s="53"/>
      <c r="R121" s="53"/>
      <c r="S121" s="134"/>
      <c r="T121" s="134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ht="12.75" customHeight="1">
      <c r="A122" s="134"/>
      <c r="B122" s="134"/>
      <c r="C122" s="134"/>
      <c r="D122" s="134"/>
      <c r="E122" s="134"/>
      <c r="F122" s="134"/>
      <c r="G122" s="134"/>
      <c r="H122" s="52"/>
      <c r="I122" s="52"/>
      <c r="J122" s="52"/>
      <c r="K122" s="134"/>
      <c r="L122" s="53"/>
      <c r="M122" s="53"/>
      <c r="N122" s="53"/>
      <c r="O122" s="53"/>
      <c r="P122" s="53"/>
      <c r="Q122" s="53"/>
      <c r="R122" s="53"/>
      <c r="S122" s="134"/>
      <c r="T122" s="134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ht="12.75" customHeight="1">
      <c r="A123" s="134"/>
      <c r="B123" s="134"/>
      <c r="C123" s="134"/>
      <c r="D123" s="134"/>
      <c r="E123" s="134"/>
      <c r="F123" s="134"/>
      <c r="G123" s="134"/>
      <c r="H123" s="52"/>
      <c r="I123" s="52"/>
      <c r="J123" s="52"/>
      <c r="K123" s="134"/>
      <c r="L123" s="53"/>
      <c r="M123" s="53"/>
      <c r="N123" s="53"/>
      <c r="O123" s="53"/>
      <c r="P123" s="53"/>
      <c r="Q123" s="53"/>
      <c r="R123" s="53"/>
      <c r="S123" s="134"/>
      <c r="T123" s="134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ht="12.75" customHeight="1">
      <c r="A124" s="134"/>
      <c r="B124" s="134"/>
      <c r="C124" s="134"/>
      <c r="D124" s="134"/>
      <c r="E124" s="134"/>
      <c r="F124" s="134"/>
      <c r="G124" s="134"/>
      <c r="H124" s="52"/>
      <c r="I124" s="52"/>
      <c r="J124" s="52"/>
      <c r="K124" s="134"/>
      <c r="L124" s="53"/>
      <c r="M124" s="53"/>
      <c r="N124" s="53"/>
      <c r="O124" s="53"/>
      <c r="P124" s="53"/>
      <c r="Q124" s="53"/>
      <c r="R124" s="53"/>
      <c r="S124" s="134"/>
      <c r="T124" s="134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ht="12.75" customHeight="1">
      <c r="A125" s="134"/>
      <c r="B125" s="134"/>
      <c r="C125" s="134"/>
      <c r="D125" s="134"/>
      <c r="E125" s="134"/>
      <c r="F125" s="134"/>
      <c r="G125" s="134"/>
      <c r="H125" s="52"/>
      <c r="I125" s="52"/>
      <c r="J125" s="52"/>
      <c r="K125" s="134"/>
      <c r="L125" s="53"/>
      <c r="M125" s="53"/>
      <c r="N125" s="53"/>
      <c r="O125" s="53"/>
      <c r="P125" s="53"/>
      <c r="Q125" s="53"/>
      <c r="R125" s="53"/>
      <c r="S125" s="134"/>
      <c r="T125" s="134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ht="12.75" customHeight="1">
      <c r="A126" s="134"/>
      <c r="B126" s="134"/>
      <c r="C126" s="134"/>
      <c r="D126" s="134"/>
      <c r="E126" s="134"/>
      <c r="F126" s="134"/>
      <c r="G126" s="134"/>
      <c r="H126" s="52"/>
      <c r="I126" s="52"/>
      <c r="J126" s="52"/>
      <c r="K126" s="134"/>
      <c r="L126" s="53"/>
      <c r="M126" s="53"/>
      <c r="N126" s="53"/>
      <c r="O126" s="53"/>
      <c r="P126" s="53"/>
      <c r="Q126" s="53"/>
      <c r="R126" s="53"/>
      <c r="S126" s="134"/>
      <c r="T126" s="134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ht="12.75" customHeight="1">
      <c r="A127" s="134"/>
      <c r="B127" s="134"/>
      <c r="C127" s="134"/>
      <c r="D127" s="134"/>
      <c r="E127" s="134"/>
      <c r="F127" s="134"/>
      <c r="G127" s="134"/>
      <c r="H127" s="52"/>
      <c r="I127" s="52"/>
      <c r="J127" s="52"/>
      <c r="K127" s="134"/>
      <c r="L127" s="53"/>
      <c r="M127" s="53"/>
      <c r="N127" s="53"/>
      <c r="O127" s="53"/>
      <c r="P127" s="53"/>
      <c r="Q127" s="53"/>
      <c r="R127" s="53"/>
      <c r="S127" s="134"/>
      <c r="T127" s="134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ht="12.75" customHeight="1">
      <c r="A128" s="134"/>
      <c r="B128" s="134"/>
      <c r="C128" s="134"/>
      <c r="D128" s="134"/>
      <c r="E128" s="134"/>
      <c r="F128" s="134"/>
      <c r="G128" s="134"/>
      <c r="H128" s="52"/>
      <c r="I128" s="52"/>
      <c r="J128" s="52"/>
      <c r="K128" s="134"/>
      <c r="L128" s="53"/>
      <c r="M128" s="53"/>
      <c r="N128" s="53"/>
      <c r="O128" s="53"/>
      <c r="P128" s="53"/>
      <c r="Q128" s="53"/>
      <c r="R128" s="53"/>
      <c r="S128" s="134"/>
      <c r="T128" s="134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ht="12.75" customHeight="1">
      <c r="A129" s="134"/>
      <c r="B129" s="134"/>
      <c r="C129" s="134"/>
      <c r="D129" s="134"/>
      <c r="E129" s="134"/>
      <c r="F129" s="134"/>
      <c r="G129" s="134"/>
      <c r="H129" s="52"/>
      <c r="I129" s="52"/>
      <c r="J129" s="52"/>
      <c r="K129" s="134"/>
      <c r="L129" s="53"/>
      <c r="M129" s="53"/>
      <c r="N129" s="53"/>
      <c r="O129" s="53"/>
      <c r="P129" s="53"/>
      <c r="Q129" s="53"/>
      <c r="R129" s="53"/>
      <c r="S129" s="134"/>
      <c r="T129" s="134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ht="12.75" customHeight="1">
      <c r="A130" s="134"/>
      <c r="B130" s="134"/>
      <c r="C130" s="134"/>
      <c r="D130" s="134"/>
      <c r="E130" s="134"/>
      <c r="F130" s="134"/>
      <c r="G130" s="134"/>
      <c r="H130" s="52"/>
      <c r="I130" s="52"/>
      <c r="J130" s="52"/>
      <c r="K130" s="134"/>
      <c r="L130" s="53"/>
      <c r="M130" s="53"/>
      <c r="N130" s="53"/>
      <c r="O130" s="53"/>
      <c r="P130" s="53"/>
      <c r="Q130" s="53"/>
      <c r="R130" s="53"/>
      <c r="S130" s="134"/>
      <c r="T130" s="134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ht="12.75" customHeight="1">
      <c r="A131" s="134"/>
      <c r="B131" s="134"/>
      <c r="C131" s="134"/>
      <c r="D131" s="134"/>
      <c r="E131" s="134"/>
      <c r="F131" s="134"/>
      <c r="G131" s="134"/>
      <c r="H131" s="52"/>
      <c r="I131" s="52"/>
      <c r="J131" s="52"/>
      <c r="K131" s="134"/>
      <c r="L131" s="53"/>
      <c r="M131" s="53"/>
      <c r="N131" s="53"/>
      <c r="O131" s="53"/>
      <c r="P131" s="53"/>
      <c r="Q131" s="53"/>
      <c r="R131" s="53"/>
      <c r="S131" s="134"/>
      <c r="T131" s="134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ht="12.75" customHeight="1">
      <c r="A132" s="134"/>
      <c r="B132" s="134"/>
      <c r="C132" s="134"/>
      <c r="D132" s="134"/>
      <c r="E132" s="134"/>
      <c r="F132" s="134"/>
      <c r="G132" s="134"/>
      <c r="H132" s="52"/>
      <c r="I132" s="52"/>
      <c r="J132" s="52"/>
      <c r="K132" s="134"/>
      <c r="L132" s="53"/>
      <c r="M132" s="53"/>
      <c r="N132" s="53"/>
      <c r="O132" s="53"/>
      <c r="P132" s="53"/>
      <c r="Q132" s="53"/>
      <c r="R132" s="53"/>
      <c r="S132" s="134"/>
      <c r="T132" s="134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ht="12.75" customHeight="1">
      <c r="A133" s="134"/>
      <c r="B133" s="134"/>
      <c r="C133" s="134"/>
      <c r="D133" s="134"/>
      <c r="E133" s="134"/>
      <c r="F133" s="134"/>
      <c r="G133" s="134"/>
      <c r="H133" s="52"/>
      <c r="I133" s="52"/>
      <c r="J133" s="52"/>
      <c r="K133" s="134"/>
      <c r="L133" s="53"/>
      <c r="M133" s="53"/>
      <c r="N133" s="53"/>
      <c r="O133" s="53"/>
      <c r="P133" s="53"/>
      <c r="Q133" s="53"/>
      <c r="R133" s="53"/>
      <c r="S133" s="134"/>
      <c r="T133" s="134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ht="12.75" customHeight="1">
      <c r="A134" s="134"/>
      <c r="B134" s="134"/>
      <c r="C134" s="134"/>
      <c r="D134" s="134"/>
      <c r="E134" s="134"/>
      <c r="F134" s="134"/>
      <c r="G134" s="134"/>
      <c r="H134" s="52"/>
      <c r="I134" s="52"/>
      <c r="J134" s="52"/>
      <c r="K134" s="134"/>
      <c r="L134" s="53"/>
      <c r="M134" s="53"/>
      <c r="N134" s="53"/>
      <c r="O134" s="53"/>
      <c r="P134" s="53"/>
      <c r="Q134" s="53"/>
      <c r="R134" s="53"/>
      <c r="S134" s="134"/>
      <c r="T134" s="134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ht="12.75" customHeight="1">
      <c r="A135" s="134"/>
      <c r="B135" s="134"/>
      <c r="C135" s="134"/>
      <c r="D135" s="134"/>
      <c r="E135" s="134"/>
      <c r="F135" s="134"/>
      <c r="G135" s="134"/>
      <c r="H135" s="52"/>
      <c r="I135" s="52"/>
      <c r="J135" s="52"/>
      <c r="K135" s="134"/>
      <c r="L135" s="53"/>
      <c r="M135" s="53"/>
      <c r="N135" s="53"/>
      <c r="O135" s="53"/>
      <c r="P135" s="53"/>
      <c r="Q135" s="53"/>
      <c r="R135" s="53"/>
      <c r="S135" s="134"/>
      <c r="T135" s="134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ht="12.75" customHeight="1">
      <c r="A136" s="134"/>
      <c r="B136" s="134"/>
      <c r="C136" s="134"/>
      <c r="D136" s="134"/>
      <c r="E136" s="134"/>
      <c r="F136" s="134"/>
      <c r="G136" s="134"/>
      <c r="H136" s="52"/>
      <c r="I136" s="52"/>
      <c r="J136" s="52"/>
      <c r="K136" s="134"/>
      <c r="L136" s="53"/>
      <c r="M136" s="53"/>
      <c r="N136" s="53"/>
      <c r="O136" s="53"/>
      <c r="P136" s="53"/>
      <c r="Q136" s="53"/>
      <c r="R136" s="53"/>
      <c r="S136" s="134"/>
      <c r="T136" s="134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ht="12.75" customHeight="1">
      <c r="A137" s="134"/>
      <c r="B137" s="134"/>
      <c r="C137" s="134"/>
      <c r="D137" s="134"/>
      <c r="E137" s="134"/>
      <c r="F137" s="134"/>
      <c r="G137" s="134"/>
      <c r="H137" s="52"/>
      <c r="I137" s="52"/>
      <c r="J137" s="52"/>
      <c r="K137" s="134"/>
      <c r="L137" s="53"/>
      <c r="M137" s="53"/>
      <c r="N137" s="53"/>
      <c r="O137" s="53"/>
      <c r="P137" s="53"/>
      <c r="Q137" s="53"/>
      <c r="R137" s="53"/>
      <c r="S137" s="134"/>
      <c r="T137" s="134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ht="12.75" customHeight="1">
      <c r="A138" s="134"/>
      <c r="B138" s="134"/>
      <c r="C138" s="134"/>
      <c r="D138" s="134"/>
      <c r="E138" s="134"/>
      <c r="F138" s="134"/>
      <c r="G138" s="134"/>
      <c r="H138" s="52"/>
      <c r="I138" s="52"/>
      <c r="J138" s="52"/>
      <c r="K138" s="134"/>
      <c r="L138" s="53"/>
      <c r="M138" s="53"/>
      <c r="N138" s="53"/>
      <c r="O138" s="53"/>
      <c r="P138" s="53"/>
      <c r="Q138" s="53"/>
      <c r="R138" s="53"/>
      <c r="S138" s="134"/>
      <c r="T138" s="134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ht="12.75" customHeight="1">
      <c r="A139" s="134"/>
      <c r="B139" s="134"/>
      <c r="C139" s="134"/>
      <c r="D139" s="134"/>
      <c r="E139" s="134"/>
      <c r="F139" s="134"/>
      <c r="G139" s="134"/>
      <c r="H139" s="52"/>
      <c r="I139" s="52"/>
      <c r="J139" s="52"/>
      <c r="K139" s="134"/>
      <c r="L139" s="53"/>
      <c r="M139" s="53"/>
      <c r="N139" s="53"/>
      <c r="O139" s="53"/>
      <c r="P139" s="53"/>
      <c r="Q139" s="53"/>
      <c r="R139" s="53"/>
      <c r="S139" s="134"/>
      <c r="T139" s="134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ht="12.75" customHeight="1">
      <c r="A140" s="134"/>
      <c r="B140" s="134"/>
      <c r="C140" s="134"/>
      <c r="D140" s="134"/>
      <c r="E140" s="134"/>
      <c r="F140" s="134"/>
      <c r="G140" s="134"/>
      <c r="H140" s="52"/>
      <c r="I140" s="52"/>
      <c r="J140" s="52"/>
      <c r="K140" s="134"/>
      <c r="L140" s="53"/>
      <c r="M140" s="53"/>
      <c r="N140" s="53"/>
      <c r="O140" s="53"/>
      <c r="P140" s="53"/>
      <c r="Q140" s="53"/>
      <c r="R140" s="53"/>
      <c r="S140" s="134"/>
      <c r="T140" s="134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ht="12.75" customHeight="1">
      <c r="A141" s="134"/>
      <c r="B141" s="134"/>
      <c r="C141" s="134"/>
      <c r="D141" s="134"/>
      <c r="E141" s="134"/>
      <c r="F141" s="134"/>
      <c r="G141" s="134"/>
      <c r="H141" s="52"/>
      <c r="I141" s="52"/>
      <c r="J141" s="52"/>
      <c r="K141" s="134"/>
      <c r="L141" s="53"/>
      <c r="M141" s="53"/>
      <c r="N141" s="53"/>
      <c r="O141" s="53"/>
      <c r="P141" s="53"/>
      <c r="Q141" s="53"/>
      <c r="R141" s="53"/>
      <c r="S141" s="134"/>
      <c r="T141" s="134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ht="12.75" customHeight="1">
      <c r="A142" s="134"/>
      <c r="B142" s="134"/>
      <c r="C142" s="134"/>
      <c r="D142" s="134"/>
      <c r="E142" s="134"/>
      <c r="F142" s="134"/>
      <c r="G142" s="134"/>
      <c r="H142" s="52"/>
      <c r="I142" s="52"/>
      <c r="J142" s="52"/>
      <c r="K142" s="134"/>
      <c r="L142" s="53"/>
      <c r="M142" s="53"/>
      <c r="N142" s="53"/>
      <c r="O142" s="53"/>
      <c r="P142" s="53"/>
      <c r="Q142" s="53"/>
      <c r="R142" s="53"/>
      <c r="S142" s="134"/>
      <c r="T142" s="134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ht="12.75" customHeight="1">
      <c r="A143" s="134"/>
      <c r="B143" s="134"/>
      <c r="C143" s="134"/>
      <c r="D143" s="134"/>
      <c r="E143" s="134"/>
      <c r="F143" s="134"/>
      <c r="G143" s="134"/>
      <c r="H143" s="52"/>
      <c r="I143" s="52"/>
      <c r="J143" s="52"/>
      <c r="K143" s="134"/>
      <c r="L143" s="53"/>
      <c r="M143" s="53"/>
      <c r="N143" s="53"/>
      <c r="O143" s="53"/>
      <c r="P143" s="53"/>
      <c r="Q143" s="53"/>
      <c r="R143" s="53"/>
      <c r="S143" s="134"/>
      <c r="T143" s="134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ht="12.75" customHeight="1">
      <c r="A144" s="134"/>
      <c r="B144" s="134"/>
      <c r="C144" s="134"/>
      <c r="D144" s="134"/>
      <c r="E144" s="134"/>
      <c r="F144" s="134"/>
      <c r="G144" s="134"/>
      <c r="H144" s="52"/>
      <c r="I144" s="52"/>
      <c r="J144" s="52"/>
      <c r="K144" s="134"/>
      <c r="L144" s="53"/>
      <c r="M144" s="53"/>
      <c r="N144" s="53"/>
      <c r="O144" s="53"/>
      <c r="P144" s="53"/>
      <c r="Q144" s="53"/>
      <c r="R144" s="53"/>
      <c r="S144" s="134"/>
      <c r="T144" s="134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ht="12.75" customHeight="1">
      <c r="A145" s="134"/>
      <c r="B145" s="134"/>
      <c r="C145" s="134"/>
      <c r="D145" s="134"/>
      <c r="E145" s="134"/>
      <c r="F145" s="134"/>
      <c r="G145" s="134"/>
      <c r="H145" s="52"/>
      <c r="I145" s="52"/>
      <c r="J145" s="52"/>
      <c r="K145" s="134"/>
      <c r="L145" s="53"/>
      <c r="M145" s="53"/>
      <c r="N145" s="53"/>
      <c r="O145" s="53"/>
      <c r="P145" s="53"/>
      <c r="Q145" s="53"/>
      <c r="R145" s="53"/>
      <c r="S145" s="134"/>
      <c r="T145" s="134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ht="12.75" customHeight="1">
      <c r="A146" s="134"/>
      <c r="B146" s="134"/>
      <c r="C146" s="134"/>
      <c r="D146" s="134"/>
      <c r="E146" s="134"/>
      <c r="F146" s="134"/>
      <c r="G146" s="134"/>
      <c r="H146" s="52"/>
      <c r="I146" s="52"/>
      <c r="J146" s="52"/>
      <c r="K146" s="134"/>
      <c r="L146" s="53"/>
      <c r="M146" s="53"/>
      <c r="N146" s="53"/>
      <c r="O146" s="53"/>
      <c r="P146" s="53"/>
      <c r="Q146" s="53"/>
      <c r="R146" s="53"/>
      <c r="S146" s="134"/>
      <c r="T146" s="134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ht="12.75" customHeight="1">
      <c r="A147" s="134"/>
      <c r="B147" s="134"/>
      <c r="C147" s="134"/>
      <c r="D147" s="134"/>
      <c r="E147" s="134"/>
      <c r="F147" s="134"/>
      <c r="G147" s="134"/>
      <c r="H147" s="52"/>
      <c r="I147" s="52"/>
      <c r="J147" s="52"/>
      <c r="K147" s="134"/>
      <c r="L147" s="53"/>
      <c r="M147" s="53"/>
      <c r="N147" s="53"/>
      <c r="O147" s="53"/>
      <c r="P147" s="53"/>
      <c r="Q147" s="53"/>
      <c r="R147" s="53"/>
      <c r="S147" s="134"/>
      <c r="T147" s="134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ht="12.75" customHeight="1">
      <c r="A148" s="134"/>
      <c r="B148" s="134"/>
      <c r="C148" s="134"/>
      <c r="D148" s="134"/>
      <c r="E148" s="134"/>
      <c r="F148" s="134"/>
      <c r="G148" s="134"/>
      <c r="H148" s="52"/>
      <c r="I148" s="52"/>
      <c r="J148" s="52"/>
      <c r="K148" s="134"/>
      <c r="L148" s="53"/>
      <c r="M148" s="53"/>
      <c r="N148" s="53"/>
      <c r="O148" s="53"/>
      <c r="P148" s="53"/>
      <c r="Q148" s="53"/>
      <c r="R148" s="53"/>
      <c r="S148" s="134"/>
      <c r="T148" s="134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ht="12.75" customHeight="1">
      <c r="A149" s="134"/>
      <c r="B149" s="134"/>
      <c r="C149" s="134"/>
      <c r="D149" s="134"/>
      <c r="E149" s="134"/>
      <c r="F149" s="134"/>
      <c r="G149" s="134"/>
      <c r="H149" s="52"/>
      <c r="I149" s="52"/>
      <c r="J149" s="52"/>
      <c r="K149" s="134"/>
      <c r="L149" s="53"/>
      <c r="M149" s="53"/>
      <c r="N149" s="53"/>
      <c r="O149" s="53"/>
      <c r="P149" s="53"/>
      <c r="Q149" s="53"/>
      <c r="R149" s="53"/>
      <c r="S149" s="134"/>
      <c r="T149" s="134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ht="12.75" customHeight="1">
      <c r="A150" s="134"/>
      <c r="B150" s="134"/>
      <c r="C150" s="134"/>
      <c r="D150" s="134"/>
      <c r="E150" s="134"/>
      <c r="F150" s="134"/>
      <c r="G150" s="134"/>
      <c r="H150" s="52"/>
      <c r="I150" s="52"/>
      <c r="J150" s="52"/>
      <c r="K150" s="134"/>
      <c r="L150" s="53"/>
      <c r="M150" s="53"/>
      <c r="N150" s="53"/>
      <c r="O150" s="53"/>
      <c r="P150" s="53"/>
      <c r="Q150" s="53"/>
      <c r="R150" s="53"/>
      <c r="S150" s="134"/>
      <c r="T150" s="134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ht="12.75" customHeight="1">
      <c r="A151" s="134"/>
      <c r="B151" s="134"/>
      <c r="C151" s="134"/>
      <c r="D151" s="134"/>
      <c r="E151" s="134"/>
      <c r="F151" s="134"/>
      <c r="G151" s="134"/>
      <c r="H151" s="52"/>
      <c r="I151" s="52"/>
      <c r="J151" s="52"/>
      <c r="K151" s="134"/>
      <c r="L151" s="53"/>
      <c r="M151" s="53"/>
      <c r="N151" s="53"/>
      <c r="O151" s="53"/>
      <c r="P151" s="53"/>
      <c r="Q151" s="53"/>
      <c r="R151" s="53"/>
      <c r="S151" s="134"/>
      <c r="T151" s="134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ht="12.75" customHeight="1">
      <c r="A152" s="134"/>
      <c r="B152" s="134"/>
      <c r="C152" s="134"/>
      <c r="D152" s="134"/>
      <c r="E152" s="134"/>
      <c r="F152" s="134"/>
      <c r="G152" s="134"/>
      <c r="H152" s="52"/>
      <c r="I152" s="52"/>
      <c r="J152" s="52"/>
      <c r="K152" s="134"/>
      <c r="L152" s="53"/>
      <c r="M152" s="53"/>
      <c r="N152" s="53"/>
      <c r="O152" s="53"/>
      <c r="P152" s="53"/>
      <c r="Q152" s="53"/>
      <c r="R152" s="53"/>
      <c r="S152" s="134"/>
      <c r="T152" s="134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ht="12.75" customHeight="1">
      <c r="A153" s="134"/>
      <c r="B153" s="134"/>
      <c r="C153" s="134"/>
      <c r="D153" s="134"/>
      <c r="E153" s="134"/>
      <c r="F153" s="134"/>
      <c r="G153" s="134"/>
      <c r="H153" s="52"/>
      <c r="I153" s="52"/>
      <c r="J153" s="52"/>
      <c r="K153" s="134"/>
      <c r="L153" s="53"/>
      <c r="M153" s="53"/>
      <c r="N153" s="53"/>
      <c r="O153" s="53"/>
      <c r="P153" s="53"/>
      <c r="Q153" s="53"/>
      <c r="R153" s="53"/>
      <c r="S153" s="134"/>
      <c r="T153" s="134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ht="12.75" customHeight="1">
      <c r="A154" s="134"/>
      <c r="B154" s="134"/>
      <c r="C154" s="134"/>
      <c r="D154" s="134"/>
      <c r="E154" s="134"/>
      <c r="F154" s="134"/>
      <c r="G154" s="134"/>
      <c r="H154" s="52"/>
      <c r="I154" s="52"/>
      <c r="J154" s="52"/>
      <c r="K154" s="134"/>
      <c r="L154" s="53"/>
      <c r="M154" s="53"/>
      <c r="N154" s="53"/>
      <c r="O154" s="53"/>
      <c r="P154" s="53"/>
      <c r="Q154" s="53"/>
      <c r="R154" s="53"/>
      <c r="S154" s="134"/>
      <c r="T154" s="134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ht="12.75" customHeight="1">
      <c r="A155" s="134"/>
      <c r="B155" s="134"/>
      <c r="C155" s="134"/>
      <c r="D155" s="134"/>
      <c r="E155" s="134"/>
      <c r="F155" s="134"/>
      <c r="G155" s="134"/>
      <c r="H155" s="52"/>
      <c r="I155" s="52"/>
      <c r="J155" s="52"/>
      <c r="K155" s="134"/>
      <c r="L155" s="53"/>
      <c r="M155" s="53"/>
      <c r="N155" s="53"/>
      <c r="O155" s="53"/>
      <c r="P155" s="53"/>
      <c r="Q155" s="53"/>
      <c r="R155" s="53"/>
      <c r="S155" s="134"/>
      <c r="T155" s="134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ht="12.75" customHeight="1">
      <c r="A156" s="134"/>
      <c r="B156" s="134"/>
      <c r="C156" s="134"/>
      <c r="D156" s="134"/>
      <c r="E156" s="134"/>
      <c r="F156" s="134"/>
      <c r="G156" s="134"/>
      <c r="H156" s="52"/>
      <c r="I156" s="52"/>
      <c r="J156" s="52"/>
      <c r="K156" s="134"/>
      <c r="L156" s="53"/>
      <c r="M156" s="53"/>
      <c r="N156" s="53"/>
      <c r="O156" s="53"/>
      <c r="P156" s="53"/>
      <c r="Q156" s="53"/>
      <c r="R156" s="53"/>
      <c r="S156" s="134"/>
      <c r="T156" s="134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ht="12.75" customHeight="1">
      <c r="A157" s="134"/>
      <c r="B157" s="134"/>
      <c r="C157" s="134"/>
      <c r="D157" s="134"/>
      <c r="E157" s="134"/>
      <c r="F157" s="134"/>
      <c r="G157" s="134"/>
      <c r="H157" s="52"/>
      <c r="I157" s="52"/>
      <c r="J157" s="52"/>
      <c r="K157" s="134"/>
      <c r="L157" s="53"/>
      <c r="M157" s="53"/>
      <c r="N157" s="53"/>
      <c r="O157" s="53"/>
      <c r="P157" s="53"/>
      <c r="Q157" s="53"/>
      <c r="R157" s="53"/>
      <c r="S157" s="134"/>
      <c r="T157" s="134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ht="12.75" customHeight="1">
      <c r="A158" s="134"/>
      <c r="B158" s="134"/>
      <c r="C158" s="134"/>
      <c r="D158" s="134"/>
      <c r="E158" s="134"/>
      <c r="F158" s="134"/>
      <c r="G158" s="134"/>
      <c r="H158" s="52"/>
      <c r="I158" s="52"/>
      <c r="J158" s="52"/>
      <c r="K158" s="134"/>
      <c r="L158" s="53"/>
      <c r="M158" s="53"/>
      <c r="N158" s="53"/>
      <c r="O158" s="53"/>
      <c r="P158" s="53"/>
      <c r="Q158" s="53"/>
      <c r="R158" s="53"/>
      <c r="S158" s="134"/>
      <c r="T158" s="134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ht="12.75" customHeight="1">
      <c r="A159" s="134"/>
      <c r="B159" s="134"/>
      <c r="C159" s="134"/>
      <c r="D159" s="134"/>
      <c r="E159" s="134"/>
      <c r="F159" s="134"/>
      <c r="G159" s="134"/>
      <c r="H159" s="52"/>
      <c r="I159" s="52"/>
      <c r="J159" s="52"/>
      <c r="K159" s="134"/>
      <c r="L159" s="53"/>
      <c r="M159" s="53"/>
      <c r="N159" s="53"/>
      <c r="O159" s="53"/>
      <c r="P159" s="53"/>
      <c r="Q159" s="53"/>
      <c r="R159" s="53"/>
      <c r="S159" s="134"/>
      <c r="T159" s="134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ht="12.75" customHeight="1">
      <c r="A160" s="134"/>
      <c r="B160" s="134"/>
      <c r="C160" s="134"/>
      <c r="D160" s="134"/>
      <c r="E160" s="134"/>
      <c r="F160" s="134"/>
      <c r="G160" s="134"/>
      <c r="H160" s="52"/>
      <c r="I160" s="52"/>
      <c r="J160" s="52"/>
      <c r="K160" s="134"/>
      <c r="L160" s="53"/>
      <c r="M160" s="53"/>
      <c r="N160" s="53"/>
      <c r="O160" s="53"/>
      <c r="P160" s="53"/>
      <c r="Q160" s="53"/>
      <c r="R160" s="53"/>
      <c r="S160" s="134"/>
      <c r="T160" s="134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ht="12.75" customHeight="1">
      <c r="A161" s="134"/>
      <c r="B161" s="134"/>
      <c r="C161" s="134"/>
      <c r="D161" s="134"/>
      <c r="E161" s="134"/>
      <c r="F161" s="134"/>
      <c r="G161" s="134"/>
      <c r="H161" s="52"/>
      <c r="I161" s="52"/>
      <c r="J161" s="52"/>
      <c r="K161" s="134"/>
      <c r="L161" s="53"/>
      <c r="M161" s="53"/>
      <c r="N161" s="53"/>
      <c r="O161" s="53"/>
      <c r="P161" s="53"/>
      <c r="Q161" s="53"/>
      <c r="R161" s="53"/>
      <c r="S161" s="134"/>
      <c r="T161" s="134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ht="12.75" customHeight="1">
      <c r="A162" s="134"/>
      <c r="B162" s="134"/>
      <c r="C162" s="134"/>
      <c r="D162" s="134"/>
      <c r="E162" s="134"/>
      <c r="F162" s="134"/>
      <c r="G162" s="134"/>
      <c r="H162" s="52"/>
      <c r="I162" s="52"/>
      <c r="J162" s="52"/>
      <c r="K162" s="134"/>
      <c r="L162" s="53"/>
      <c r="M162" s="53"/>
      <c r="N162" s="53"/>
      <c r="O162" s="53"/>
      <c r="P162" s="53"/>
      <c r="Q162" s="53"/>
      <c r="R162" s="53"/>
      <c r="S162" s="134"/>
      <c r="T162" s="134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ht="12.75" customHeight="1">
      <c r="A163" s="134"/>
      <c r="B163" s="134"/>
      <c r="C163" s="134"/>
      <c r="D163" s="134"/>
      <c r="E163" s="134"/>
      <c r="F163" s="134"/>
      <c r="G163" s="134"/>
      <c r="H163" s="52"/>
      <c r="I163" s="52"/>
      <c r="J163" s="52"/>
      <c r="K163" s="134"/>
      <c r="L163" s="53"/>
      <c r="M163" s="53"/>
      <c r="N163" s="53"/>
      <c r="O163" s="53"/>
      <c r="P163" s="53"/>
      <c r="Q163" s="53"/>
      <c r="R163" s="53"/>
      <c r="S163" s="134"/>
      <c r="T163" s="134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ht="12.75" customHeight="1">
      <c r="A164" s="134"/>
      <c r="B164" s="134"/>
      <c r="C164" s="134"/>
      <c r="D164" s="134"/>
      <c r="E164" s="134"/>
      <c r="F164" s="134"/>
      <c r="G164" s="134"/>
      <c r="H164" s="52"/>
      <c r="I164" s="52"/>
      <c r="J164" s="52"/>
      <c r="K164" s="134"/>
      <c r="L164" s="53"/>
      <c r="M164" s="53"/>
      <c r="N164" s="53"/>
      <c r="O164" s="53"/>
      <c r="P164" s="53"/>
      <c r="Q164" s="53"/>
      <c r="R164" s="53"/>
      <c r="S164" s="134"/>
      <c r="T164" s="134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ht="12.75" customHeight="1">
      <c r="A165" s="134"/>
      <c r="B165" s="134"/>
      <c r="C165" s="134"/>
      <c r="D165" s="134"/>
      <c r="E165" s="134"/>
      <c r="F165" s="134"/>
      <c r="G165" s="134"/>
      <c r="H165" s="52"/>
      <c r="I165" s="52"/>
      <c r="J165" s="52"/>
      <c r="K165" s="134"/>
      <c r="L165" s="53"/>
      <c r="M165" s="53"/>
      <c r="N165" s="53"/>
      <c r="O165" s="53"/>
      <c r="P165" s="53"/>
      <c r="Q165" s="53"/>
      <c r="R165" s="53"/>
      <c r="S165" s="134"/>
      <c r="T165" s="134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ht="12.75" customHeight="1">
      <c r="A166" s="134"/>
      <c r="B166" s="134"/>
      <c r="C166" s="134"/>
      <c r="D166" s="134"/>
      <c r="E166" s="134"/>
      <c r="F166" s="134"/>
      <c r="G166" s="134"/>
      <c r="H166" s="52"/>
      <c r="I166" s="52"/>
      <c r="J166" s="52"/>
      <c r="K166" s="134"/>
      <c r="L166" s="53"/>
      <c r="M166" s="53"/>
      <c r="N166" s="53"/>
      <c r="O166" s="53"/>
      <c r="P166" s="53"/>
      <c r="Q166" s="53"/>
      <c r="R166" s="53"/>
      <c r="S166" s="134"/>
      <c r="T166" s="134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ht="12.75" customHeight="1">
      <c r="A167" s="134"/>
      <c r="B167" s="134"/>
      <c r="C167" s="134"/>
      <c r="D167" s="134"/>
      <c r="E167" s="134"/>
      <c r="F167" s="134"/>
      <c r="G167" s="134"/>
      <c r="H167" s="52"/>
      <c r="I167" s="52"/>
      <c r="J167" s="52"/>
      <c r="K167" s="134"/>
      <c r="L167" s="53"/>
      <c r="M167" s="53"/>
      <c r="N167" s="53"/>
      <c r="O167" s="53"/>
      <c r="P167" s="53"/>
      <c r="Q167" s="53"/>
      <c r="R167" s="53"/>
      <c r="S167" s="134"/>
      <c r="T167" s="134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ht="12.75" customHeight="1">
      <c r="A168" s="134"/>
      <c r="B168" s="134"/>
      <c r="C168" s="134"/>
      <c r="D168" s="134"/>
      <c r="E168" s="134"/>
      <c r="F168" s="134"/>
      <c r="G168" s="134"/>
      <c r="H168" s="52"/>
      <c r="I168" s="52"/>
      <c r="J168" s="52"/>
      <c r="K168" s="134"/>
      <c r="L168" s="53"/>
      <c r="M168" s="53"/>
      <c r="N168" s="53"/>
      <c r="O168" s="53"/>
      <c r="P168" s="53"/>
      <c r="Q168" s="53"/>
      <c r="R168" s="53"/>
      <c r="S168" s="134"/>
      <c r="T168" s="134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ht="12.75" customHeight="1">
      <c r="A169" s="134"/>
      <c r="B169" s="134"/>
      <c r="C169" s="134"/>
      <c r="D169" s="134"/>
      <c r="E169" s="134"/>
      <c r="F169" s="134"/>
      <c r="G169" s="134"/>
      <c r="H169" s="52"/>
      <c r="I169" s="52"/>
      <c r="J169" s="52"/>
      <c r="K169" s="134"/>
      <c r="L169" s="53"/>
      <c r="M169" s="53"/>
      <c r="N169" s="53"/>
      <c r="O169" s="53"/>
      <c r="P169" s="53"/>
      <c r="Q169" s="53"/>
      <c r="R169" s="53"/>
      <c r="S169" s="134"/>
      <c r="T169" s="134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ht="12.75" customHeight="1">
      <c r="A170" s="134"/>
      <c r="B170" s="134"/>
      <c r="C170" s="134"/>
      <c r="D170" s="134"/>
      <c r="E170" s="134"/>
      <c r="F170" s="134"/>
      <c r="G170" s="134"/>
      <c r="H170" s="52"/>
      <c r="I170" s="52"/>
      <c r="J170" s="52"/>
      <c r="K170" s="134"/>
      <c r="L170" s="53"/>
      <c r="M170" s="53"/>
      <c r="N170" s="53"/>
      <c r="O170" s="53"/>
      <c r="P170" s="53"/>
      <c r="Q170" s="53"/>
      <c r="R170" s="53"/>
      <c r="S170" s="134"/>
      <c r="T170" s="134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ht="12.75" customHeight="1">
      <c r="A171" s="134"/>
      <c r="B171" s="134"/>
      <c r="C171" s="134"/>
      <c r="D171" s="134"/>
      <c r="E171" s="134"/>
      <c r="F171" s="134"/>
      <c r="G171" s="134"/>
      <c r="H171" s="52"/>
      <c r="I171" s="52"/>
      <c r="J171" s="52"/>
      <c r="K171" s="134"/>
      <c r="L171" s="53"/>
      <c r="M171" s="53"/>
      <c r="N171" s="53"/>
      <c r="O171" s="53"/>
      <c r="P171" s="53"/>
      <c r="Q171" s="53"/>
      <c r="R171" s="53"/>
      <c r="S171" s="134"/>
      <c r="T171" s="134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ht="12.75" customHeight="1">
      <c r="A172" s="134"/>
      <c r="B172" s="134"/>
      <c r="C172" s="134"/>
      <c r="D172" s="134"/>
      <c r="E172" s="134"/>
      <c r="F172" s="134"/>
      <c r="G172" s="134"/>
      <c r="H172" s="52"/>
      <c r="I172" s="52"/>
      <c r="J172" s="52"/>
      <c r="K172" s="134"/>
      <c r="L172" s="53"/>
      <c r="M172" s="53"/>
      <c r="N172" s="53"/>
      <c r="O172" s="53"/>
      <c r="P172" s="53"/>
      <c r="Q172" s="53"/>
      <c r="R172" s="53"/>
      <c r="S172" s="134"/>
      <c r="T172" s="134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ht="12.75" customHeight="1">
      <c r="A173" s="134"/>
      <c r="B173" s="134"/>
      <c r="C173" s="134"/>
      <c r="D173" s="134"/>
      <c r="E173" s="134"/>
      <c r="F173" s="134"/>
      <c r="G173" s="134"/>
      <c r="H173" s="52"/>
      <c r="I173" s="52"/>
      <c r="J173" s="52"/>
      <c r="K173" s="134"/>
      <c r="L173" s="53"/>
      <c r="M173" s="53"/>
      <c r="N173" s="53"/>
      <c r="O173" s="53"/>
      <c r="P173" s="53"/>
      <c r="Q173" s="53"/>
      <c r="R173" s="53"/>
      <c r="S173" s="134"/>
      <c r="T173" s="134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ht="12.75" customHeight="1">
      <c r="A174" s="134"/>
      <c r="B174" s="134"/>
      <c r="C174" s="134"/>
      <c r="D174" s="134"/>
      <c r="E174" s="134"/>
      <c r="F174" s="134"/>
      <c r="G174" s="134"/>
      <c r="H174" s="52"/>
      <c r="I174" s="52"/>
      <c r="J174" s="52"/>
      <c r="K174" s="134"/>
      <c r="L174" s="53"/>
      <c r="M174" s="53"/>
      <c r="N174" s="53"/>
      <c r="O174" s="53"/>
      <c r="P174" s="53"/>
      <c r="Q174" s="53"/>
      <c r="R174" s="53"/>
      <c r="S174" s="134"/>
      <c r="T174" s="134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ht="12.75" customHeight="1">
      <c r="A175" s="134"/>
      <c r="B175" s="134"/>
      <c r="C175" s="134"/>
      <c r="D175" s="134"/>
      <c r="E175" s="134"/>
      <c r="F175" s="134"/>
      <c r="G175" s="134"/>
      <c r="H175" s="52"/>
      <c r="I175" s="52"/>
      <c r="J175" s="52"/>
      <c r="K175" s="134"/>
      <c r="L175" s="53"/>
      <c r="M175" s="53"/>
      <c r="N175" s="53"/>
      <c r="O175" s="53"/>
      <c r="P175" s="53"/>
      <c r="Q175" s="53"/>
      <c r="R175" s="53"/>
      <c r="S175" s="134"/>
      <c r="T175" s="134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ht="12.75" customHeight="1">
      <c r="A176" s="134"/>
      <c r="B176" s="134"/>
      <c r="C176" s="134"/>
      <c r="D176" s="134"/>
      <c r="E176" s="134"/>
      <c r="F176" s="134"/>
      <c r="G176" s="134"/>
      <c r="H176" s="52"/>
      <c r="I176" s="52"/>
      <c r="J176" s="52"/>
      <c r="K176" s="134"/>
      <c r="L176" s="53"/>
      <c r="M176" s="53"/>
      <c r="N176" s="53"/>
      <c r="O176" s="53"/>
      <c r="P176" s="53"/>
      <c r="Q176" s="53"/>
      <c r="R176" s="53"/>
      <c r="S176" s="134"/>
      <c r="T176" s="134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ht="12.75" customHeight="1">
      <c r="A177" s="134"/>
      <c r="B177" s="134"/>
      <c r="C177" s="134"/>
      <c r="D177" s="134"/>
      <c r="E177" s="134"/>
      <c r="F177" s="134"/>
      <c r="G177" s="134"/>
      <c r="H177" s="52"/>
      <c r="I177" s="52"/>
      <c r="J177" s="52"/>
      <c r="K177" s="134"/>
      <c r="L177" s="53"/>
      <c r="M177" s="53"/>
      <c r="N177" s="53"/>
      <c r="O177" s="53"/>
      <c r="P177" s="53"/>
      <c r="Q177" s="53"/>
      <c r="R177" s="53"/>
      <c r="S177" s="134"/>
      <c r="T177" s="134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ht="12.75" customHeight="1">
      <c r="A178" s="134"/>
      <c r="B178" s="134"/>
      <c r="C178" s="134"/>
      <c r="D178" s="134"/>
      <c r="E178" s="134"/>
      <c r="F178" s="134"/>
      <c r="G178" s="134"/>
      <c r="H178" s="52"/>
      <c r="I178" s="52"/>
      <c r="J178" s="52"/>
      <c r="K178" s="134"/>
      <c r="L178" s="53"/>
      <c r="M178" s="53"/>
      <c r="N178" s="53"/>
      <c r="O178" s="53"/>
      <c r="P178" s="53"/>
      <c r="Q178" s="53"/>
      <c r="R178" s="53"/>
      <c r="S178" s="134"/>
      <c r="T178" s="134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ht="12.75" customHeight="1">
      <c r="A179" s="134"/>
      <c r="B179" s="134"/>
      <c r="C179" s="134"/>
      <c r="D179" s="134"/>
      <c r="E179" s="134"/>
      <c r="F179" s="134"/>
      <c r="G179" s="134"/>
      <c r="H179" s="52"/>
      <c r="I179" s="52"/>
      <c r="J179" s="52"/>
      <c r="K179" s="134"/>
      <c r="L179" s="53"/>
      <c r="M179" s="53"/>
      <c r="N179" s="53"/>
      <c r="O179" s="53"/>
      <c r="P179" s="53"/>
      <c r="Q179" s="53"/>
      <c r="R179" s="53"/>
      <c r="S179" s="134"/>
      <c r="T179" s="134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ht="12.75" customHeight="1">
      <c r="A180" s="134"/>
      <c r="B180" s="134"/>
      <c r="C180" s="134"/>
      <c r="D180" s="134"/>
      <c r="E180" s="134"/>
      <c r="F180" s="134"/>
      <c r="G180" s="134"/>
      <c r="H180" s="52"/>
      <c r="I180" s="52"/>
      <c r="J180" s="52"/>
      <c r="K180" s="134"/>
      <c r="L180" s="53"/>
      <c r="M180" s="53"/>
      <c r="N180" s="53"/>
      <c r="O180" s="53"/>
      <c r="P180" s="53"/>
      <c r="Q180" s="53"/>
      <c r="R180" s="53"/>
      <c r="S180" s="134"/>
      <c r="T180" s="134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ht="12.75" customHeight="1">
      <c r="A181" s="134"/>
      <c r="B181" s="134"/>
      <c r="C181" s="134"/>
      <c r="D181" s="134"/>
      <c r="E181" s="134"/>
      <c r="F181" s="134"/>
      <c r="G181" s="134"/>
      <c r="H181" s="52"/>
      <c r="I181" s="52"/>
      <c r="J181" s="52"/>
      <c r="K181" s="134"/>
      <c r="L181" s="53"/>
      <c r="M181" s="53"/>
      <c r="N181" s="53"/>
      <c r="O181" s="53"/>
      <c r="P181" s="53"/>
      <c r="Q181" s="53"/>
      <c r="R181" s="53"/>
      <c r="S181" s="134"/>
      <c r="T181" s="134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ht="12.75" customHeight="1">
      <c r="A182" s="134"/>
      <c r="B182" s="134"/>
      <c r="C182" s="134"/>
      <c r="D182" s="134"/>
      <c r="E182" s="134"/>
      <c r="F182" s="134"/>
      <c r="G182" s="134"/>
      <c r="H182" s="52"/>
      <c r="I182" s="52"/>
      <c r="J182" s="52"/>
      <c r="K182" s="134"/>
      <c r="L182" s="53"/>
      <c r="M182" s="53"/>
      <c r="N182" s="53"/>
      <c r="O182" s="53"/>
      <c r="P182" s="53"/>
      <c r="Q182" s="53"/>
      <c r="R182" s="53"/>
      <c r="S182" s="134"/>
      <c r="T182" s="134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ht="12.75" customHeight="1">
      <c r="A183" s="134"/>
      <c r="B183" s="134"/>
      <c r="C183" s="134"/>
      <c r="D183" s="134"/>
      <c r="E183" s="134"/>
      <c r="F183" s="134"/>
      <c r="G183" s="134"/>
      <c r="H183" s="52"/>
      <c r="I183" s="52"/>
      <c r="J183" s="52"/>
      <c r="K183" s="134"/>
      <c r="L183" s="53"/>
      <c r="M183" s="53"/>
      <c r="N183" s="53"/>
      <c r="O183" s="53"/>
      <c r="P183" s="53"/>
      <c r="Q183" s="53"/>
      <c r="R183" s="53"/>
      <c r="S183" s="134"/>
      <c r="T183" s="134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ht="12.75" customHeight="1">
      <c r="A184" s="134"/>
      <c r="B184" s="134"/>
      <c r="C184" s="134"/>
      <c r="D184" s="134"/>
      <c r="E184" s="134"/>
      <c r="F184" s="134"/>
      <c r="G184" s="134"/>
      <c r="H184" s="52"/>
      <c r="I184" s="52"/>
      <c r="J184" s="52"/>
      <c r="K184" s="134"/>
      <c r="L184" s="53"/>
      <c r="M184" s="53"/>
      <c r="N184" s="53"/>
      <c r="O184" s="53"/>
      <c r="P184" s="53"/>
      <c r="Q184" s="53"/>
      <c r="R184" s="53"/>
      <c r="S184" s="134"/>
      <c r="T184" s="134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ht="12.75" customHeight="1">
      <c r="A185" s="134"/>
      <c r="B185" s="134"/>
      <c r="C185" s="134"/>
      <c r="D185" s="134"/>
      <c r="E185" s="134"/>
      <c r="F185" s="134"/>
      <c r="G185" s="134"/>
      <c r="H185" s="52"/>
      <c r="I185" s="52"/>
      <c r="J185" s="52"/>
      <c r="K185" s="134"/>
      <c r="L185" s="53"/>
      <c r="M185" s="53"/>
      <c r="N185" s="53"/>
      <c r="O185" s="53"/>
      <c r="P185" s="53"/>
      <c r="Q185" s="53"/>
      <c r="R185" s="53"/>
      <c r="S185" s="134"/>
      <c r="T185" s="134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ht="12.75" customHeight="1">
      <c r="A186" s="134"/>
      <c r="B186" s="134"/>
      <c r="C186" s="134"/>
      <c r="D186" s="134"/>
      <c r="E186" s="134"/>
      <c r="F186" s="134"/>
      <c r="G186" s="134"/>
      <c r="H186" s="52"/>
      <c r="I186" s="52"/>
      <c r="J186" s="52"/>
      <c r="K186" s="134"/>
      <c r="L186" s="53"/>
      <c r="M186" s="53"/>
      <c r="N186" s="53"/>
      <c r="O186" s="53"/>
      <c r="P186" s="53"/>
      <c r="Q186" s="53"/>
      <c r="R186" s="53"/>
      <c r="S186" s="134"/>
      <c r="T186" s="134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ht="12.75" customHeight="1">
      <c r="A187" s="134"/>
      <c r="B187" s="134"/>
      <c r="C187" s="134"/>
      <c r="D187" s="134"/>
      <c r="E187" s="134"/>
      <c r="F187" s="134"/>
      <c r="G187" s="134"/>
      <c r="H187" s="52"/>
      <c r="I187" s="52"/>
      <c r="J187" s="52"/>
      <c r="K187" s="134"/>
      <c r="L187" s="53"/>
      <c r="M187" s="53"/>
      <c r="N187" s="53"/>
      <c r="O187" s="53"/>
      <c r="P187" s="53"/>
      <c r="Q187" s="53"/>
      <c r="R187" s="53"/>
      <c r="S187" s="134"/>
      <c r="T187" s="134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ht="12.75" customHeight="1">
      <c r="A188" s="134"/>
      <c r="B188" s="134"/>
      <c r="C188" s="134"/>
      <c r="D188" s="134"/>
      <c r="E188" s="134"/>
      <c r="F188" s="134"/>
      <c r="G188" s="134"/>
      <c r="H188" s="52"/>
      <c r="I188" s="52"/>
      <c r="J188" s="52"/>
      <c r="K188" s="134"/>
      <c r="L188" s="53"/>
      <c r="M188" s="53"/>
      <c r="N188" s="53"/>
      <c r="O188" s="53"/>
      <c r="P188" s="53"/>
      <c r="Q188" s="53"/>
      <c r="R188" s="53"/>
      <c r="S188" s="134"/>
      <c r="T188" s="134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ht="12.75" customHeight="1">
      <c r="A189" s="134"/>
      <c r="B189" s="134"/>
      <c r="C189" s="134"/>
      <c r="D189" s="134"/>
      <c r="E189" s="134"/>
      <c r="F189" s="134"/>
      <c r="G189" s="134"/>
      <c r="H189" s="52"/>
      <c r="I189" s="52"/>
      <c r="J189" s="52"/>
      <c r="K189" s="134"/>
      <c r="L189" s="53"/>
      <c r="M189" s="53"/>
      <c r="N189" s="53"/>
      <c r="O189" s="53"/>
      <c r="P189" s="53"/>
      <c r="Q189" s="53"/>
      <c r="R189" s="53"/>
      <c r="S189" s="134"/>
      <c r="T189" s="134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ht="12.75" customHeight="1">
      <c r="A190" s="134"/>
      <c r="B190" s="134"/>
      <c r="C190" s="134"/>
      <c r="D190" s="134"/>
      <c r="E190" s="134"/>
      <c r="F190" s="134"/>
      <c r="G190" s="134"/>
      <c r="H190" s="52"/>
      <c r="I190" s="52"/>
      <c r="J190" s="52"/>
      <c r="K190" s="134"/>
      <c r="L190" s="53"/>
      <c r="M190" s="53"/>
      <c r="N190" s="53"/>
      <c r="O190" s="53"/>
      <c r="P190" s="53"/>
      <c r="Q190" s="53"/>
      <c r="R190" s="53"/>
      <c r="S190" s="134"/>
      <c r="T190" s="134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ht="12.75" customHeight="1">
      <c r="A191" s="134"/>
      <c r="B191" s="134"/>
      <c r="C191" s="134"/>
      <c r="D191" s="134"/>
      <c r="E191" s="134"/>
      <c r="F191" s="134"/>
      <c r="G191" s="134"/>
      <c r="H191" s="52"/>
      <c r="I191" s="52"/>
      <c r="J191" s="52"/>
      <c r="K191" s="134"/>
      <c r="L191" s="53"/>
      <c r="M191" s="53"/>
      <c r="N191" s="53"/>
      <c r="O191" s="53"/>
      <c r="P191" s="53"/>
      <c r="Q191" s="53"/>
      <c r="R191" s="53"/>
      <c r="S191" s="134"/>
      <c r="T191" s="134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ht="12.75" customHeight="1">
      <c r="A192" s="134"/>
      <c r="B192" s="134"/>
      <c r="C192" s="134"/>
      <c r="D192" s="134"/>
      <c r="E192" s="134"/>
      <c r="F192" s="134"/>
      <c r="G192" s="134"/>
      <c r="H192" s="52"/>
      <c r="I192" s="52"/>
      <c r="J192" s="52"/>
      <c r="K192" s="134"/>
      <c r="L192" s="53"/>
      <c r="M192" s="53"/>
      <c r="N192" s="53"/>
      <c r="O192" s="53"/>
      <c r="P192" s="53"/>
      <c r="Q192" s="53"/>
      <c r="R192" s="53"/>
      <c r="S192" s="134"/>
      <c r="T192" s="134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ht="12.75" customHeight="1">
      <c r="A193" s="134"/>
      <c r="B193" s="134"/>
      <c r="C193" s="134"/>
      <c r="D193" s="134"/>
      <c r="E193" s="134"/>
      <c r="F193" s="134"/>
      <c r="G193" s="134"/>
      <c r="H193" s="52"/>
      <c r="I193" s="52"/>
      <c r="J193" s="52"/>
      <c r="K193" s="134"/>
      <c r="L193" s="53"/>
      <c r="M193" s="53"/>
      <c r="N193" s="53"/>
      <c r="O193" s="53"/>
      <c r="P193" s="53"/>
      <c r="Q193" s="53"/>
      <c r="R193" s="53"/>
      <c r="S193" s="134"/>
      <c r="T193" s="134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ht="12.75" customHeight="1">
      <c r="A194" s="134"/>
      <c r="B194" s="134"/>
      <c r="C194" s="134"/>
      <c r="D194" s="134"/>
      <c r="E194" s="134"/>
      <c r="F194" s="134"/>
      <c r="G194" s="134"/>
      <c r="H194" s="52"/>
      <c r="I194" s="52"/>
      <c r="J194" s="52"/>
      <c r="K194" s="134"/>
      <c r="L194" s="53"/>
      <c r="M194" s="53"/>
      <c r="N194" s="53"/>
      <c r="O194" s="53"/>
      <c r="P194" s="53"/>
      <c r="Q194" s="53"/>
      <c r="R194" s="53"/>
      <c r="S194" s="134"/>
      <c r="T194" s="134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ht="12.75" customHeight="1">
      <c r="A195" s="134"/>
      <c r="B195" s="134"/>
      <c r="C195" s="134"/>
      <c r="D195" s="134"/>
      <c r="E195" s="134"/>
      <c r="F195" s="134"/>
      <c r="G195" s="134"/>
      <c r="H195" s="52"/>
      <c r="I195" s="52"/>
      <c r="J195" s="52"/>
      <c r="K195" s="134"/>
      <c r="L195" s="53"/>
      <c r="M195" s="53"/>
      <c r="N195" s="53"/>
      <c r="O195" s="53"/>
      <c r="P195" s="53"/>
      <c r="Q195" s="53"/>
      <c r="R195" s="53"/>
      <c r="S195" s="134"/>
      <c r="T195" s="134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ht="12.75" customHeight="1">
      <c r="A196" s="134"/>
      <c r="B196" s="134"/>
      <c r="C196" s="134"/>
      <c r="D196" s="134"/>
      <c r="E196" s="134"/>
      <c r="F196" s="134"/>
      <c r="G196" s="134"/>
      <c r="H196" s="52"/>
      <c r="I196" s="52"/>
      <c r="J196" s="52"/>
      <c r="K196" s="134"/>
      <c r="L196" s="53"/>
      <c r="M196" s="53"/>
      <c r="N196" s="53"/>
      <c r="O196" s="53"/>
      <c r="P196" s="53"/>
      <c r="Q196" s="53"/>
      <c r="R196" s="53"/>
      <c r="S196" s="134"/>
      <c r="T196" s="134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ht="12.75" customHeight="1">
      <c r="A197" s="134"/>
      <c r="B197" s="134"/>
      <c r="C197" s="134"/>
      <c r="D197" s="134"/>
      <c r="E197" s="134"/>
      <c r="F197" s="134"/>
      <c r="G197" s="134"/>
      <c r="H197" s="52"/>
      <c r="I197" s="52"/>
      <c r="J197" s="52"/>
      <c r="K197" s="134"/>
      <c r="L197" s="53"/>
      <c r="M197" s="53"/>
      <c r="N197" s="53"/>
      <c r="O197" s="53"/>
      <c r="P197" s="53"/>
      <c r="Q197" s="53"/>
      <c r="R197" s="53"/>
      <c r="S197" s="134"/>
      <c r="T197" s="134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ht="12.75" customHeight="1">
      <c r="A198" s="134"/>
      <c r="B198" s="134"/>
      <c r="C198" s="134"/>
      <c r="D198" s="134"/>
      <c r="E198" s="134"/>
      <c r="F198" s="134"/>
      <c r="G198" s="134"/>
      <c r="H198" s="52"/>
      <c r="I198" s="52"/>
      <c r="J198" s="52"/>
      <c r="K198" s="134"/>
      <c r="L198" s="53"/>
      <c r="M198" s="53"/>
      <c r="N198" s="53"/>
      <c r="O198" s="53"/>
      <c r="P198" s="53"/>
      <c r="Q198" s="53"/>
      <c r="R198" s="53"/>
      <c r="S198" s="134"/>
      <c r="T198" s="134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ht="12.75" customHeight="1">
      <c r="A199" s="134"/>
      <c r="B199" s="134"/>
      <c r="C199" s="134"/>
      <c r="D199" s="134"/>
      <c r="E199" s="134"/>
      <c r="F199" s="134"/>
      <c r="G199" s="134"/>
      <c r="H199" s="52"/>
      <c r="I199" s="52"/>
      <c r="J199" s="52"/>
      <c r="K199" s="134"/>
      <c r="L199" s="53"/>
      <c r="M199" s="53"/>
      <c r="N199" s="53"/>
      <c r="O199" s="53"/>
      <c r="P199" s="53"/>
      <c r="Q199" s="53"/>
      <c r="R199" s="53"/>
      <c r="S199" s="134"/>
      <c r="T199" s="134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ht="12.75" customHeight="1">
      <c r="A200" s="134"/>
      <c r="B200" s="134"/>
      <c r="C200" s="134"/>
      <c r="D200" s="134"/>
      <c r="E200" s="134"/>
      <c r="F200" s="134"/>
      <c r="G200" s="134"/>
      <c r="H200" s="52"/>
      <c r="I200" s="52"/>
      <c r="J200" s="52"/>
      <c r="K200" s="134"/>
      <c r="L200" s="53"/>
      <c r="M200" s="53"/>
      <c r="N200" s="53"/>
      <c r="O200" s="53"/>
      <c r="P200" s="53"/>
      <c r="Q200" s="53"/>
      <c r="R200" s="53"/>
      <c r="S200" s="134"/>
      <c r="T200" s="134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ht="12.75" customHeight="1">
      <c r="A201" s="134"/>
      <c r="B201" s="134"/>
      <c r="C201" s="134"/>
      <c r="D201" s="134"/>
      <c r="E201" s="134"/>
      <c r="F201" s="134"/>
      <c r="G201" s="134"/>
      <c r="H201" s="52"/>
      <c r="I201" s="52"/>
      <c r="J201" s="52"/>
      <c r="K201" s="134"/>
      <c r="L201" s="53"/>
      <c r="M201" s="53"/>
      <c r="N201" s="53"/>
      <c r="O201" s="53"/>
      <c r="P201" s="53"/>
      <c r="Q201" s="53"/>
      <c r="R201" s="53"/>
      <c r="S201" s="134"/>
      <c r="T201" s="134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ht="12.75" customHeight="1">
      <c r="A202" s="134"/>
      <c r="B202" s="134"/>
      <c r="C202" s="134"/>
      <c r="D202" s="134"/>
      <c r="E202" s="134"/>
      <c r="F202" s="134"/>
      <c r="G202" s="134"/>
      <c r="H202" s="52"/>
      <c r="I202" s="52"/>
      <c r="J202" s="52"/>
      <c r="K202" s="134"/>
      <c r="L202" s="53"/>
      <c r="M202" s="53"/>
      <c r="N202" s="53"/>
      <c r="O202" s="53"/>
      <c r="P202" s="53"/>
      <c r="Q202" s="53"/>
      <c r="R202" s="53"/>
      <c r="S202" s="134"/>
      <c r="T202" s="134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ht="12.75" customHeight="1">
      <c r="A203" s="134"/>
      <c r="B203" s="134"/>
      <c r="C203" s="134"/>
      <c r="D203" s="134"/>
      <c r="E203" s="134"/>
      <c r="F203" s="134"/>
      <c r="G203" s="134"/>
      <c r="H203" s="52"/>
      <c r="I203" s="52"/>
      <c r="J203" s="52"/>
      <c r="K203" s="134"/>
      <c r="L203" s="53"/>
      <c r="M203" s="53"/>
      <c r="N203" s="53"/>
      <c r="O203" s="53"/>
      <c r="P203" s="53"/>
      <c r="Q203" s="53"/>
      <c r="R203" s="53"/>
      <c r="S203" s="134"/>
      <c r="T203" s="134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ht="12.75" customHeight="1">
      <c r="A204" s="134"/>
      <c r="B204" s="134"/>
      <c r="C204" s="134"/>
      <c r="D204" s="134"/>
      <c r="E204" s="134"/>
      <c r="F204" s="134"/>
      <c r="G204" s="134"/>
      <c r="H204" s="52"/>
      <c r="I204" s="52"/>
      <c r="J204" s="52"/>
      <c r="K204" s="134"/>
      <c r="L204" s="53"/>
      <c r="M204" s="53"/>
      <c r="N204" s="53"/>
      <c r="O204" s="53"/>
      <c r="P204" s="53"/>
      <c r="Q204" s="53"/>
      <c r="R204" s="53"/>
      <c r="S204" s="134"/>
      <c r="T204" s="134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ht="12.75" customHeight="1">
      <c r="A205" s="134"/>
      <c r="B205" s="134"/>
      <c r="C205" s="134"/>
      <c r="D205" s="134"/>
      <c r="E205" s="134"/>
      <c r="F205" s="134"/>
      <c r="G205" s="134"/>
      <c r="H205" s="52"/>
      <c r="I205" s="52"/>
      <c r="J205" s="52"/>
      <c r="K205" s="134"/>
      <c r="L205" s="53"/>
      <c r="M205" s="53"/>
      <c r="N205" s="53"/>
      <c r="O205" s="53"/>
      <c r="P205" s="53"/>
      <c r="Q205" s="53"/>
      <c r="R205" s="53"/>
      <c r="S205" s="134"/>
      <c r="T205" s="134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ht="12.75" customHeight="1">
      <c r="A206" s="134"/>
      <c r="B206" s="134"/>
      <c r="C206" s="134"/>
      <c r="D206" s="134"/>
      <c r="E206" s="134"/>
      <c r="F206" s="134"/>
      <c r="G206" s="134"/>
      <c r="H206" s="52"/>
      <c r="I206" s="52"/>
      <c r="J206" s="52"/>
      <c r="K206" s="134"/>
      <c r="L206" s="53"/>
      <c r="M206" s="53"/>
      <c r="N206" s="53"/>
      <c r="O206" s="53"/>
      <c r="P206" s="53"/>
      <c r="Q206" s="53"/>
      <c r="R206" s="53"/>
      <c r="S206" s="134"/>
      <c r="T206" s="134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ht="12.75" customHeight="1">
      <c r="A207" s="134"/>
      <c r="B207" s="134"/>
      <c r="C207" s="134"/>
      <c r="D207" s="134"/>
      <c r="E207" s="134"/>
      <c r="F207" s="134"/>
      <c r="G207" s="134"/>
      <c r="H207" s="52"/>
      <c r="I207" s="52"/>
      <c r="J207" s="52"/>
      <c r="K207" s="134"/>
      <c r="L207" s="53"/>
      <c r="M207" s="53"/>
      <c r="N207" s="53"/>
      <c r="O207" s="53"/>
      <c r="P207" s="53"/>
      <c r="Q207" s="53"/>
      <c r="R207" s="53"/>
      <c r="S207" s="134"/>
      <c r="T207" s="134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ht="12.75" customHeight="1">
      <c r="A208" s="134"/>
      <c r="B208" s="134"/>
      <c r="C208" s="134"/>
      <c r="D208" s="134"/>
      <c r="E208" s="134"/>
      <c r="F208" s="134"/>
      <c r="G208" s="134"/>
      <c r="H208" s="52"/>
      <c r="I208" s="52"/>
      <c r="J208" s="52"/>
      <c r="K208" s="134"/>
      <c r="L208" s="53"/>
      <c r="M208" s="53"/>
      <c r="N208" s="53"/>
      <c r="O208" s="53"/>
      <c r="P208" s="53"/>
      <c r="Q208" s="53"/>
      <c r="R208" s="53"/>
      <c r="S208" s="134"/>
      <c r="T208" s="134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ht="12.75" customHeight="1">
      <c r="A209" s="134"/>
      <c r="B209" s="134"/>
      <c r="C209" s="134"/>
      <c r="D209" s="134"/>
      <c r="E209" s="134"/>
      <c r="F209" s="134"/>
      <c r="G209" s="134"/>
      <c r="H209" s="52"/>
      <c r="I209" s="52"/>
      <c r="J209" s="52"/>
      <c r="K209" s="134"/>
      <c r="L209" s="53"/>
      <c r="M209" s="53"/>
      <c r="N209" s="53"/>
      <c r="O209" s="53"/>
      <c r="P209" s="53"/>
      <c r="Q209" s="53"/>
      <c r="R209" s="53"/>
      <c r="S209" s="134"/>
      <c r="T209" s="134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ht="12.75" customHeight="1">
      <c r="A210" s="134"/>
      <c r="B210" s="134"/>
      <c r="C210" s="134"/>
      <c r="D210" s="134"/>
      <c r="E210" s="134"/>
      <c r="F210" s="134"/>
      <c r="G210" s="134"/>
      <c r="H210" s="52"/>
      <c r="I210" s="52"/>
      <c r="J210" s="52"/>
      <c r="K210" s="134"/>
      <c r="L210" s="53"/>
      <c r="M210" s="53"/>
      <c r="N210" s="53"/>
      <c r="O210" s="53"/>
      <c r="P210" s="53"/>
      <c r="Q210" s="53"/>
      <c r="R210" s="53"/>
      <c r="S210" s="134"/>
      <c r="T210" s="134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ht="12.75" customHeight="1">
      <c r="A211" s="134"/>
      <c r="B211" s="134"/>
      <c r="C211" s="134"/>
      <c r="D211" s="134"/>
      <c r="E211" s="134"/>
      <c r="F211" s="134"/>
      <c r="G211" s="134"/>
      <c r="H211" s="52"/>
      <c r="I211" s="52"/>
      <c r="J211" s="52"/>
      <c r="K211" s="134"/>
      <c r="L211" s="53"/>
      <c r="M211" s="53"/>
      <c r="N211" s="53"/>
      <c r="O211" s="53"/>
      <c r="P211" s="53"/>
      <c r="Q211" s="53"/>
      <c r="R211" s="53"/>
      <c r="S211" s="134"/>
      <c r="T211" s="134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ht="12.75" customHeight="1">
      <c r="A212" s="134"/>
      <c r="B212" s="134"/>
      <c r="C212" s="134"/>
      <c r="D212" s="134"/>
      <c r="E212" s="134"/>
      <c r="F212" s="134"/>
      <c r="G212" s="134"/>
      <c r="H212" s="52"/>
      <c r="I212" s="52"/>
      <c r="J212" s="52"/>
      <c r="K212" s="134"/>
      <c r="L212" s="53"/>
      <c r="M212" s="53"/>
      <c r="N212" s="53"/>
      <c r="O212" s="53"/>
      <c r="P212" s="53"/>
      <c r="Q212" s="53"/>
      <c r="R212" s="53"/>
      <c r="S212" s="134"/>
      <c r="T212" s="134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ht="12.75" customHeight="1">
      <c r="A213" s="134"/>
      <c r="B213" s="134"/>
      <c r="C213" s="134"/>
      <c r="D213" s="134"/>
      <c r="E213" s="134"/>
      <c r="F213" s="134"/>
      <c r="G213" s="134"/>
      <c r="H213" s="52"/>
      <c r="I213" s="52"/>
      <c r="J213" s="52"/>
      <c r="K213" s="134"/>
      <c r="L213" s="53"/>
      <c r="M213" s="53"/>
      <c r="N213" s="53"/>
      <c r="O213" s="53"/>
      <c r="P213" s="53"/>
      <c r="Q213" s="53"/>
      <c r="R213" s="53"/>
      <c r="S213" s="134"/>
      <c r="T213" s="134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ht="12.75" customHeight="1">
      <c r="A214" s="134"/>
      <c r="B214" s="134"/>
      <c r="C214" s="134"/>
      <c r="D214" s="134"/>
      <c r="E214" s="134"/>
      <c r="F214" s="134"/>
      <c r="G214" s="134"/>
      <c r="H214" s="52"/>
      <c r="I214" s="52"/>
      <c r="J214" s="52"/>
      <c r="K214" s="134"/>
      <c r="L214" s="53"/>
      <c r="M214" s="53"/>
      <c r="N214" s="53"/>
      <c r="O214" s="53"/>
      <c r="P214" s="53"/>
      <c r="Q214" s="53"/>
      <c r="R214" s="53"/>
      <c r="S214" s="134"/>
      <c r="T214" s="134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ht="12.75" customHeight="1">
      <c r="A215" s="134"/>
      <c r="B215" s="134"/>
      <c r="C215" s="134"/>
      <c r="D215" s="134"/>
      <c r="E215" s="134"/>
      <c r="F215" s="134"/>
      <c r="G215" s="134"/>
      <c r="H215" s="52"/>
      <c r="I215" s="52"/>
      <c r="J215" s="52"/>
      <c r="K215" s="134"/>
      <c r="L215" s="53"/>
      <c r="M215" s="53"/>
      <c r="N215" s="53"/>
      <c r="O215" s="53"/>
      <c r="P215" s="53"/>
      <c r="Q215" s="53"/>
      <c r="R215" s="53"/>
      <c r="S215" s="134"/>
      <c r="T215" s="134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ht="12.75" customHeight="1">
      <c r="A216" s="134"/>
      <c r="B216" s="134"/>
      <c r="C216" s="134"/>
      <c r="D216" s="134"/>
      <c r="E216" s="134"/>
      <c r="F216" s="134"/>
      <c r="G216" s="134"/>
      <c r="H216" s="52"/>
      <c r="I216" s="52"/>
      <c r="J216" s="52"/>
      <c r="K216" s="134"/>
      <c r="L216" s="53"/>
      <c r="M216" s="53"/>
      <c r="N216" s="53"/>
      <c r="O216" s="53"/>
      <c r="P216" s="53"/>
      <c r="Q216" s="53"/>
      <c r="R216" s="53"/>
      <c r="S216" s="134"/>
      <c r="T216" s="134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ht="12.75" customHeight="1">
      <c r="A217" s="134"/>
      <c r="B217" s="134"/>
      <c r="C217" s="134"/>
      <c r="D217" s="134"/>
      <c r="E217" s="134"/>
      <c r="F217" s="134"/>
      <c r="G217" s="134"/>
      <c r="H217" s="52"/>
      <c r="I217" s="52"/>
      <c r="J217" s="52"/>
      <c r="K217" s="134"/>
      <c r="L217" s="53"/>
      <c r="M217" s="53"/>
      <c r="N217" s="53"/>
      <c r="O217" s="53"/>
      <c r="P217" s="53"/>
      <c r="Q217" s="53"/>
      <c r="R217" s="53"/>
      <c r="S217" s="134"/>
      <c r="T217" s="134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ht="12.75" customHeight="1">
      <c r="A218" s="134"/>
      <c r="B218" s="134"/>
      <c r="C218" s="134"/>
      <c r="D218" s="134"/>
      <c r="E218" s="134"/>
      <c r="F218" s="134"/>
      <c r="G218" s="134"/>
      <c r="H218" s="52"/>
      <c r="I218" s="52"/>
      <c r="J218" s="52"/>
      <c r="K218" s="134"/>
      <c r="L218" s="53"/>
      <c r="M218" s="53"/>
      <c r="N218" s="53"/>
      <c r="O218" s="53"/>
      <c r="P218" s="53"/>
      <c r="Q218" s="53"/>
      <c r="R218" s="53"/>
      <c r="S218" s="134"/>
      <c r="T218" s="134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ht="12.75" customHeight="1">
      <c r="A219" s="134"/>
      <c r="B219" s="134"/>
      <c r="C219" s="134"/>
      <c r="D219" s="134"/>
      <c r="E219" s="134"/>
      <c r="F219" s="134"/>
      <c r="G219" s="134"/>
      <c r="H219" s="52"/>
      <c r="I219" s="52"/>
      <c r="J219" s="52"/>
      <c r="K219" s="134"/>
      <c r="L219" s="53"/>
      <c r="M219" s="53"/>
      <c r="N219" s="53"/>
      <c r="O219" s="53"/>
      <c r="P219" s="53"/>
      <c r="Q219" s="53"/>
      <c r="R219" s="53"/>
      <c r="S219" s="134"/>
      <c r="T219" s="134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ht="12.75" customHeight="1">
      <c r="A220" s="134"/>
      <c r="B220" s="134"/>
      <c r="C220" s="134"/>
      <c r="D220" s="134"/>
      <c r="E220" s="134"/>
      <c r="F220" s="134"/>
      <c r="G220" s="134"/>
      <c r="H220" s="52"/>
      <c r="I220" s="52"/>
      <c r="J220" s="52"/>
      <c r="K220" s="134"/>
      <c r="L220" s="53"/>
      <c r="M220" s="53"/>
      <c r="N220" s="53"/>
      <c r="O220" s="53"/>
      <c r="P220" s="53"/>
      <c r="Q220" s="53"/>
      <c r="R220" s="53"/>
      <c r="S220" s="134"/>
      <c r="T220" s="134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ht="12.75" customHeight="1">
      <c r="A221" s="134"/>
      <c r="B221" s="134"/>
      <c r="C221" s="134"/>
      <c r="D221" s="134"/>
      <c r="E221" s="134"/>
      <c r="F221" s="134"/>
      <c r="G221" s="134"/>
      <c r="H221" s="52"/>
      <c r="I221" s="52"/>
      <c r="J221" s="52"/>
      <c r="K221" s="134"/>
      <c r="L221" s="53"/>
      <c r="M221" s="53"/>
      <c r="N221" s="53"/>
      <c r="O221" s="53"/>
      <c r="P221" s="53"/>
      <c r="Q221" s="53"/>
      <c r="R221" s="53"/>
      <c r="S221" s="134"/>
      <c r="T221" s="134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ht="12.75" customHeight="1">
      <c r="A222" s="134"/>
      <c r="B222" s="134"/>
      <c r="C222" s="134"/>
      <c r="D222" s="134"/>
      <c r="E222" s="134"/>
      <c r="F222" s="134"/>
      <c r="G222" s="134"/>
      <c r="H222" s="52"/>
      <c r="I222" s="52"/>
      <c r="J222" s="52"/>
      <c r="K222" s="134"/>
      <c r="L222" s="53"/>
      <c r="M222" s="53"/>
      <c r="N222" s="53"/>
      <c r="O222" s="53"/>
      <c r="P222" s="53"/>
      <c r="Q222" s="53"/>
      <c r="R222" s="53"/>
      <c r="S222" s="134"/>
      <c r="T222" s="134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ht="12.75" customHeight="1">
      <c r="A223" s="134"/>
      <c r="B223" s="134"/>
      <c r="C223" s="134"/>
      <c r="D223" s="134"/>
      <c r="E223" s="134"/>
      <c r="F223" s="134"/>
      <c r="G223" s="134"/>
      <c r="H223" s="52"/>
      <c r="I223" s="52"/>
      <c r="J223" s="52"/>
      <c r="K223" s="134"/>
      <c r="L223" s="53"/>
      <c r="M223" s="53"/>
      <c r="N223" s="53"/>
      <c r="O223" s="53"/>
      <c r="P223" s="53"/>
      <c r="Q223" s="53"/>
      <c r="R223" s="53"/>
      <c r="S223" s="134"/>
      <c r="T223" s="134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ht="12.75" customHeight="1">
      <c r="A224" s="134"/>
      <c r="B224" s="134"/>
      <c r="C224" s="134"/>
      <c r="D224" s="134"/>
      <c r="E224" s="134"/>
      <c r="F224" s="134"/>
      <c r="G224" s="134"/>
      <c r="H224" s="52"/>
      <c r="I224" s="52"/>
      <c r="J224" s="52"/>
      <c r="K224" s="134"/>
      <c r="L224" s="53"/>
      <c r="M224" s="53"/>
      <c r="N224" s="53"/>
      <c r="O224" s="53"/>
      <c r="P224" s="53"/>
      <c r="Q224" s="53"/>
      <c r="R224" s="53"/>
      <c r="S224" s="134"/>
      <c r="T224" s="134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ht="12.75" customHeight="1">
      <c r="A225" s="134"/>
      <c r="B225" s="134"/>
      <c r="C225" s="134"/>
      <c r="D225" s="134"/>
      <c r="E225" s="134"/>
      <c r="F225" s="134"/>
      <c r="G225" s="134"/>
      <c r="H225" s="52"/>
      <c r="I225" s="52"/>
      <c r="J225" s="52"/>
      <c r="K225" s="134"/>
      <c r="L225" s="53"/>
      <c r="M225" s="53"/>
      <c r="N225" s="53"/>
      <c r="O225" s="53"/>
      <c r="P225" s="53"/>
      <c r="Q225" s="53"/>
      <c r="R225" s="53"/>
      <c r="S225" s="134"/>
      <c r="T225" s="134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ht="12.75" customHeight="1">
      <c r="A226" s="134"/>
      <c r="B226" s="134"/>
      <c r="C226" s="134"/>
      <c r="D226" s="134"/>
      <c r="E226" s="134"/>
      <c r="F226" s="134"/>
      <c r="G226" s="134"/>
      <c r="H226" s="52"/>
      <c r="I226" s="52"/>
      <c r="J226" s="52"/>
      <c r="K226" s="134"/>
      <c r="L226" s="53"/>
      <c r="M226" s="53"/>
      <c r="N226" s="53"/>
      <c r="O226" s="53"/>
      <c r="P226" s="53"/>
      <c r="Q226" s="53"/>
      <c r="R226" s="53"/>
      <c r="S226" s="134"/>
      <c r="T226" s="134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ht="12.75" customHeight="1">
      <c r="A227" s="134"/>
      <c r="B227" s="134"/>
      <c r="C227" s="134"/>
      <c r="D227" s="134"/>
      <c r="E227" s="134"/>
      <c r="F227" s="134"/>
      <c r="G227" s="134"/>
      <c r="H227" s="52"/>
      <c r="I227" s="52"/>
      <c r="J227" s="52"/>
      <c r="K227" s="134"/>
      <c r="L227" s="53"/>
      <c r="M227" s="53"/>
      <c r="N227" s="53"/>
      <c r="O227" s="53"/>
      <c r="P227" s="53"/>
      <c r="Q227" s="53"/>
      <c r="R227" s="53"/>
      <c r="S227" s="134"/>
      <c r="T227" s="134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ht="12.75" customHeight="1">
      <c r="A228" s="134"/>
      <c r="B228" s="134"/>
      <c r="C228" s="134"/>
      <c r="D228" s="134"/>
      <c r="E228" s="134"/>
      <c r="F228" s="134"/>
      <c r="G228" s="134"/>
      <c r="H228" s="52"/>
      <c r="I228" s="52"/>
      <c r="J228" s="52"/>
      <c r="K228" s="134"/>
      <c r="L228" s="53"/>
      <c r="M228" s="53"/>
      <c r="N228" s="53"/>
      <c r="O228" s="53"/>
      <c r="P228" s="53"/>
      <c r="Q228" s="53"/>
      <c r="R228" s="53"/>
      <c r="S228" s="134"/>
      <c r="T228" s="134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ht="12.75" customHeight="1">
      <c r="A229" s="134"/>
      <c r="B229" s="134"/>
      <c r="C229" s="134"/>
      <c r="D229" s="134"/>
      <c r="E229" s="134"/>
      <c r="F229" s="134"/>
      <c r="G229" s="134"/>
      <c r="H229" s="52"/>
      <c r="I229" s="52"/>
      <c r="J229" s="52"/>
      <c r="K229" s="134"/>
      <c r="L229" s="53"/>
      <c r="M229" s="53"/>
      <c r="N229" s="53"/>
      <c r="O229" s="53"/>
      <c r="P229" s="53"/>
      <c r="Q229" s="53"/>
      <c r="R229" s="53"/>
      <c r="S229" s="134"/>
      <c r="T229" s="134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ht="12.75" customHeight="1">
      <c r="A230" s="134"/>
      <c r="B230" s="134"/>
      <c r="C230" s="134"/>
      <c r="D230" s="134"/>
      <c r="E230" s="134"/>
      <c r="F230" s="134"/>
      <c r="G230" s="134"/>
      <c r="H230" s="52"/>
      <c r="I230" s="52"/>
      <c r="J230" s="52"/>
      <c r="K230" s="134"/>
      <c r="L230" s="53"/>
      <c r="M230" s="53"/>
      <c r="N230" s="53"/>
      <c r="O230" s="53"/>
      <c r="P230" s="53"/>
      <c r="Q230" s="53"/>
      <c r="R230" s="53"/>
      <c r="S230" s="134"/>
      <c r="T230" s="134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ht="12.75" customHeight="1">
      <c r="A231" s="134"/>
      <c r="B231" s="134"/>
      <c r="C231" s="134"/>
      <c r="D231" s="134"/>
      <c r="E231" s="134"/>
      <c r="F231" s="134"/>
      <c r="G231" s="134"/>
      <c r="H231" s="52"/>
      <c r="I231" s="52"/>
      <c r="J231" s="52"/>
      <c r="K231" s="134"/>
      <c r="L231" s="53"/>
      <c r="M231" s="53"/>
      <c r="N231" s="53"/>
      <c r="O231" s="53"/>
      <c r="P231" s="53"/>
      <c r="Q231" s="53"/>
      <c r="R231" s="53"/>
      <c r="S231" s="134"/>
      <c r="T231" s="134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ht="12.75" customHeight="1">
      <c r="A232" s="134"/>
      <c r="B232" s="134"/>
      <c r="C232" s="134"/>
      <c r="D232" s="134"/>
      <c r="E232" s="134"/>
      <c r="F232" s="134"/>
      <c r="G232" s="134"/>
      <c r="H232" s="52"/>
      <c r="I232" s="52"/>
      <c r="J232" s="52"/>
      <c r="K232" s="134"/>
      <c r="L232" s="53"/>
      <c r="M232" s="53"/>
      <c r="N232" s="53"/>
      <c r="O232" s="53"/>
      <c r="P232" s="53"/>
      <c r="Q232" s="53"/>
      <c r="R232" s="53"/>
      <c r="S232" s="134"/>
      <c r="T232" s="134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ht="12.75" customHeight="1">
      <c r="A233" s="134"/>
      <c r="B233" s="134"/>
      <c r="C233" s="134"/>
      <c r="D233" s="134"/>
      <c r="E233" s="134"/>
      <c r="F233" s="134"/>
      <c r="G233" s="134"/>
      <c r="H233" s="52"/>
      <c r="I233" s="52"/>
      <c r="J233" s="52"/>
      <c r="K233" s="134"/>
      <c r="L233" s="53"/>
      <c r="M233" s="53"/>
      <c r="N233" s="53"/>
      <c r="O233" s="53"/>
      <c r="P233" s="53"/>
      <c r="Q233" s="53"/>
      <c r="R233" s="53"/>
      <c r="S233" s="134"/>
      <c r="T233" s="134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ht="12.75" customHeight="1">
      <c r="A234" s="134"/>
      <c r="B234" s="134"/>
      <c r="C234" s="134"/>
      <c r="D234" s="134"/>
      <c r="E234" s="134"/>
      <c r="F234" s="134"/>
      <c r="G234" s="134"/>
      <c r="H234" s="52"/>
      <c r="I234" s="52"/>
      <c r="J234" s="52"/>
      <c r="K234" s="134"/>
      <c r="L234" s="53"/>
      <c r="M234" s="53"/>
      <c r="N234" s="53"/>
      <c r="O234" s="53"/>
      <c r="P234" s="53"/>
      <c r="Q234" s="53"/>
      <c r="R234" s="53"/>
      <c r="S234" s="134"/>
      <c r="T234" s="134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ht="12.75" customHeight="1">
      <c r="A235" s="134"/>
      <c r="B235" s="134"/>
      <c r="C235" s="134"/>
      <c r="D235" s="134"/>
      <c r="E235" s="134"/>
      <c r="F235" s="134"/>
      <c r="G235" s="134"/>
      <c r="H235" s="52"/>
      <c r="I235" s="52"/>
      <c r="J235" s="52"/>
      <c r="K235" s="134"/>
      <c r="L235" s="53"/>
      <c r="M235" s="53"/>
      <c r="N235" s="53"/>
      <c r="O235" s="53"/>
      <c r="P235" s="53"/>
      <c r="Q235" s="53"/>
      <c r="R235" s="53"/>
      <c r="S235" s="134"/>
      <c r="T235" s="134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ht="12.75" customHeight="1">
      <c r="A236" s="134"/>
      <c r="B236" s="134"/>
      <c r="C236" s="134"/>
      <c r="D236" s="134"/>
      <c r="E236" s="134"/>
      <c r="F236" s="134"/>
      <c r="G236" s="134"/>
      <c r="H236" s="52"/>
      <c r="I236" s="52"/>
      <c r="J236" s="52"/>
      <c r="K236" s="134"/>
      <c r="L236" s="53"/>
      <c r="M236" s="53"/>
      <c r="N236" s="53"/>
      <c r="O236" s="53"/>
      <c r="P236" s="53"/>
      <c r="Q236" s="53"/>
      <c r="R236" s="53"/>
      <c r="S236" s="134"/>
      <c r="T236" s="134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ht="12.75" customHeight="1">
      <c r="A237" s="134"/>
      <c r="B237" s="134"/>
      <c r="C237" s="134"/>
      <c r="D237" s="134"/>
      <c r="E237" s="134"/>
      <c r="F237" s="134"/>
      <c r="G237" s="134"/>
      <c r="H237" s="52"/>
      <c r="I237" s="52"/>
      <c r="J237" s="52"/>
      <c r="K237" s="134"/>
      <c r="L237" s="53"/>
      <c r="M237" s="53"/>
      <c r="N237" s="53"/>
      <c r="O237" s="53"/>
      <c r="P237" s="53"/>
      <c r="Q237" s="53"/>
      <c r="R237" s="53"/>
      <c r="S237" s="134"/>
      <c r="T237" s="134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ht="12.75" customHeight="1">
      <c r="A238" s="134"/>
      <c r="B238" s="134"/>
      <c r="C238" s="134"/>
      <c r="D238" s="134"/>
      <c r="E238" s="134"/>
      <c r="F238" s="134"/>
      <c r="G238" s="134"/>
      <c r="H238" s="52"/>
      <c r="I238" s="52"/>
      <c r="J238" s="52"/>
      <c r="K238" s="134"/>
      <c r="L238" s="53"/>
      <c r="M238" s="53"/>
      <c r="N238" s="53"/>
      <c r="O238" s="53"/>
      <c r="P238" s="53"/>
      <c r="Q238" s="53"/>
      <c r="R238" s="53"/>
      <c r="S238" s="134"/>
      <c r="T238" s="134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ht="12.75" customHeight="1">
      <c r="A239" s="134"/>
      <c r="B239" s="134"/>
      <c r="C239" s="134"/>
      <c r="D239" s="134"/>
      <c r="E239" s="134"/>
      <c r="F239" s="134"/>
      <c r="G239" s="134"/>
      <c r="H239" s="52"/>
      <c r="I239" s="52"/>
      <c r="J239" s="52"/>
      <c r="K239" s="134"/>
      <c r="L239" s="53"/>
      <c r="M239" s="53"/>
      <c r="N239" s="53"/>
      <c r="O239" s="53"/>
      <c r="P239" s="53"/>
      <c r="Q239" s="53"/>
      <c r="R239" s="53"/>
      <c r="S239" s="134"/>
      <c r="T239" s="134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ht="12.75" customHeight="1">
      <c r="A240" s="134"/>
      <c r="B240" s="134"/>
      <c r="C240" s="134"/>
      <c r="D240" s="134"/>
      <c r="E240" s="134"/>
      <c r="F240" s="134"/>
      <c r="G240" s="134"/>
      <c r="H240" s="52"/>
      <c r="I240" s="52"/>
      <c r="J240" s="52"/>
      <c r="K240" s="134"/>
      <c r="L240" s="53"/>
      <c r="M240" s="53"/>
      <c r="N240" s="53"/>
      <c r="O240" s="53"/>
      <c r="P240" s="53"/>
      <c r="Q240" s="53"/>
      <c r="R240" s="53"/>
      <c r="S240" s="134"/>
      <c r="T240" s="134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ht="12.75" customHeight="1">
      <c r="A241" s="134"/>
      <c r="B241" s="134"/>
      <c r="C241" s="134"/>
      <c r="D241" s="134"/>
      <c r="E241" s="134"/>
      <c r="F241" s="134"/>
      <c r="G241" s="134"/>
      <c r="H241" s="52"/>
      <c r="I241" s="52"/>
      <c r="J241" s="52"/>
      <c r="K241" s="134"/>
      <c r="L241" s="53"/>
      <c r="M241" s="53"/>
      <c r="N241" s="53"/>
      <c r="O241" s="53"/>
      <c r="P241" s="53"/>
      <c r="Q241" s="53"/>
      <c r="R241" s="53"/>
      <c r="S241" s="134"/>
      <c r="T241" s="134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ht="12.75" customHeight="1">
      <c r="A242" s="134"/>
      <c r="B242" s="134"/>
      <c r="C242" s="134"/>
      <c r="D242" s="134"/>
      <c r="E242" s="134"/>
      <c r="F242" s="134"/>
      <c r="G242" s="134"/>
      <c r="H242" s="52"/>
      <c r="I242" s="52"/>
      <c r="J242" s="52"/>
      <c r="K242" s="134"/>
      <c r="L242" s="53"/>
      <c r="M242" s="53"/>
      <c r="N242" s="53"/>
      <c r="O242" s="53"/>
      <c r="P242" s="53"/>
      <c r="Q242" s="53"/>
      <c r="R242" s="53"/>
      <c r="S242" s="134"/>
      <c r="T242" s="134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ht="12.75" customHeight="1">
      <c r="A243" s="134"/>
      <c r="B243" s="134"/>
      <c r="C243" s="134"/>
      <c r="D243" s="134"/>
      <c r="E243" s="134"/>
      <c r="F243" s="134"/>
      <c r="G243" s="134"/>
      <c r="H243" s="52"/>
      <c r="I243" s="52"/>
      <c r="J243" s="52"/>
      <c r="K243" s="134"/>
      <c r="L243" s="53"/>
      <c r="M243" s="53"/>
      <c r="N243" s="53"/>
      <c r="O243" s="53"/>
      <c r="P243" s="53"/>
      <c r="Q243" s="53"/>
      <c r="R243" s="53"/>
      <c r="S243" s="134"/>
      <c r="T243" s="134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ht="12.75" customHeight="1">
      <c r="A244" s="134"/>
      <c r="B244" s="134"/>
      <c r="C244" s="134"/>
      <c r="D244" s="134"/>
      <c r="E244" s="134"/>
      <c r="F244" s="134"/>
      <c r="G244" s="134"/>
      <c r="H244" s="52"/>
      <c r="I244" s="52"/>
      <c r="J244" s="52"/>
      <c r="K244" s="134"/>
      <c r="L244" s="53"/>
      <c r="M244" s="53"/>
      <c r="N244" s="53"/>
      <c r="O244" s="53"/>
      <c r="P244" s="53"/>
      <c r="Q244" s="53"/>
      <c r="R244" s="53"/>
      <c r="S244" s="134"/>
      <c r="T244" s="134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ht="12.75" customHeight="1">
      <c r="A245" s="134"/>
      <c r="B245" s="134"/>
      <c r="C245" s="134"/>
      <c r="D245" s="134"/>
      <c r="E245" s="134"/>
      <c r="F245" s="134"/>
      <c r="G245" s="134"/>
      <c r="H245" s="52"/>
      <c r="I245" s="52"/>
      <c r="J245" s="52"/>
      <c r="K245" s="134"/>
      <c r="L245" s="53"/>
      <c r="M245" s="53"/>
      <c r="N245" s="53"/>
      <c r="O245" s="53"/>
      <c r="P245" s="53"/>
      <c r="Q245" s="53"/>
      <c r="R245" s="53"/>
      <c r="S245" s="134"/>
      <c r="T245" s="134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ht="12.75" customHeight="1">
      <c r="A246" s="134"/>
      <c r="B246" s="134"/>
      <c r="C246" s="134"/>
      <c r="D246" s="134"/>
      <c r="E246" s="134"/>
      <c r="F246" s="134"/>
      <c r="G246" s="134"/>
      <c r="H246" s="52"/>
      <c r="I246" s="52"/>
      <c r="J246" s="52"/>
      <c r="K246" s="134"/>
      <c r="L246" s="53"/>
      <c r="M246" s="53"/>
      <c r="N246" s="53"/>
      <c r="O246" s="53"/>
      <c r="P246" s="53"/>
      <c r="Q246" s="53"/>
      <c r="R246" s="53"/>
      <c r="S246" s="134"/>
      <c r="T246" s="134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ht="12.75" customHeight="1">
      <c r="A247" s="134"/>
      <c r="B247" s="134"/>
      <c r="C247" s="134"/>
      <c r="D247" s="134"/>
      <c r="E247" s="134"/>
      <c r="F247" s="134"/>
      <c r="G247" s="134"/>
      <c r="H247" s="52"/>
      <c r="I247" s="52"/>
      <c r="J247" s="52"/>
      <c r="K247" s="134"/>
      <c r="L247" s="53"/>
      <c r="M247" s="53"/>
      <c r="N247" s="53"/>
      <c r="O247" s="53"/>
      <c r="P247" s="53"/>
      <c r="Q247" s="53"/>
      <c r="R247" s="53"/>
      <c r="S247" s="134"/>
      <c r="T247" s="134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ht="12.75" customHeight="1">
      <c r="A248" s="134"/>
      <c r="B248" s="134"/>
      <c r="C248" s="134"/>
      <c r="D248" s="134"/>
      <c r="E248" s="134"/>
      <c r="F248" s="134"/>
      <c r="G248" s="134"/>
      <c r="H248" s="52"/>
      <c r="I248" s="52"/>
      <c r="J248" s="52"/>
      <c r="K248" s="134"/>
      <c r="L248" s="53"/>
      <c r="M248" s="53"/>
      <c r="N248" s="53"/>
      <c r="O248" s="53"/>
      <c r="P248" s="53"/>
      <c r="Q248" s="53"/>
      <c r="R248" s="53"/>
      <c r="S248" s="134"/>
      <c r="T248" s="134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ht="12.75" customHeight="1">
      <c r="A249" s="134"/>
      <c r="B249" s="134"/>
      <c r="C249" s="134"/>
      <c r="D249" s="134"/>
      <c r="E249" s="134"/>
      <c r="F249" s="134"/>
      <c r="G249" s="134"/>
      <c r="H249" s="52"/>
      <c r="I249" s="52"/>
      <c r="J249" s="52"/>
      <c r="K249" s="134"/>
      <c r="L249" s="53"/>
      <c r="M249" s="53"/>
      <c r="N249" s="53"/>
      <c r="O249" s="53"/>
      <c r="P249" s="53"/>
      <c r="Q249" s="53"/>
      <c r="R249" s="53"/>
      <c r="S249" s="134"/>
      <c r="T249" s="134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ht="12.75" customHeight="1">
      <c r="A250" s="134"/>
      <c r="B250" s="134"/>
      <c r="C250" s="134"/>
      <c r="D250" s="134"/>
      <c r="E250" s="134"/>
      <c r="F250" s="134"/>
      <c r="G250" s="134"/>
      <c r="H250" s="52"/>
      <c r="I250" s="52"/>
      <c r="J250" s="52"/>
      <c r="K250" s="134"/>
      <c r="L250" s="53"/>
      <c r="M250" s="53"/>
      <c r="N250" s="53"/>
      <c r="O250" s="53"/>
      <c r="P250" s="53"/>
      <c r="Q250" s="53"/>
      <c r="R250" s="53"/>
      <c r="S250" s="134"/>
      <c r="T250" s="134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ht="12.75" customHeight="1">
      <c r="A251" s="134"/>
      <c r="B251" s="134"/>
      <c r="C251" s="134"/>
      <c r="D251" s="134"/>
      <c r="E251" s="134"/>
      <c r="F251" s="134"/>
      <c r="G251" s="134"/>
      <c r="H251" s="52"/>
      <c r="I251" s="52"/>
      <c r="J251" s="52"/>
      <c r="K251" s="134"/>
      <c r="L251" s="53"/>
      <c r="M251" s="53"/>
      <c r="N251" s="53"/>
      <c r="O251" s="53"/>
      <c r="P251" s="53"/>
      <c r="Q251" s="53"/>
      <c r="R251" s="53"/>
      <c r="S251" s="134"/>
      <c r="T251" s="134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ht="12.75" customHeight="1">
      <c r="A252" s="134"/>
      <c r="B252" s="134"/>
      <c r="C252" s="134"/>
      <c r="D252" s="134"/>
      <c r="E252" s="134"/>
      <c r="F252" s="134"/>
      <c r="G252" s="134"/>
      <c r="H252" s="52"/>
      <c r="I252" s="52"/>
      <c r="J252" s="52"/>
      <c r="K252" s="134"/>
      <c r="L252" s="53"/>
      <c r="M252" s="53"/>
      <c r="N252" s="53"/>
      <c r="O252" s="53"/>
      <c r="P252" s="53"/>
      <c r="Q252" s="53"/>
      <c r="R252" s="53"/>
      <c r="S252" s="134"/>
      <c r="T252" s="134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ht="12.75" customHeight="1">
      <c r="A253" s="134"/>
      <c r="B253" s="134"/>
      <c r="C253" s="134"/>
      <c r="D253" s="134"/>
      <c r="E253" s="134"/>
      <c r="F253" s="134"/>
      <c r="G253" s="134"/>
      <c r="H253" s="52"/>
      <c r="I253" s="52"/>
      <c r="J253" s="52"/>
      <c r="K253" s="134"/>
      <c r="L253" s="53"/>
      <c r="M253" s="53"/>
      <c r="N253" s="53"/>
      <c r="O253" s="53"/>
      <c r="P253" s="53"/>
      <c r="Q253" s="53"/>
      <c r="R253" s="53"/>
      <c r="S253" s="134"/>
      <c r="T253" s="134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ht="12.75" customHeight="1">
      <c r="A254" s="134"/>
      <c r="B254" s="134"/>
      <c r="C254" s="134"/>
      <c r="D254" s="134"/>
      <c r="E254" s="134"/>
      <c r="F254" s="134"/>
      <c r="G254" s="134"/>
      <c r="H254" s="52"/>
      <c r="I254" s="52"/>
      <c r="J254" s="52"/>
      <c r="K254" s="134"/>
      <c r="L254" s="53"/>
      <c r="M254" s="53"/>
      <c r="N254" s="53"/>
      <c r="O254" s="53"/>
      <c r="P254" s="53"/>
      <c r="Q254" s="53"/>
      <c r="R254" s="53"/>
      <c r="S254" s="134"/>
      <c r="T254" s="134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ht="12.75" customHeight="1">
      <c r="A255" s="134"/>
      <c r="B255" s="134"/>
      <c r="C255" s="134"/>
      <c r="D255" s="134"/>
      <c r="E255" s="134"/>
      <c r="F255" s="134"/>
      <c r="G255" s="134"/>
      <c r="H255" s="52"/>
      <c r="I255" s="52"/>
      <c r="J255" s="52"/>
      <c r="K255" s="134"/>
      <c r="L255" s="53"/>
      <c r="M255" s="53"/>
      <c r="N255" s="53"/>
      <c r="O255" s="53"/>
      <c r="P255" s="53"/>
      <c r="Q255" s="53"/>
      <c r="R255" s="53"/>
      <c r="S255" s="134"/>
      <c r="T255" s="134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ht="12.75" customHeight="1">
      <c r="A256" s="134"/>
      <c r="B256" s="134"/>
      <c r="C256" s="134"/>
      <c r="D256" s="134"/>
      <c r="E256" s="134"/>
      <c r="F256" s="134"/>
      <c r="G256" s="134"/>
      <c r="H256" s="52"/>
      <c r="I256" s="52"/>
      <c r="J256" s="52"/>
      <c r="K256" s="134"/>
      <c r="L256" s="53"/>
      <c r="M256" s="53"/>
      <c r="N256" s="53"/>
      <c r="O256" s="53"/>
      <c r="P256" s="53"/>
      <c r="Q256" s="53"/>
      <c r="R256" s="53"/>
      <c r="S256" s="134"/>
      <c r="T256" s="134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ht="12.75" customHeight="1">
      <c r="A257" s="134"/>
      <c r="B257" s="134"/>
      <c r="C257" s="134"/>
      <c r="D257" s="134"/>
      <c r="E257" s="134"/>
      <c r="F257" s="134"/>
      <c r="G257" s="134"/>
      <c r="H257" s="52"/>
      <c r="I257" s="52"/>
      <c r="J257" s="52"/>
      <c r="K257" s="134"/>
      <c r="L257" s="53"/>
      <c r="M257" s="53"/>
      <c r="N257" s="53"/>
      <c r="O257" s="53"/>
      <c r="P257" s="53"/>
      <c r="Q257" s="53"/>
      <c r="R257" s="53"/>
      <c r="S257" s="134"/>
      <c r="T257" s="134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ht="12.75" customHeight="1">
      <c r="A258" s="134"/>
      <c r="B258" s="134"/>
      <c r="C258" s="134"/>
      <c r="D258" s="134"/>
      <c r="E258" s="134"/>
      <c r="F258" s="134"/>
      <c r="G258" s="134"/>
      <c r="H258" s="52"/>
      <c r="I258" s="52"/>
      <c r="J258" s="52"/>
      <c r="K258" s="134"/>
      <c r="L258" s="53"/>
      <c r="M258" s="53"/>
      <c r="N258" s="53"/>
      <c r="O258" s="53"/>
      <c r="P258" s="53"/>
      <c r="Q258" s="53"/>
      <c r="R258" s="53"/>
      <c r="S258" s="134"/>
      <c r="T258" s="134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ht="12.75" customHeight="1">
      <c r="A259" s="134"/>
      <c r="B259" s="134"/>
      <c r="C259" s="134"/>
      <c r="D259" s="134"/>
      <c r="E259" s="134"/>
      <c r="F259" s="134"/>
      <c r="G259" s="134"/>
      <c r="H259" s="52"/>
      <c r="I259" s="52"/>
      <c r="J259" s="52"/>
      <c r="K259" s="134"/>
      <c r="L259" s="53"/>
      <c r="M259" s="53"/>
      <c r="N259" s="53"/>
      <c r="O259" s="53"/>
      <c r="P259" s="53"/>
      <c r="Q259" s="53"/>
      <c r="R259" s="53"/>
      <c r="S259" s="134"/>
      <c r="T259" s="134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ht="12.75" customHeight="1">
      <c r="A260" s="134"/>
      <c r="B260" s="134"/>
      <c r="C260" s="134"/>
      <c r="D260" s="134"/>
      <c r="E260" s="134"/>
      <c r="F260" s="134"/>
      <c r="G260" s="134"/>
      <c r="H260" s="52"/>
      <c r="I260" s="52"/>
      <c r="J260" s="52"/>
      <c r="K260" s="134"/>
      <c r="L260" s="53"/>
      <c r="M260" s="53"/>
      <c r="N260" s="53"/>
      <c r="O260" s="53"/>
      <c r="P260" s="53"/>
      <c r="Q260" s="53"/>
      <c r="R260" s="53"/>
      <c r="S260" s="134"/>
      <c r="T260" s="134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ht="12.75" customHeight="1">
      <c r="A261" s="134"/>
      <c r="B261" s="134"/>
      <c r="C261" s="134"/>
      <c r="D261" s="134"/>
      <c r="E261" s="134"/>
      <c r="F261" s="134"/>
      <c r="G261" s="134"/>
      <c r="H261" s="52"/>
      <c r="I261" s="52"/>
      <c r="J261" s="52"/>
      <c r="K261" s="134"/>
      <c r="L261" s="53"/>
      <c r="M261" s="53"/>
      <c r="N261" s="53"/>
      <c r="O261" s="53"/>
      <c r="P261" s="53"/>
      <c r="Q261" s="53"/>
      <c r="R261" s="53"/>
      <c r="S261" s="134"/>
      <c r="T261" s="134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ht="12.75" customHeight="1">
      <c r="A262" s="134"/>
      <c r="B262" s="134"/>
      <c r="C262" s="134"/>
      <c r="D262" s="134"/>
      <c r="E262" s="134"/>
      <c r="F262" s="134"/>
      <c r="G262" s="134"/>
      <c r="H262" s="52"/>
      <c r="I262" s="52"/>
      <c r="J262" s="52"/>
      <c r="K262" s="134"/>
      <c r="L262" s="53"/>
      <c r="M262" s="53"/>
      <c r="N262" s="53"/>
      <c r="O262" s="53"/>
      <c r="P262" s="53"/>
      <c r="Q262" s="53"/>
      <c r="R262" s="53"/>
      <c r="S262" s="134"/>
      <c r="T262" s="134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ht="12.75" customHeight="1">
      <c r="A263" s="134"/>
      <c r="B263" s="134"/>
      <c r="C263" s="134"/>
      <c r="D263" s="134"/>
      <c r="E263" s="134"/>
      <c r="F263" s="134"/>
      <c r="G263" s="134"/>
      <c r="H263" s="52"/>
      <c r="I263" s="52"/>
      <c r="J263" s="52"/>
      <c r="K263" s="134"/>
      <c r="L263" s="53"/>
      <c r="M263" s="53"/>
      <c r="N263" s="53"/>
      <c r="O263" s="53"/>
      <c r="P263" s="53"/>
      <c r="Q263" s="53"/>
      <c r="R263" s="53"/>
      <c r="S263" s="134"/>
      <c r="T263" s="134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ht="12.75" customHeight="1">
      <c r="A264" s="134"/>
      <c r="B264" s="134"/>
      <c r="C264" s="134"/>
      <c r="D264" s="134"/>
      <c r="E264" s="134"/>
      <c r="F264" s="134"/>
      <c r="G264" s="134"/>
      <c r="H264" s="52"/>
      <c r="I264" s="52"/>
      <c r="J264" s="52"/>
      <c r="K264" s="134"/>
      <c r="L264" s="53"/>
      <c r="M264" s="53"/>
      <c r="N264" s="53"/>
      <c r="O264" s="53"/>
      <c r="P264" s="53"/>
      <c r="Q264" s="53"/>
      <c r="R264" s="53"/>
      <c r="S264" s="134"/>
      <c r="T264" s="134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ht="12.75" customHeight="1">
      <c r="A265" s="134"/>
      <c r="B265" s="134"/>
      <c r="C265" s="134"/>
      <c r="D265" s="134"/>
      <c r="E265" s="134"/>
      <c r="F265" s="134"/>
      <c r="G265" s="134"/>
      <c r="H265" s="52"/>
      <c r="I265" s="52"/>
      <c r="J265" s="52"/>
      <c r="K265" s="134"/>
      <c r="L265" s="53"/>
      <c r="M265" s="53"/>
      <c r="N265" s="53"/>
      <c r="O265" s="53"/>
      <c r="P265" s="53"/>
      <c r="Q265" s="53"/>
      <c r="R265" s="53"/>
      <c r="S265" s="134"/>
      <c r="T265" s="134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ht="12.75" customHeight="1">
      <c r="A266" s="134"/>
      <c r="B266" s="134"/>
      <c r="C266" s="134"/>
      <c r="D266" s="134"/>
      <c r="E266" s="134"/>
      <c r="F266" s="134"/>
      <c r="G266" s="134"/>
      <c r="H266" s="52"/>
      <c r="I266" s="52"/>
      <c r="J266" s="52"/>
      <c r="K266" s="134"/>
      <c r="L266" s="53"/>
      <c r="M266" s="53"/>
      <c r="N266" s="53"/>
      <c r="O266" s="53"/>
      <c r="P266" s="53"/>
      <c r="Q266" s="53"/>
      <c r="R266" s="53"/>
      <c r="S266" s="134"/>
      <c r="T266" s="134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ht="12.75" customHeight="1">
      <c r="A267" s="134"/>
      <c r="B267" s="134"/>
      <c r="C267" s="134"/>
      <c r="D267" s="134"/>
      <c r="E267" s="134"/>
      <c r="F267" s="134"/>
      <c r="G267" s="134"/>
      <c r="H267" s="52"/>
      <c r="I267" s="52"/>
      <c r="J267" s="52"/>
      <c r="K267" s="134"/>
      <c r="L267" s="53"/>
      <c r="M267" s="53"/>
      <c r="N267" s="53"/>
      <c r="O267" s="53"/>
      <c r="P267" s="53"/>
      <c r="Q267" s="53"/>
      <c r="R267" s="53"/>
      <c r="S267" s="134"/>
      <c r="T267" s="134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ht="12.75" customHeight="1">
      <c r="A268" s="134"/>
      <c r="B268" s="134"/>
      <c r="C268" s="134"/>
      <c r="D268" s="134"/>
      <c r="E268" s="134"/>
      <c r="F268" s="134"/>
      <c r="G268" s="134"/>
      <c r="H268" s="52"/>
      <c r="I268" s="52"/>
      <c r="J268" s="52"/>
      <c r="K268" s="134"/>
      <c r="L268" s="53"/>
      <c r="M268" s="53"/>
      <c r="N268" s="53"/>
      <c r="O268" s="53"/>
      <c r="P268" s="53"/>
      <c r="Q268" s="53"/>
      <c r="R268" s="53"/>
      <c r="S268" s="134"/>
      <c r="T268" s="134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ht="12.75" customHeight="1">
      <c r="A269" s="134"/>
      <c r="B269" s="134"/>
      <c r="C269" s="134"/>
      <c r="D269" s="134"/>
      <c r="E269" s="134"/>
      <c r="F269" s="134"/>
      <c r="G269" s="134"/>
      <c r="H269" s="52"/>
      <c r="I269" s="52"/>
      <c r="J269" s="52"/>
      <c r="K269" s="134"/>
      <c r="L269" s="53"/>
      <c r="M269" s="53"/>
      <c r="N269" s="53"/>
      <c r="O269" s="53"/>
      <c r="P269" s="53"/>
      <c r="Q269" s="53"/>
      <c r="R269" s="53"/>
      <c r="S269" s="134"/>
      <c r="T269" s="134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ht="12.75" customHeight="1">
      <c r="A270" s="134"/>
      <c r="B270" s="134"/>
      <c r="C270" s="134"/>
      <c r="D270" s="134"/>
      <c r="E270" s="134"/>
      <c r="F270" s="134"/>
      <c r="G270" s="134"/>
      <c r="H270" s="52"/>
      <c r="I270" s="52"/>
      <c r="J270" s="52"/>
      <c r="K270" s="134"/>
      <c r="L270" s="53"/>
      <c r="M270" s="53"/>
      <c r="N270" s="53"/>
      <c r="O270" s="53"/>
      <c r="P270" s="53"/>
      <c r="Q270" s="53"/>
      <c r="R270" s="53"/>
      <c r="S270" s="134"/>
      <c r="T270" s="134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ht="12.75" customHeight="1">
      <c r="A271" s="134"/>
      <c r="B271" s="134"/>
      <c r="C271" s="134"/>
      <c r="D271" s="134"/>
      <c r="E271" s="134"/>
      <c r="F271" s="134"/>
      <c r="G271" s="134"/>
      <c r="H271" s="52"/>
      <c r="I271" s="52"/>
      <c r="J271" s="52"/>
      <c r="K271" s="134"/>
      <c r="L271" s="53"/>
      <c r="M271" s="53"/>
      <c r="N271" s="53"/>
      <c r="O271" s="53"/>
      <c r="P271" s="53"/>
      <c r="Q271" s="53"/>
      <c r="R271" s="53"/>
      <c r="S271" s="134"/>
      <c r="T271" s="134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ht="12.75" customHeight="1">
      <c r="A272" s="134"/>
      <c r="B272" s="134"/>
      <c r="C272" s="134"/>
      <c r="D272" s="134"/>
      <c r="E272" s="134"/>
      <c r="F272" s="134"/>
      <c r="G272" s="134"/>
      <c r="H272" s="52"/>
      <c r="I272" s="52"/>
      <c r="J272" s="52"/>
      <c r="K272" s="134"/>
      <c r="L272" s="53"/>
      <c r="M272" s="53"/>
      <c r="N272" s="53"/>
      <c r="O272" s="53"/>
      <c r="P272" s="53"/>
      <c r="Q272" s="53"/>
      <c r="R272" s="53"/>
      <c r="S272" s="134"/>
      <c r="T272" s="134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ht="12.75" customHeight="1">
      <c r="A273" s="134"/>
      <c r="B273" s="134"/>
      <c r="C273" s="134"/>
      <c r="D273" s="134"/>
      <c r="E273" s="134"/>
      <c r="F273" s="134"/>
      <c r="G273" s="134"/>
      <c r="H273" s="52"/>
      <c r="I273" s="52"/>
      <c r="J273" s="52"/>
      <c r="K273" s="134"/>
      <c r="L273" s="53"/>
      <c r="M273" s="53"/>
      <c r="N273" s="53"/>
      <c r="O273" s="53"/>
      <c r="P273" s="53"/>
      <c r="Q273" s="53"/>
      <c r="R273" s="53"/>
      <c r="S273" s="134"/>
      <c r="T273" s="134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ht="12.75" customHeight="1">
      <c r="A274" s="134"/>
      <c r="B274" s="134"/>
      <c r="C274" s="134"/>
      <c r="D274" s="134"/>
      <c r="E274" s="134"/>
      <c r="F274" s="134"/>
      <c r="G274" s="134"/>
      <c r="H274" s="52"/>
      <c r="I274" s="52"/>
      <c r="J274" s="52"/>
      <c r="K274" s="134"/>
      <c r="L274" s="53"/>
      <c r="M274" s="53"/>
      <c r="N274" s="53"/>
      <c r="O274" s="53"/>
      <c r="P274" s="53"/>
      <c r="Q274" s="53"/>
      <c r="R274" s="53"/>
      <c r="S274" s="134"/>
      <c r="T274" s="134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ht="12.75" customHeight="1">
      <c r="A275" s="134"/>
      <c r="B275" s="134"/>
      <c r="C275" s="134"/>
      <c r="D275" s="134"/>
      <c r="E275" s="134"/>
      <c r="F275" s="134"/>
      <c r="G275" s="134"/>
      <c r="H275" s="52"/>
      <c r="I275" s="52"/>
      <c r="J275" s="52"/>
      <c r="K275" s="134"/>
      <c r="L275" s="53"/>
      <c r="M275" s="53"/>
      <c r="N275" s="53"/>
      <c r="O275" s="53"/>
      <c r="P275" s="53"/>
      <c r="Q275" s="53"/>
      <c r="R275" s="53"/>
      <c r="S275" s="134"/>
      <c r="T275" s="134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ht="12.75" customHeight="1">
      <c r="A276" s="134"/>
      <c r="B276" s="134"/>
      <c r="C276" s="134"/>
      <c r="D276" s="134"/>
      <c r="E276" s="134"/>
      <c r="F276" s="134"/>
      <c r="G276" s="134"/>
      <c r="H276" s="52"/>
      <c r="I276" s="52"/>
      <c r="J276" s="52"/>
      <c r="K276" s="134"/>
      <c r="L276" s="53"/>
      <c r="M276" s="53"/>
      <c r="N276" s="53"/>
      <c r="O276" s="53"/>
      <c r="P276" s="53"/>
      <c r="Q276" s="53"/>
      <c r="R276" s="53"/>
      <c r="S276" s="134"/>
      <c r="T276" s="134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ht="12.75" customHeight="1">
      <c r="A277" s="134"/>
      <c r="B277" s="134"/>
      <c r="C277" s="134"/>
      <c r="D277" s="134"/>
      <c r="E277" s="134"/>
      <c r="F277" s="134"/>
      <c r="G277" s="134"/>
      <c r="H277" s="52"/>
      <c r="I277" s="52"/>
      <c r="J277" s="52"/>
      <c r="K277" s="134"/>
      <c r="L277" s="53"/>
      <c r="M277" s="53"/>
      <c r="N277" s="53"/>
      <c r="O277" s="53"/>
      <c r="P277" s="53"/>
      <c r="Q277" s="53"/>
      <c r="R277" s="53"/>
      <c r="S277" s="134"/>
      <c r="T277" s="134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ht="12.75" customHeight="1">
      <c r="A278" s="134"/>
      <c r="B278" s="134"/>
      <c r="C278" s="134"/>
      <c r="D278" s="134"/>
      <c r="E278" s="134"/>
      <c r="F278" s="134"/>
      <c r="G278" s="134"/>
      <c r="H278" s="52"/>
      <c r="I278" s="52"/>
      <c r="J278" s="52"/>
      <c r="K278" s="134"/>
      <c r="L278" s="53"/>
      <c r="M278" s="53"/>
      <c r="N278" s="53"/>
      <c r="O278" s="53"/>
      <c r="P278" s="53"/>
      <c r="Q278" s="53"/>
      <c r="R278" s="53"/>
      <c r="S278" s="134"/>
      <c r="T278" s="134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ht="12.75" customHeight="1">
      <c r="A279" s="134"/>
      <c r="B279" s="134"/>
      <c r="C279" s="134"/>
      <c r="D279" s="134"/>
      <c r="E279" s="134"/>
      <c r="F279" s="134"/>
      <c r="G279" s="134"/>
      <c r="H279" s="52"/>
      <c r="I279" s="52"/>
      <c r="J279" s="52"/>
      <c r="K279" s="134"/>
      <c r="L279" s="53"/>
      <c r="M279" s="53"/>
      <c r="N279" s="53"/>
      <c r="O279" s="53"/>
      <c r="P279" s="53"/>
      <c r="Q279" s="53"/>
      <c r="R279" s="53"/>
      <c r="S279" s="134"/>
      <c r="T279" s="134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ht="12.75" customHeight="1">
      <c r="A280" s="134"/>
      <c r="B280" s="134"/>
      <c r="C280" s="134"/>
      <c r="D280" s="134"/>
      <c r="E280" s="134"/>
      <c r="F280" s="134"/>
      <c r="G280" s="134"/>
      <c r="H280" s="52"/>
      <c r="I280" s="52"/>
      <c r="J280" s="52"/>
      <c r="K280" s="134"/>
      <c r="L280" s="53"/>
      <c r="M280" s="53"/>
      <c r="N280" s="53"/>
      <c r="O280" s="53"/>
      <c r="P280" s="53"/>
      <c r="Q280" s="53"/>
      <c r="R280" s="53"/>
      <c r="S280" s="134"/>
      <c r="T280" s="134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ht="12.75" customHeight="1">
      <c r="A281" s="134"/>
      <c r="B281" s="134"/>
      <c r="C281" s="134"/>
      <c r="D281" s="134"/>
      <c r="E281" s="134"/>
      <c r="F281" s="134"/>
      <c r="G281" s="134"/>
      <c r="H281" s="52"/>
      <c r="I281" s="52"/>
      <c r="J281" s="52"/>
      <c r="K281" s="134"/>
      <c r="L281" s="53"/>
      <c r="M281" s="53"/>
      <c r="N281" s="53"/>
      <c r="O281" s="53"/>
      <c r="P281" s="53"/>
      <c r="Q281" s="53"/>
      <c r="R281" s="53"/>
      <c r="S281" s="134"/>
      <c r="T281" s="134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ht="12.75" customHeight="1">
      <c r="A282" s="134"/>
      <c r="B282" s="134"/>
      <c r="C282" s="134"/>
      <c r="D282" s="134"/>
      <c r="E282" s="134"/>
      <c r="F282" s="134"/>
      <c r="G282" s="134"/>
      <c r="H282" s="52"/>
      <c r="I282" s="52"/>
      <c r="J282" s="52"/>
      <c r="K282" s="134"/>
      <c r="L282" s="53"/>
      <c r="M282" s="53"/>
      <c r="N282" s="53"/>
      <c r="O282" s="53"/>
      <c r="P282" s="53"/>
      <c r="Q282" s="53"/>
      <c r="R282" s="53"/>
      <c r="S282" s="134"/>
      <c r="T282" s="134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ht="12.75" customHeight="1">
      <c r="A283" s="134"/>
      <c r="B283" s="134"/>
      <c r="C283" s="134"/>
      <c r="D283" s="134"/>
      <c r="E283" s="134"/>
      <c r="F283" s="134"/>
      <c r="G283" s="134"/>
      <c r="H283" s="52"/>
      <c r="I283" s="52"/>
      <c r="J283" s="52"/>
      <c r="K283" s="134"/>
      <c r="L283" s="53"/>
      <c r="M283" s="53"/>
      <c r="N283" s="53"/>
      <c r="O283" s="53"/>
      <c r="P283" s="53"/>
      <c r="Q283" s="53"/>
      <c r="R283" s="53"/>
      <c r="S283" s="134"/>
      <c r="T283" s="134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ht="12.75" customHeight="1">
      <c r="A284" s="134"/>
      <c r="B284" s="134"/>
      <c r="C284" s="134"/>
      <c r="D284" s="134"/>
      <c r="E284" s="134"/>
      <c r="F284" s="134"/>
      <c r="G284" s="134"/>
      <c r="H284" s="52"/>
      <c r="I284" s="52"/>
      <c r="J284" s="52"/>
      <c r="K284" s="134"/>
      <c r="L284" s="53"/>
      <c r="M284" s="53"/>
      <c r="N284" s="53"/>
      <c r="O284" s="53"/>
      <c r="P284" s="53"/>
      <c r="Q284" s="53"/>
      <c r="R284" s="53"/>
      <c r="S284" s="134"/>
      <c r="T284" s="134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ht="12.75" customHeight="1">
      <c r="A285" s="134"/>
      <c r="B285" s="134"/>
      <c r="C285" s="134"/>
      <c r="D285" s="134"/>
      <c r="E285" s="134"/>
      <c r="F285" s="134"/>
      <c r="G285" s="134"/>
      <c r="H285" s="52"/>
      <c r="I285" s="52"/>
      <c r="J285" s="52"/>
      <c r="K285" s="134"/>
      <c r="L285" s="53"/>
      <c r="M285" s="53"/>
      <c r="N285" s="53"/>
      <c r="O285" s="53"/>
      <c r="P285" s="53"/>
      <c r="Q285" s="53"/>
      <c r="R285" s="53"/>
      <c r="S285" s="134"/>
      <c r="T285" s="134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ht="12.75" customHeight="1">
      <c r="A286" s="134"/>
      <c r="B286" s="134"/>
      <c r="C286" s="134"/>
      <c r="D286" s="134"/>
      <c r="E286" s="134"/>
      <c r="F286" s="134"/>
      <c r="G286" s="134"/>
      <c r="H286" s="52"/>
      <c r="I286" s="52"/>
      <c r="J286" s="52"/>
      <c r="K286" s="134"/>
      <c r="L286" s="53"/>
      <c r="M286" s="53"/>
      <c r="N286" s="53"/>
      <c r="O286" s="53"/>
      <c r="P286" s="53"/>
      <c r="Q286" s="53"/>
      <c r="R286" s="53"/>
      <c r="S286" s="134"/>
      <c r="T286" s="134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ht="12.75" customHeight="1">
      <c r="A287" s="134"/>
      <c r="B287" s="134"/>
      <c r="C287" s="134"/>
      <c r="D287" s="134"/>
      <c r="E287" s="134"/>
      <c r="F287" s="134"/>
      <c r="G287" s="134"/>
      <c r="H287" s="52"/>
      <c r="I287" s="52"/>
      <c r="J287" s="52"/>
      <c r="K287" s="134"/>
      <c r="L287" s="53"/>
      <c r="M287" s="53"/>
      <c r="N287" s="53"/>
      <c r="O287" s="53"/>
      <c r="P287" s="53"/>
      <c r="Q287" s="53"/>
      <c r="R287" s="53"/>
      <c r="S287" s="134"/>
      <c r="T287" s="134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ht="12.75" customHeight="1">
      <c r="A288" s="134"/>
      <c r="B288" s="134"/>
      <c r="C288" s="134"/>
      <c r="D288" s="134"/>
      <c r="E288" s="134"/>
      <c r="F288" s="134"/>
      <c r="G288" s="134"/>
      <c r="H288" s="52"/>
      <c r="I288" s="52"/>
      <c r="J288" s="52"/>
      <c r="K288" s="134"/>
      <c r="L288" s="53"/>
      <c r="M288" s="53"/>
      <c r="N288" s="53"/>
      <c r="O288" s="53"/>
      <c r="P288" s="53"/>
      <c r="Q288" s="53"/>
      <c r="R288" s="53"/>
      <c r="S288" s="134"/>
      <c r="T288" s="134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ht="12.75" customHeight="1">
      <c r="A289" s="134"/>
      <c r="B289" s="134"/>
      <c r="C289" s="134"/>
      <c r="D289" s="134"/>
      <c r="E289" s="134"/>
      <c r="F289" s="134"/>
      <c r="G289" s="134"/>
      <c r="H289" s="52"/>
      <c r="I289" s="52"/>
      <c r="J289" s="52"/>
      <c r="K289" s="134"/>
      <c r="L289" s="53"/>
      <c r="M289" s="53"/>
      <c r="N289" s="53"/>
      <c r="O289" s="53"/>
      <c r="P289" s="53"/>
      <c r="Q289" s="53"/>
      <c r="R289" s="53"/>
      <c r="S289" s="134"/>
      <c r="T289" s="134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ht="12.75" customHeight="1">
      <c r="A290" s="134"/>
      <c r="B290" s="134"/>
      <c r="C290" s="134"/>
      <c r="D290" s="134"/>
      <c r="E290" s="134"/>
      <c r="F290" s="134"/>
      <c r="G290" s="134"/>
      <c r="H290" s="52"/>
      <c r="I290" s="52"/>
      <c r="J290" s="52"/>
      <c r="K290" s="134"/>
      <c r="L290" s="53"/>
      <c r="M290" s="53"/>
      <c r="N290" s="53"/>
      <c r="O290" s="53"/>
      <c r="P290" s="53"/>
      <c r="Q290" s="53"/>
      <c r="R290" s="53"/>
      <c r="S290" s="134"/>
      <c r="T290" s="134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ht="12.75" customHeight="1">
      <c r="A291" s="134"/>
      <c r="B291" s="134"/>
      <c r="C291" s="134"/>
      <c r="D291" s="134"/>
      <c r="E291" s="134"/>
      <c r="F291" s="134"/>
      <c r="G291" s="134"/>
      <c r="H291" s="52"/>
      <c r="I291" s="52"/>
      <c r="J291" s="52"/>
      <c r="K291" s="134"/>
      <c r="L291" s="53"/>
      <c r="M291" s="53"/>
      <c r="N291" s="53"/>
      <c r="O291" s="53"/>
      <c r="P291" s="53"/>
      <c r="Q291" s="53"/>
      <c r="R291" s="53"/>
      <c r="S291" s="134"/>
      <c r="T291" s="134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ht="12.75" customHeight="1">
      <c r="A292" s="134"/>
      <c r="B292" s="134"/>
      <c r="C292" s="134"/>
      <c r="D292" s="134"/>
      <c r="E292" s="134"/>
      <c r="F292" s="134"/>
      <c r="G292" s="134"/>
      <c r="H292" s="52"/>
      <c r="I292" s="52"/>
      <c r="J292" s="52"/>
      <c r="K292" s="134"/>
      <c r="L292" s="53"/>
      <c r="M292" s="53"/>
      <c r="N292" s="53"/>
      <c r="O292" s="53"/>
      <c r="P292" s="53"/>
      <c r="Q292" s="53"/>
      <c r="R292" s="53"/>
      <c r="S292" s="134"/>
      <c r="T292" s="134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ht="12.75" customHeight="1">
      <c r="A293" s="134"/>
      <c r="B293" s="134"/>
      <c r="C293" s="134"/>
      <c r="D293" s="134"/>
      <c r="E293" s="134"/>
      <c r="F293" s="134"/>
      <c r="G293" s="134"/>
      <c r="H293" s="52"/>
      <c r="I293" s="52"/>
      <c r="J293" s="52"/>
      <c r="K293" s="134"/>
      <c r="L293" s="53"/>
      <c r="M293" s="53"/>
      <c r="N293" s="53"/>
      <c r="O293" s="53"/>
      <c r="P293" s="53"/>
      <c r="Q293" s="53"/>
      <c r="R293" s="53"/>
      <c r="S293" s="134"/>
      <c r="T293" s="134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ht="12.75" customHeight="1">
      <c r="A294" s="134"/>
      <c r="B294" s="134"/>
      <c r="C294" s="134"/>
      <c r="D294" s="134"/>
      <c r="E294" s="134"/>
      <c r="F294" s="134"/>
      <c r="G294" s="134"/>
      <c r="H294" s="52"/>
      <c r="I294" s="52"/>
      <c r="J294" s="52"/>
      <c r="K294" s="134"/>
      <c r="L294" s="53"/>
      <c r="M294" s="53"/>
      <c r="N294" s="53"/>
      <c r="O294" s="53"/>
      <c r="P294" s="53"/>
      <c r="Q294" s="53"/>
      <c r="R294" s="53"/>
      <c r="S294" s="134"/>
      <c r="T294" s="134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ht="12.75" customHeight="1">
      <c r="A295" s="134"/>
      <c r="B295" s="134"/>
      <c r="C295" s="134"/>
      <c r="D295" s="134"/>
      <c r="E295" s="134"/>
      <c r="F295" s="134"/>
      <c r="G295" s="134"/>
      <c r="H295" s="52"/>
      <c r="I295" s="52"/>
      <c r="J295" s="52"/>
      <c r="K295" s="134"/>
      <c r="L295" s="53"/>
      <c r="M295" s="53"/>
      <c r="N295" s="53"/>
      <c r="O295" s="53"/>
      <c r="P295" s="53"/>
      <c r="Q295" s="53"/>
      <c r="R295" s="53"/>
      <c r="S295" s="134"/>
      <c r="T295" s="134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ht="12.75" customHeight="1">
      <c r="A296" s="134"/>
      <c r="B296" s="134"/>
      <c r="C296" s="134"/>
      <c r="D296" s="134"/>
      <c r="E296" s="134"/>
      <c r="F296" s="134"/>
      <c r="G296" s="134"/>
      <c r="H296" s="52"/>
      <c r="I296" s="52"/>
      <c r="J296" s="52"/>
      <c r="K296" s="134"/>
      <c r="L296" s="53"/>
      <c r="M296" s="53"/>
      <c r="N296" s="53"/>
      <c r="O296" s="53"/>
      <c r="P296" s="53"/>
      <c r="Q296" s="53"/>
      <c r="R296" s="53"/>
      <c r="S296" s="134"/>
      <c r="T296" s="134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ht="12.75" customHeight="1">
      <c r="A297" s="134"/>
      <c r="B297" s="134"/>
      <c r="C297" s="134"/>
      <c r="D297" s="134"/>
      <c r="E297" s="134"/>
      <c r="F297" s="134"/>
      <c r="G297" s="134"/>
      <c r="H297" s="52"/>
      <c r="I297" s="52"/>
      <c r="J297" s="52"/>
      <c r="K297" s="134"/>
      <c r="L297" s="53"/>
      <c r="M297" s="53"/>
      <c r="N297" s="53"/>
      <c r="O297" s="53"/>
      <c r="P297" s="53"/>
      <c r="Q297" s="53"/>
      <c r="R297" s="53"/>
      <c r="S297" s="134"/>
      <c r="T297" s="134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ht="12.75" customHeight="1">
      <c r="A298" s="134"/>
      <c r="B298" s="134"/>
      <c r="C298" s="134"/>
      <c r="D298" s="134"/>
      <c r="E298" s="134"/>
      <c r="F298" s="134"/>
      <c r="G298" s="134"/>
      <c r="H298" s="52"/>
      <c r="I298" s="52"/>
      <c r="J298" s="52"/>
      <c r="K298" s="134"/>
      <c r="L298" s="53"/>
      <c r="M298" s="53"/>
      <c r="N298" s="53"/>
      <c r="O298" s="53"/>
      <c r="P298" s="53"/>
      <c r="Q298" s="53"/>
      <c r="R298" s="53"/>
      <c r="S298" s="134"/>
      <c r="T298" s="134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U80:X80"/>
    <mergeCell ref="U81:X81"/>
    <mergeCell ref="U82:X82"/>
    <mergeCell ref="U85:X85"/>
    <mergeCell ref="U86:X86"/>
    <mergeCell ref="U87:X87"/>
    <mergeCell ref="U89:X89"/>
    <mergeCell ref="U90:X90"/>
    <mergeCell ref="U93:X93"/>
    <mergeCell ref="U94:X94"/>
    <mergeCell ref="U95:X95"/>
    <mergeCell ref="U96:X96"/>
    <mergeCell ref="U88:X88"/>
    <mergeCell ref="U58:X58"/>
    <mergeCell ref="U62:X62"/>
    <mergeCell ref="U63:X63"/>
    <mergeCell ref="U64:X64"/>
    <mergeCell ref="U65:X65"/>
    <mergeCell ref="U66:X66"/>
    <mergeCell ref="U61:X61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3:X3"/>
    <mergeCell ref="U5:X5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31:X31"/>
    <mergeCell ref="U32:X32"/>
    <mergeCell ref="B2:F2"/>
    <mergeCell ref="H2:I2"/>
    <mergeCell ref="K2:R2"/>
    <mergeCell ref="T2:X2"/>
    <mergeCell ref="B4:F4"/>
    <mergeCell ref="U37:X37"/>
    <mergeCell ref="U38:X38"/>
    <mergeCell ref="U39:X39"/>
    <mergeCell ref="U40:X40"/>
    <mergeCell ref="U41:X41"/>
    <mergeCell ref="U42:X42"/>
    <mergeCell ref="U33:X33"/>
    <mergeCell ref="U34:X34"/>
    <mergeCell ref="U24:X24"/>
    <mergeCell ref="U25:X25"/>
    <mergeCell ref="U26:X26"/>
    <mergeCell ref="U29:X29"/>
    <mergeCell ref="U30:X30"/>
    <mergeCell ref="U50:X50"/>
    <mergeCell ref="U53:X53"/>
    <mergeCell ref="U54:X54"/>
    <mergeCell ref="U55:X55"/>
    <mergeCell ref="U46:X46"/>
    <mergeCell ref="U47:X47"/>
    <mergeCell ref="U45:X45"/>
    <mergeCell ref="U57:X57"/>
    <mergeCell ref="U48:X48"/>
    <mergeCell ref="U49:X49"/>
    <mergeCell ref="U56:X56"/>
    <mergeCell ref="U97:X97"/>
    <mergeCell ref="U98:X98"/>
    <mergeCell ref="U6:X6"/>
    <mergeCell ref="U7:X7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ht="18.75" customHeight="1">
      <c r="A2" s="134"/>
      <c r="B2" s="8" t="s">
        <v>257</v>
      </c>
      <c r="C2" s="9"/>
      <c r="D2" s="9"/>
      <c r="E2" s="9"/>
      <c r="F2" s="10"/>
      <c r="G2" s="57"/>
      <c r="H2" s="11" t="s">
        <v>23</v>
      </c>
      <c r="I2" s="10"/>
      <c r="J2" s="57"/>
      <c r="K2" s="11" t="s">
        <v>24</v>
      </c>
      <c r="L2" s="9"/>
      <c r="M2" s="9"/>
      <c r="N2" s="9"/>
      <c r="O2" s="9"/>
      <c r="P2" s="9"/>
      <c r="Q2" s="9"/>
      <c r="R2" s="10"/>
      <c r="S2" s="57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ht="15.0" customHeight="1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3" t="s">
        <v>26</v>
      </c>
      <c r="U3" s="14" t="str">
        <f>SUM(U5:U10,U13:U18,U21:U26,U29:U34,U37:U42,U45:U50,U53:U58,U61:U66)</f>
        <v>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ht="13.5" customHeight="1">
      <c r="A4" s="134"/>
      <c r="B4" s="15" t="s">
        <v>27</v>
      </c>
      <c r="C4" s="9"/>
      <c r="D4" s="9"/>
      <c r="E4" s="9"/>
      <c r="F4" s="10"/>
      <c r="G4" s="57"/>
      <c r="H4" s="16" t="s">
        <v>28</v>
      </c>
      <c r="I4" s="17" t="s">
        <v>29</v>
      </c>
      <c r="J4" s="18"/>
      <c r="K4" s="57"/>
      <c r="L4" s="57"/>
      <c r="M4" s="57"/>
      <c r="N4" s="57"/>
      <c r="O4" s="57"/>
      <c r="P4" s="57"/>
      <c r="Q4" s="57"/>
      <c r="R4" s="57"/>
      <c r="S4" s="57"/>
      <c r="T4" s="134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ht="13.5" customHeight="1">
      <c r="A5" s="134"/>
      <c r="B5" s="21" t="s">
        <v>30</v>
      </c>
      <c r="C5" s="22"/>
      <c r="D5" s="19" t="s">
        <v>31</v>
      </c>
      <c r="E5" s="23"/>
      <c r="F5" s="24" t="s">
        <v>32</v>
      </c>
      <c r="G5" s="57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ht="13.5" customHeight="1">
      <c r="A6" s="134"/>
      <c r="B6" s="21" t="s">
        <v>40</v>
      </c>
      <c r="C6" s="22"/>
      <c r="D6" s="19" t="s">
        <v>31</v>
      </c>
      <c r="E6" s="23"/>
      <c r="F6" s="34" t="s">
        <v>41</v>
      </c>
      <c r="G6" s="57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ht="12.75" customHeight="1">
      <c r="A7" s="134"/>
      <c r="B7" s="21" t="s">
        <v>41</v>
      </c>
      <c r="C7" s="22"/>
      <c r="D7" s="19" t="s">
        <v>31</v>
      </c>
      <c r="E7" s="23"/>
      <c r="F7" s="34" t="s">
        <v>32</v>
      </c>
      <c r="G7" s="57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57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ht="12.75" customHeight="1">
      <c r="A8" s="134"/>
      <c r="B8" s="21" t="s">
        <v>30</v>
      </c>
      <c r="C8" s="22"/>
      <c r="D8" s="19" t="s">
        <v>31</v>
      </c>
      <c r="E8" s="23"/>
      <c r="F8" s="34" t="s">
        <v>40</v>
      </c>
      <c r="G8" s="57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57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ht="12.75" customHeight="1">
      <c r="A9" s="134"/>
      <c r="B9" s="21" t="s">
        <v>32</v>
      </c>
      <c r="C9" s="22"/>
      <c r="D9" s="19" t="s">
        <v>31</v>
      </c>
      <c r="E9" s="23"/>
      <c r="F9" s="34" t="s">
        <v>40</v>
      </c>
      <c r="G9" s="57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57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ht="13.5" customHeight="1">
      <c r="A10" s="134"/>
      <c r="B10" s="40" t="s">
        <v>41</v>
      </c>
      <c r="C10" s="41"/>
      <c r="D10" s="38" t="s">
        <v>31</v>
      </c>
      <c r="E10" s="42"/>
      <c r="F10" s="43" t="s">
        <v>30</v>
      </c>
      <c r="G10" s="57"/>
      <c r="H10" s="44">
        <v>46197.0</v>
      </c>
      <c r="I10" s="45">
        <v>0.916666666666667</v>
      </c>
      <c r="J10" s="27"/>
      <c r="K10" s="31"/>
      <c r="L10" s="134"/>
      <c r="M10" s="134"/>
      <c r="N10" s="134"/>
      <c r="O10" s="134"/>
      <c r="P10" s="134"/>
      <c r="Q10" s="134"/>
      <c r="R10" s="134"/>
      <c r="S10" s="57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ht="13.5" customHeight="1">
      <c r="A11" s="134"/>
      <c r="B11" s="46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ht="13.5" customHeight="1">
      <c r="A12" s="134"/>
      <c r="B12" s="15" t="s">
        <v>54</v>
      </c>
      <c r="C12" s="9"/>
      <c r="D12" s="9"/>
      <c r="E12" s="9"/>
      <c r="F12" s="10"/>
      <c r="G12" s="57"/>
      <c r="H12" s="16" t="s">
        <v>28</v>
      </c>
      <c r="I12" s="17" t="s">
        <v>29</v>
      </c>
      <c r="J12" s="18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ht="13.5" customHeight="1">
      <c r="A13" s="134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57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ht="13.5" customHeight="1">
      <c r="A14" s="134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57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-1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ht="12.75" customHeight="1">
      <c r="A15" s="134"/>
      <c r="B15" s="21" t="s">
        <v>58</v>
      </c>
      <c r="C15" s="22"/>
      <c r="D15" s="19" t="s">
        <v>31</v>
      </c>
      <c r="E15" s="23"/>
      <c r="F15" s="24" t="s">
        <v>56</v>
      </c>
      <c r="G15" s="57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1</v>
      </c>
      <c r="Q15" s="19" t="str">
        <f t="shared" si="22"/>
        <v>0</v>
      </c>
      <c r="R15" s="36" t="str">
        <f t="shared" si="23"/>
        <v>0</v>
      </c>
      <c r="S15" s="57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ht="12.75" customHeight="1">
      <c r="A16" s="134"/>
      <c r="B16" s="21" t="s">
        <v>55</v>
      </c>
      <c r="C16" s="22"/>
      <c r="D16" s="19" t="s">
        <v>31</v>
      </c>
      <c r="E16" s="23"/>
      <c r="F16" s="24" t="s">
        <v>57</v>
      </c>
      <c r="G16" s="57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-2</v>
      </c>
      <c r="N16" s="19" t="str">
        <f t="shared" si="19"/>
        <v>0</v>
      </c>
      <c r="O16" s="19" t="str">
        <f t="shared" si="20"/>
        <v>2</v>
      </c>
      <c r="P16" s="19" t="str">
        <f t="shared" si="21"/>
        <v>0</v>
      </c>
      <c r="Q16" s="19" t="str">
        <f t="shared" si="22"/>
        <v>0</v>
      </c>
      <c r="R16" s="36" t="str">
        <f t="shared" si="23"/>
        <v>1</v>
      </c>
      <c r="S16" s="57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ht="12.75" customHeight="1">
      <c r="A17" s="134"/>
      <c r="B17" s="21" t="s">
        <v>58</v>
      </c>
      <c r="C17" s="22"/>
      <c r="D17" s="19" t="s">
        <v>31</v>
      </c>
      <c r="E17" s="23"/>
      <c r="F17" s="24" t="s">
        <v>55</v>
      </c>
      <c r="G17" s="57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2</v>
      </c>
      <c r="N17" s="38" t="str">
        <f t="shared" si="19"/>
        <v>2</v>
      </c>
      <c r="O17" s="38" t="str">
        <f t="shared" si="20"/>
        <v>0</v>
      </c>
      <c r="P17" s="38" t="str">
        <f t="shared" si="21"/>
        <v>1</v>
      </c>
      <c r="Q17" s="38" t="str">
        <f t="shared" si="22"/>
        <v>0</v>
      </c>
      <c r="R17" s="39" t="str">
        <f t="shared" si="23"/>
        <v>0</v>
      </c>
      <c r="S17" s="57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ht="13.5" customHeight="1">
      <c r="A18" s="134"/>
      <c r="B18" s="40" t="s">
        <v>56</v>
      </c>
      <c r="C18" s="41"/>
      <c r="D18" s="38" t="s">
        <v>31</v>
      </c>
      <c r="E18" s="42"/>
      <c r="F18" s="48" t="s">
        <v>57</v>
      </c>
      <c r="G18" s="57"/>
      <c r="H18" s="44">
        <v>46197.0</v>
      </c>
      <c r="I18" s="45">
        <v>0.666666666666667</v>
      </c>
      <c r="J18" s="27"/>
      <c r="K18" s="31"/>
      <c r="L18" s="134"/>
      <c r="M18" s="134"/>
      <c r="N18" s="134"/>
      <c r="O18" s="134"/>
      <c r="P18" s="134"/>
      <c r="Q18" s="134"/>
      <c r="R18" s="134"/>
      <c r="S18" s="57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ht="13.5" customHeight="1">
      <c r="A19" s="134"/>
      <c r="B19" s="46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ht="13.5" customHeight="1">
      <c r="A20" s="134"/>
      <c r="B20" s="15" t="s">
        <v>71</v>
      </c>
      <c r="C20" s="9"/>
      <c r="D20" s="9"/>
      <c r="E20" s="9"/>
      <c r="F20" s="10"/>
      <c r="G20" s="57"/>
      <c r="H20" s="16" t="s">
        <v>28</v>
      </c>
      <c r="I20" s="17" t="s">
        <v>29</v>
      </c>
      <c r="J20" s="18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ht="13.5" customHeight="1">
      <c r="A21" s="134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57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ht="13.5" customHeight="1">
      <c r="A22" s="134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57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3</v>
      </c>
      <c r="M22" s="19" t="str">
        <f t="shared" ref="M22:M25" si="31">N22-O22</f>
        <v>2</v>
      </c>
      <c r="N22" s="19" t="str">
        <f t="shared" ref="N22:N25" si="32">SUM(INDIRECT($AC22),INDIRECT($AD22),INDIRECT($AE22))</f>
        <v>3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1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ht="12.75" customHeight="1">
      <c r="A23" s="134"/>
      <c r="B23" s="21" t="s">
        <v>75</v>
      </c>
      <c r="C23" s="22"/>
      <c r="D23" s="19" t="s">
        <v>31</v>
      </c>
      <c r="E23" s="23"/>
      <c r="F23" s="24" t="s">
        <v>73</v>
      </c>
      <c r="G23" s="57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1</v>
      </c>
      <c r="N23" s="19" t="str">
        <f t="shared" si="32"/>
        <v>2</v>
      </c>
      <c r="O23" s="19" t="str">
        <f t="shared" si="33"/>
        <v>1</v>
      </c>
      <c r="P23" s="19" t="str">
        <f t="shared" si="34"/>
        <v>1</v>
      </c>
      <c r="Q23" s="19" t="str">
        <f t="shared" si="35"/>
        <v>0</v>
      </c>
      <c r="R23" s="36" t="str">
        <f t="shared" si="36"/>
        <v>0</v>
      </c>
      <c r="S23" s="57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ht="12.75" customHeight="1">
      <c r="A24" s="134"/>
      <c r="B24" s="21" t="s">
        <v>72</v>
      </c>
      <c r="C24" s="22"/>
      <c r="D24" s="19" t="s">
        <v>31</v>
      </c>
      <c r="E24" s="23"/>
      <c r="F24" s="24" t="s">
        <v>74</v>
      </c>
      <c r="G24" s="57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</v>
      </c>
      <c r="N24" s="19" t="str">
        <f t="shared" si="32"/>
        <v>1</v>
      </c>
      <c r="O24" s="19" t="str">
        <f t="shared" si="33"/>
        <v>2</v>
      </c>
      <c r="P24" s="19" t="str">
        <f t="shared" si="34"/>
        <v>0</v>
      </c>
      <c r="Q24" s="19" t="str">
        <f t="shared" si="35"/>
        <v>0</v>
      </c>
      <c r="R24" s="36" t="str">
        <f t="shared" si="36"/>
        <v>1</v>
      </c>
      <c r="S24" s="57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ht="12.75" customHeight="1">
      <c r="A25" s="134"/>
      <c r="B25" s="21" t="s">
        <v>73</v>
      </c>
      <c r="C25" s="22"/>
      <c r="D25" s="19" t="s">
        <v>31</v>
      </c>
      <c r="E25" s="23"/>
      <c r="F25" s="24" t="s">
        <v>74</v>
      </c>
      <c r="G25" s="57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-2</v>
      </c>
      <c r="N25" s="38" t="str">
        <f t="shared" si="32"/>
        <v>1</v>
      </c>
      <c r="O25" s="38" t="str">
        <f t="shared" si="33"/>
        <v>3</v>
      </c>
      <c r="P25" s="38" t="str">
        <f t="shared" si="34"/>
        <v>0</v>
      </c>
      <c r="Q25" s="38" t="str">
        <f t="shared" si="35"/>
        <v>0</v>
      </c>
      <c r="R25" s="39" t="str">
        <f t="shared" si="36"/>
        <v>1</v>
      </c>
      <c r="S25" s="57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ht="13.5" customHeight="1">
      <c r="A26" s="134"/>
      <c r="B26" s="40" t="s">
        <v>75</v>
      </c>
      <c r="C26" s="41"/>
      <c r="D26" s="38" t="s">
        <v>31</v>
      </c>
      <c r="E26" s="42"/>
      <c r="F26" s="48" t="s">
        <v>72</v>
      </c>
      <c r="G26" s="57"/>
      <c r="H26" s="44">
        <v>46197.0</v>
      </c>
      <c r="I26" s="45">
        <v>0.791666666666667</v>
      </c>
      <c r="J26" s="27"/>
      <c r="K26" s="46"/>
      <c r="L26" s="134"/>
      <c r="M26" s="134"/>
      <c r="N26" s="134"/>
      <c r="O26" s="134"/>
      <c r="P26" s="134"/>
      <c r="Q26" s="134"/>
      <c r="R26" s="134"/>
      <c r="S26" s="57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ht="13.5" customHeight="1">
      <c r="A27" s="134"/>
      <c r="B27" s="46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ht="13.5" customHeight="1">
      <c r="A28" s="134"/>
      <c r="B28" s="15" t="s">
        <v>88</v>
      </c>
      <c r="C28" s="9"/>
      <c r="D28" s="9"/>
      <c r="E28" s="9"/>
      <c r="F28" s="10"/>
      <c r="G28" s="57"/>
      <c r="H28" s="16" t="s">
        <v>28</v>
      </c>
      <c r="I28" s="17" t="s">
        <v>29</v>
      </c>
      <c r="J28" s="18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ht="13.5" customHeight="1">
      <c r="A29" s="134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57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ht="13.5" customHeight="1">
      <c r="A30" s="134"/>
      <c r="B30" s="21" t="s">
        <v>91</v>
      </c>
      <c r="C30" s="22"/>
      <c r="D30" s="19" t="s">
        <v>31</v>
      </c>
      <c r="E30" s="23"/>
      <c r="F30" s="24" t="s">
        <v>92</v>
      </c>
      <c r="G30" s="57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ht="12.75" customHeight="1">
      <c r="A31" s="134"/>
      <c r="B31" s="21" t="s">
        <v>89</v>
      </c>
      <c r="C31" s="22"/>
      <c r="D31" s="19" t="s">
        <v>31</v>
      </c>
      <c r="E31" s="23"/>
      <c r="F31" s="24" t="s">
        <v>91</v>
      </c>
      <c r="G31" s="57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1</v>
      </c>
      <c r="N31" s="19" t="str">
        <f t="shared" si="45"/>
        <v>2</v>
      </c>
      <c r="O31" s="19" t="str">
        <f t="shared" si="46"/>
        <v>1</v>
      </c>
      <c r="P31" s="19" t="str">
        <f t="shared" si="47"/>
        <v>1</v>
      </c>
      <c r="Q31" s="19" t="str">
        <f t="shared" si="48"/>
        <v>0</v>
      </c>
      <c r="R31" s="36" t="str">
        <f t="shared" si="49"/>
        <v>0</v>
      </c>
      <c r="S31" s="57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ht="12.75" customHeight="1">
      <c r="A32" s="134"/>
      <c r="B32" s="21" t="s">
        <v>92</v>
      </c>
      <c r="C32" s="22"/>
      <c r="D32" s="19" t="s">
        <v>31</v>
      </c>
      <c r="E32" s="23"/>
      <c r="F32" s="24" t="s">
        <v>90</v>
      </c>
      <c r="G32" s="57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-1</v>
      </c>
      <c r="N32" s="19" t="str">
        <f t="shared" si="45"/>
        <v>1</v>
      </c>
      <c r="O32" s="19" t="str">
        <f t="shared" si="46"/>
        <v>2</v>
      </c>
      <c r="P32" s="19" t="str">
        <f t="shared" si="47"/>
        <v>0</v>
      </c>
      <c r="Q32" s="19" t="str">
        <f t="shared" si="48"/>
        <v>0</v>
      </c>
      <c r="R32" s="36" t="str">
        <f t="shared" si="49"/>
        <v>1</v>
      </c>
      <c r="S32" s="57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ht="12.75" customHeight="1">
      <c r="A33" s="134"/>
      <c r="B33" s="21" t="s">
        <v>92</v>
      </c>
      <c r="C33" s="22"/>
      <c r="D33" s="19" t="s">
        <v>31</v>
      </c>
      <c r="E33" s="23"/>
      <c r="F33" s="24" t="s">
        <v>89</v>
      </c>
      <c r="G33" s="57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57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ht="13.5" customHeight="1">
      <c r="A34" s="134"/>
      <c r="B34" s="40" t="s">
        <v>90</v>
      </c>
      <c r="C34" s="41"/>
      <c r="D34" s="38" t="s">
        <v>31</v>
      </c>
      <c r="E34" s="42"/>
      <c r="F34" s="48" t="s">
        <v>91</v>
      </c>
      <c r="G34" s="57"/>
      <c r="H34" s="44">
        <v>46198.0</v>
      </c>
      <c r="I34" s="45">
        <v>0.958333333333333</v>
      </c>
      <c r="J34" s="27"/>
      <c r="K34" s="46"/>
      <c r="L34" s="134"/>
      <c r="M34" s="134"/>
      <c r="N34" s="134"/>
      <c r="O34" s="134"/>
      <c r="P34" s="134"/>
      <c r="Q34" s="134"/>
      <c r="R34" s="134"/>
      <c r="S34" s="57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ht="13.5" customHeight="1">
      <c r="A35" s="134"/>
      <c r="B35" s="46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ht="13.5" customHeight="1">
      <c r="A36" s="134"/>
      <c r="B36" s="15" t="s">
        <v>104</v>
      </c>
      <c r="C36" s="9"/>
      <c r="D36" s="9"/>
      <c r="E36" s="9"/>
      <c r="F36" s="10"/>
      <c r="G36" s="57"/>
      <c r="H36" s="16" t="s">
        <v>28</v>
      </c>
      <c r="I36" s="17" t="s">
        <v>29</v>
      </c>
      <c r="J36" s="18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ht="13.5" customHeight="1">
      <c r="A37" s="134"/>
      <c r="B37" s="21" t="s">
        <v>105</v>
      </c>
      <c r="C37" s="22"/>
      <c r="D37" s="19" t="s">
        <v>31</v>
      </c>
      <c r="E37" s="23"/>
      <c r="F37" s="34" t="s">
        <v>106</v>
      </c>
      <c r="G37" s="57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ht="13.5" customHeight="1">
      <c r="A38" s="134"/>
      <c r="B38" s="21" t="s">
        <v>107</v>
      </c>
      <c r="C38" s="22"/>
      <c r="D38" s="19" t="s">
        <v>31</v>
      </c>
      <c r="E38" s="23"/>
      <c r="F38" s="34" t="s">
        <v>108</v>
      </c>
      <c r="G38" s="57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ht="12.75" customHeight="1">
      <c r="A39" s="134"/>
      <c r="B39" s="21" t="s">
        <v>105</v>
      </c>
      <c r="C39" s="22"/>
      <c r="D39" s="19" t="s">
        <v>31</v>
      </c>
      <c r="E39" s="23"/>
      <c r="F39" s="34" t="s">
        <v>107</v>
      </c>
      <c r="G39" s="57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57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ht="12.75" customHeight="1">
      <c r="A40" s="134"/>
      <c r="B40" s="21" t="s">
        <v>108</v>
      </c>
      <c r="C40" s="22"/>
      <c r="D40" s="19" t="s">
        <v>31</v>
      </c>
      <c r="E40" s="23"/>
      <c r="F40" s="34" t="s">
        <v>106</v>
      </c>
      <c r="G40" s="57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57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ht="12.75" customHeight="1">
      <c r="A41" s="134"/>
      <c r="B41" s="21" t="s">
        <v>108</v>
      </c>
      <c r="C41" s="22"/>
      <c r="D41" s="19" t="s">
        <v>31</v>
      </c>
      <c r="E41" s="23"/>
      <c r="F41" s="34" t="s">
        <v>105</v>
      </c>
      <c r="G41" s="57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57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ht="13.5" customHeight="1">
      <c r="A42" s="134"/>
      <c r="B42" s="40" t="s">
        <v>106</v>
      </c>
      <c r="C42" s="41"/>
      <c r="D42" s="38" t="s">
        <v>31</v>
      </c>
      <c r="E42" s="42"/>
      <c r="F42" s="43" t="s">
        <v>107</v>
      </c>
      <c r="G42" s="57"/>
      <c r="H42" s="44">
        <v>46198.0</v>
      </c>
      <c r="I42" s="45">
        <v>0.708333333333333</v>
      </c>
      <c r="J42" s="27"/>
      <c r="K42" s="46"/>
      <c r="L42" s="134"/>
      <c r="M42" s="134"/>
      <c r="N42" s="134"/>
      <c r="O42" s="134"/>
      <c r="P42" s="134"/>
      <c r="Q42" s="134"/>
      <c r="R42" s="134"/>
      <c r="S42" s="57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ht="13.5" customHeight="1">
      <c r="A43" s="134"/>
      <c r="B43" s="46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ht="13.5" customHeight="1">
      <c r="A44" s="134"/>
      <c r="B44" s="15" t="s">
        <v>121</v>
      </c>
      <c r="C44" s="9"/>
      <c r="D44" s="9"/>
      <c r="E44" s="9"/>
      <c r="F44" s="10"/>
      <c r="G44" s="57"/>
      <c r="H44" s="16" t="s">
        <v>28</v>
      </c>
      <c r="I44" s="17" t="s">
        <v>29</v>
      </c>
      <c r="J44" s="18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ht="13.5" customHeight="1">
      <c r="A45" s="134"/>
      <c r="B45" s="21" t="s">
        <v>122</v>
      </c>
      <c r="C45" s="22"/>
      <c r="D45" s="19" t="s">
        <v>31</v>
      </c>
      <c r="E45" s="23"/>
      <c r="F45" s="34" t="s">
        <v>123</v>
      </c>
      <c r="G45" s="57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ht="13.5" customHeight="1">
      <c r="A46" s="134"/>
      <c r="B46" s="21" t="s">
        <v>124</v>
      </c>
      <c r="C46" s="22"/>
      <c r="D46" s="19" t="s">
        <v>31</v>
      </c>
      <c r="E46" s="23"/>
      <c r="F46" s="34" t="s">
        <v>125</v>
      </c>
      <c r="G46" s="57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ht="12.75" customHeight="1">
      <c r="A47" s="134"/>
      <c r="B47" s="21" t="s">
        <v>122</v>
      </c>
      <c r="C47" s="22"/>
      <c r="D47" s="19" t="s">
        <v>31</v>
      </c>
      <c r="E47" s="23"/>
      <c r="F47" s="34" t="s">
        <v>124</v>
      </c>
      <c r="G47" s="57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57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ht="12.75" customHeight="1">
      <c r="A48" s="134"/>
      <c r="B48" s="21" t="s">
        <v>125</v>
      </c>
      <c r="C48" s="22"/>
      <c r="D48" s="19" t="s">
        <v>31</v>
      </c>
      <c r="E48" s="23"/>
      <c r="F48" s="34" t="s">
        <v>123</v>
      </c>
      <c r="G48" s="57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57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ht="12.75" customHeight="1">
      <c r="A49" s="134"/>
      <c r="B49" s="21" t="s">
        <v>125</v>
      </c>
      <c r="C49" s="22"/>
      <c r="D49" s="19" t="s">
        <v>31</v>
      </c>
      <c r="E49" s="23"/>
      <c r="F49" s="34" t="s">
        <v>122</v>
      </c>
      <c r="G49" s="57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57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ht="13.5" customHeight="1">
      <c r="A50" s="134"/>
      <c r="B50" s="40" t="s">
        <v>123</v>
      </c>
      <c r="C50" s="41"/>
      <c r="D50" s="38" t="s">
        <v>31</v>
      </c>
      <c r="E50" s="42"/>
      <c r="F50" s="43" t="s">
        <v>124</v>
      </c>
      <c r="G50" s="57"/>
      <c r="H50" s="44">
        <v>46198.0</v>
      </c>
      <c r="I50" s="45">
        <v>0.833333333333333</v>
      </c>
      <c r="J50" s="27"/>
      <c r="K50" s="46"/>
      <c r="L50" s="134"/>
      <c r="M50" s="134"/>
      <c r="N50" s="134"/>
      <c r="O50" s="134"/>
      <c r="P50" s="134"/>
      <c r="Q50" s="134"/>
      <c r="R50" s="134"/>
      <c r="S50" s="57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ht="13.5" customHeight="1">
      <c r="A51" s="134"/>
      <c r="B51" s="46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ht="13.5" customHeight="1">
      <c r="A52" s="134"/>
      <c r="B52" s="15" t="s">
        <v>138</v>
      </c>
      <c r="C52" s="9"/>
      <c r="D52" s="9"/>
      <c r="E52" s="9"/>
      <c r="F52" s="10"/>
      <c r="G52" s="57"/>
      <c r="H52" s="16" t="s">
        <v>28</v>
      </c>
      <c r="I52" s="17" t="s">
        <v>29</v>
      </c>
      <c r="J52" s="18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ht="13.5" customHeight="1">
      <c r="A53" s="134"/>
      <c r="B53" s="21" t="s">
        <v>139</v>
      </c>
      <c r="C53" s="22"/>
      <c r="D53" s="19" t="s">
        <v>31</v>
      </c>
      <c r="E53" s="23"/>
      <c r="F53" s="34" t="s">
        <v>140</v>
      </c>
      <c r="G53" s="57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ht="13.5" customHeight="1">
      <c r="A54" s="134"/>
      <c r="B54" s="21" t="s">
        <v>141</v>
      </c>
      <c r="C54" s="22"/>
      <c r="D54" s="19" t="s">
        <v>31</v>
      </c>
      <c r="E54" s="23"/>
      <c r="F54" s="34" t="s">
        <v>142</v>
      </c>
      <c r="G54" s="57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ht="12.75" customHeight="1">
      <c r="A55" s="134"/>
      <c r="B55" s="21" t="s">
        <v>139</v>
      </c>
      <c r="C55" s="22"/>
      <c r="D55" s="19" t="s">
        <v>31</v>
      </c>
      <c r="E55" s="23"/>
      <c r="F55" s="34" t="s">
        <v>141</v>
      </c>
      <c r="G55" s="57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57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ht="12.75" customHeight="1">
      <c r="A56" s="134"/>
      <c r="B56" s="21" t="s">
        <v>142</v>
      </c>
      <c r="C56" s="22"/>
      <c r="D56" s="19" t="s">
        <v>31</v>
      </c>
      <c r="E56" s="23"/>
      <c r="F56" s="34" t="s">
        <v>140</v>
      </c>
      <c r="G56" s="57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57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ht="12.75" customHeight="1">
      <c r="A57" s="134"/>
      <c r="B57" s="21" t="s">
        <v>140</v>
      </c>
      <c r="C57" s="22"/>
      <c r="D57" s="19" t="s">
        <v>31</v>
      </c>
      <c r="E57" s="23"/>
      <c r="F57" s="34" t="s">
        <v>141</v>
      </c>
      <c r="G57" s="57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57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ht="13.5" customHeight="1">
      <c r="A58" s="134"/>
      <c r="B58" s="40" t="s">
        <v>142</v>
      </c>
      <c r="C58" s="41"/>
      <c r="D58" s="38" t="s">
        <v>31</v>
      </c>
      <c r="E58" s="42"/>
      <c r="F58" s="43" t="s">
        <v>139</v>
      </c>
      <c r="G58" s="57"/>
      <c r="H58" s="44">
        <v>46200.0</v>
      </c>
      <c r="I58" s="45">
        <v>0.0</v>
      </c>
      <c r="J58" s="27"/>
      <c r="K58" s="46"/>
      <c r="L58" s="134"/>
      <c r="M58" s="134"/>
      <c r="N58" s="134"/>
      <c r="O58" s="134"/>
      <c r="P58" s="134"/>
      <c r="Q58" s="134"/>
      <c r="R58" s="134"/>
      <c r="S58" s="57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ht="13.5" customHeight="1">
      <c r="A59" s="134"/>
      <c r="B59" s="46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ht="13.5" customHeight="1">
      <c r="A60" s="134"/>
      <c r="B60" s="15" t="s">
        <v>155</v>
      </c>
      <c r="C60" s="9"/>
      <c r="D60" s="9"/>
      <c r="E60" s="9"/>
      <c r="F60" s="10"/>
      <c r="G60" s="57"/>
      <c r="H60" s="16" t="s">
        <v>28</v>
      </c>
      <c r="I60" s="17" t="s">
        <v>29</v>
      </c>
      <c r="J60" s="18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ht="13.5" customHeight="1">
      <c r="A61" s="134"/>
      <c r="B61" s="21" t="s">
        <v>156</v>
      </c>
      <c r="C61" s="22"/>
      <c r="D61" s="19" t="s">
        <v>31</v>
      </c>
      <c r="E61" s="23"/>
      <c r="F61" s="34" t="s">
        <v>157</v>
      </c>
      <c r="G61" s="57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ht="13.5" customHeight="1">
      <c r="A62" s="134"/>
      <c r="B62" s="21" t="s">
        <v>158</v>
      </c>
      <c r="C62" s="22"/>
      <c r="D62" s="19" t="s">
        <v>31</v>
      </c>
      <c r="E62" s="23"/>
      <c r="F62" s="34" t="s">
        <v>159</v>
      </c>
      <c r="G62" s="57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ht="12.75" customHeight="1">
      <c r="A63" s="134"/>
      <c r="B63" s="21" t="s">
        <v>156</v>
      </c>
      <c r="C63" s="22"/>
      <c r="D63" s="19" t="s">
        <v>31</v>
      </c>
      <c r="E63" s="23"/>
      <c r="F63" s="34" t="s">
        <v>158</v>
      </c>
      <c r="G63" s="57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57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ht="12.75" customHeight="1">
      <c r="A64" s="134"/>
      <c r="B64" s="21" t="s">
        <v>159</v>
      </c>
      <c r="C64" s="22"/>
      <c r="D64" s="19" t="s">
        <v>31</v>
      </c>
      <c r="E64" s="23"/>
      <c r="F64" s="34" t="s">
        <v>157</v>
      </c>
      <c r="G64" s="57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57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ht="12.75" customHeight="1">
      <c r="A65" s="134"/>
      <c r="B65" s="21" t="s">
        <v>157</v>
      </c>
      <c r="C65" s="22"/>
      <c r="D65" s="19" t="s">
        <v>31</v>
      </c>
      <c r="E65" s="23"/>
      <c r="F65" s="34" t="s">
        <v>158</v>
      </c>
      <c r="G65" s="57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57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ht="13.5" customHeight="1">
      <c r="A66" s="134"/>
      <c r="B66" s="40" t="s">
        <v>159</v>
      </c>
      <c r="C66" s="41"/>
      <c r="D66" s="38" t="s">
        <v>31</v>
      </c>
      <c r="E66" s="42"/>
      <c r="F66" s="43" t="s">
        <v>156</v>
      </c>
      <c r="G66" s="57"/>
      <c r="H66" s="44">
        <v>46199.0</v>
      </c>
      <c r="I66" s="45">
        <v>0.875</v>
      </c>
      <c r="J66" s="27"/>
      <c r="K66" s="46"/>
      <c r="L66" s="134"/>
      <c r="M66" s="134"/>
      <c r="N66" s="134"/>
      <c r="O66" s="134"/>
      <c r="P66" s="134"/>
      <c r="Q66" s="134"/>
      <c r="R66" s="134"/>
      <c r="S66" s="57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ht="12.75" customHeight="1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ht="12.75" customHeight="1">
      <c r="A68" s="134"/>
      <c r="B68" s="15" t="s">
        <v>172</v>
      </c>
      <c r="C68" s="9"/>
      <c r="D68" s="9"/>
      <c r="E68" s="9"/>
      <c r="F68" s="10"/>
      <c r="G68" s="57"/>
      <c r="H68" s="16" t="s">
        <v>28</v>
      </c>
      <c r="I68" s="17" t="s">
        <v>29</v>
      </c>
      <c r="J68" s="18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ht="12.75" customHeight="1">
      <c r="A69" s="134"/>
      <c r="B69" s="21" t="s">
        <v>173</v>
      </c>
      <c r="C69" s="22"/>
      <c r="D69" s="19" t="s">
        <v>31</v>
      </c>
      <c r="E69" s="23"/>
      <c r="F69" s="34" t="s">
        <v>174</v>
      </c>
      <c r="G69" s="57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ht="12.75" customHeight="1">
      <c r="A70" s="134"/>
      <c r="B70" s="21" t="s">
        <v>175</v>
      </c>
      <c r="C70" s="22"/>
      <c r="D70" s="19" t="s">
        <v>31</v>
      </c>
      <c r="E70" s="23"/>
      <c r="F70" s="34" t="s">
        <v>176</v>
      </c>
      <c r="G70" s="57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ht="12.75" customHeight="1">
      <c r="A71" s="134"/>
      <c r="B71" s="21" t="s">
        <v>173</v>
      </c>
      <c r="C71" s="22"/>
      <c r="D71" s="19" t="s">
        <v>31</v>
      </c>
      <c r="E71" s="23"/>
      <c r="F71" s="34" t="s">
        <v>175</v>
      </c>
      <c r="G71" s="57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57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ht="12.75" customHeight="1">
      <c r="A72" s="134"/>
      <c r="B72" s="21" t="s">
        <v>176</v>
      </c>
      <c r="C72" s="22"/>
      <c r="D72" s="19" t="s">
        <v>31</v>
      </c>
      <c r="E72" s="23"/>
      <c r="F72" s="34" t="s">
        <v>174</v>
      </c>
      <c r="G72" s="57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57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ht="12.75" customHeight="1">
      <c r="A73" s="134"/>
      <c r="B73" s="21" t="s">
        <v>174</v>
      </c>
      <c r="C73" s="22"/>
      <c r="D73" s="19" t="s">
        <v>31</v>
      </c>
      <c r="E73" s="23"/>
      <c r="F73" s="34" t="s">
        <v>175</v>
      </c>
      <c r="G73" s="57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57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ht="12.75" customHeight="1">
      <c r="A74" s="134"/>
      <c r="B74" s="40" t="s">
        <v>176</v>
      </c>
      <c r="C74" s="41"/>
      <c r="D74" s="38" t="s">
        <v>31</v>
      </c>
      <c r="E74" s="42"/>
      <c r="F74" s="43" t="s">
        <v>173</v>
      </c>
      <c r="G74" s="57"/>
      <c r="H74" s="44">
        <v>46199.0</v>
      </c>
      <c r="I74" s="45">
        <v>0.666666666666667</v>
      </c>
      <c r="J74" s="27"/>
      <c r="K74" s="46"/>
      <c r="L74" s="134"/>
      <c r="M74" s="134"/>
      <c r="N74" s="134"/>
      <c r="O74" s="134"/>
      <c r="P74" s="134"/>
      <c r="Q74" s="134"/>
      <c r="R74" s="134"/>
      <c r="S74" s="57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ht="12.75" customHeight="1">
      <c r="A75" s="134"/>
      <c r="B75" s="46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ht="12.75" customHeight="1">
      <c r="A76" s="134"/>
      <c r="B76" s="15" t="s">
        <v>189</v>
      </c>
      <c r="C76" s="9"/>
      <c r="D76" s="9"/>
      <c r="E76" s="9"/>
      <c r="F76" s="10"/>
      <c r="G76" s="57"/>
      <c r="H76" s="16" t="s">
        <v>28</v>
      </c>
      <c r="I76" s="17" t="s">
        <v>29</v>
      </c>
      <c r="J76" s="18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ht="12.75" customHeight="1">
      <c r="A77" s="134"/>
      <c r="B77" s="21" t="s">
        <v>190</v>
      </c>
      <c r="C77" s="22"/>
      <c r="D77" s="19" t="s">
        <v>31</v>
      </c>
      <c r="E77" s="23"/>
      <c r="F77" s="34" t="s">
        <v>191</v>
      </c>
      <c r="G77" s="57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ht="12.75" customHeight="1">
      <c r="A78" s="134"/>
      <c r="B78" s="21" t="s">
        <v>192</v>
      </c>
      <c r="C78" s="22"/>
      <c r="D78" s="19" t="s">
        <v>31</v>
      </c>
      <c r="E78" s="23"/>
      <c r="F78" s="34" t="s">
        <v>193</v>
      </c>
      <c r="G78" s="57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ht="12.75" customHeight="1">
      <c r="A79" s="134"/>
      <c r="B79" s="21" t="s">
        <v>190</v>
      </c>
      <c r="C79" s="22"/>
      <c r="D79" s="19" t="s">
        <v>31</v>
      </c>
      <c r="E79" s="23"/>
      <c r="F79" s="34" t="s">
        <v>192</v>
      </c>
      <c r="G79" s="57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57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ht="12.75" customHeight="1">
      <c r="A80" s="134"/>
      <c r="B80" s="21" t="s">
        <v>193</v>
      </c>
      <c r="C80" s="22"/>
      <c r="D80" s="19" t="s">
        <v>31</v>
      </c>
      <c r="E80" s="23"/>
      <c r="F80" s="34" t="s">
        <v>191</v>
      </c>
      <c r="G80" s="57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57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ht="12.75" customHeight="1">
      <c r="A81" s="134"/>
      <c r="B81" s="21" t="s">
        <v>193</v>
      </c>
      <c r="C81" s="22"/>
      <c r="D81" s="19" t="s">
        <v>31</v>
      </c>
      <c r="E81" s="23"/>
      <c r="F81" s="34" t="s">
        <v>190</v>
      </c>
      <c r="G81" s="57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57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ht="12.75" customHeight="1">
      <c r="A82" s="134"/>
      <c r="B82" s="40" t="s">
        <v>191</v>
      </c>
      <c r="C82" s="41"/>
      <c r="D82" s="38" t="s">
        <v>31</v>
      </c>
      <c r="E82" s="42"/>
      <c r="F82" s="43" t="s">
        <v>192</v>
      </c>
      <c r="G82" s="57"/>
      <c r="H82" s="44">
        <v>46200.0</v>
      </c>
      <c r="I82" s="45">
        <v>0.958333333333333</v>
      </c>
      <c r="J82" s="27"/>
      <c r="K82" s="46"/>
      <c r="L82" s="134"/>
      <c r="M82" s="134"/>
      <c r="N82" s="134"/>
      <c r="O82" s="134"/>
      <c r="P82" s="134"/>
      <c r="Q82" s="134"/>
      <c r="R82" s="134"/>
      <c r="S82" s="57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ht="12.75" customHeight="1">
      <c r="A83" s="134"/>
      <c r="B83" s="46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ht="12.75" customHeight="1">
      <c r="A84" s="134"/>
      <c r="B84" s="15" t="s">
        <v>206</v>
      </c>
      <c r="C84" s="9"/>
      <c r="D84" s="9"/>
      <c r="E84" s="9"/>
      <c r="F84" s="10"/>
      <c r="G84" s="57"/>
      <c r="H84" s="16" t="s">
        <v>28</v>
      </c>
      <c r="I84" s="17" t="s">
        <v>29</v>
      </c>
      <c r="J84" s="18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ht="12.75" customHeight="1">
      <c r="A85" s="134"/>
      <c r="B85" s="21" t="s">
        <v>207</v>
      </c>
      <c r="C85" s="22"/>
      <c r="D85" s="19" t="s">
        <v>31</v>
      </c>
      <c r="E85" s="23"/>
      <c r="F85" s="34" t="s">
        <v>208</v>
      </c>
      <c r="G85" s="57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ht="12.75" customHeight="1">
      <c r="A86" s="134"/>
      <c r="B86" s="21" t="s">
        <v>209</v>
      </c>
      <c r="C86" s="22"/>
      <c r="D86" s="19" t="s">
        <v>31</v>
      </c>
      <c r="E86" s="23"/>
      <c r="F86" s="34" t="s">
        <v>210</v>
      </c>
      <c r="G86" s="57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ht="12.75" customHeight="1">
      <c r="A87" s="134"/>
      <c r="B87" s="21" t="s">
        <v>207</v>
      </c>
      <c r="C87" s="22"/>
      <c r="D87" s="19" t="s">
        <v>31</v>
      </c>
      <c r="E87" s="23"/>
      <c r="F87" s="34" t="s">
        <v>209</v>
      </c>
      <c r="G87" s="57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57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ht="12.75" customHeight="1">
      <c r="A88" s="134"/>
      <c r="B88" s="21" t="s">
        <v>210</v>
      </c>
      <c r="C88" s="22"/>
      <c r="D88" s="19" t="s">
        <v>31</v>
      </c>
      <c r="E88" s="23"/>
      <c r="F88" s="34" t="s">
        <v>208</v>
      </c>
      <c r="G88" s="57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57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ht="12.75" customHeight="1">
      <c r="A89" s="134"/>
      <c r="B89" s="21" t="s">
        <v>208</v>
      </c>
      <c r="C89" s="22"/>
      <c r="D89" s="19" t="s">
        <v>31</v>
      </c>
      <c r="E89" s="23"/>
      <c r="F89" s="34" t="s">
        <v>209</v>
      </c>
      <c r="G89" s="57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57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ht="12.75" customHeight="1">
      <c r="A90" s="134"/>
      <c r="B90" s="40" t="s">
        <v>210</v>
      </c>
      <c r="C90" s="41"/>
      <c r="D90" s="38" t="s">
        <v>31</v>
      </c>
      <c r="E90" s="42"/>
      <c r="F90" s="43" t="s">
        <v>207</v>
      </c>
      <c r="G90" s="57"/>
      <c r="H90" s="44">
        <v>46200.0</v>
      </c>
      <c r="I90" s="45">
        <v>0.854166666666667</v>
      </c>
      <c r="J90" s="27"/>
      <c r="K90" s="46"/>
      <c r="L90" s="134"/>
      <c r="M90" s="134"/>
      <c r="N90" s="134"/>
      <c r="O90" s="134"/>
      <c r="P90" s="134"/>
      <c r="Q90" s="134"/>
      <c r="R90" s="134"/>
      <c r="S90" s="57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ht="12.75" customHeight="1">
      <c r="A91" s="134"/>
      <c r="B91" s="46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ht="12.75" customHeight="1">
      <c r="A92" s="134"/>
      <c r="B92" s="15" t="s">
        <v>223</v>
      </c>
      <c r="C92" s="9"/>
      <c r="D92" s="9"/>
      <c r="E92" s="9"/>
      <c r="F92" s="10"/>
      <c r="G92" s="57"/>
      <c r="H92" s="16" t="s">
        <v>28</v>
      </c>
      <c r="I92" s="17" t="s">
        <v>29</v>
      </c>
      <c r="J92" s="18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ht="12.75" customHeight="1">
      <c r="A93" s="134"/>
      <c r="B93" s="21" t="s">
        <v>224</v>
      </c>
      <c r="C93" s="22"/>
      <c r="D93" s="19" t="s">
        <v>31</v>
      </c>
      <c r="E93" s="23"/>
      <c r="F93" s="34" t="s">
        <v>225</v>
      </c>
      <c r="G93" s="57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ht="12.75" customHeight="1">
      <c r="A94" s="134"/>
      <c r="B94" s="21" t="s">
        <v>226</v>
      </c>
      <c r="C94" s="22"/>
      <c r="D94" s="19" t="s">
        <v>31</v>
      </c>
      <c r="E94" s="23"/>
      <c r="F94" s="34" t="s">
        <v>227</v>
      </c>
      <c r="G94" s="57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ht="12.75" customHeight="1">
      <c r="A95" s="134"/>
      <c r="B95" s="21" t="s">
        <v>224</v>
      </c>
      <c r="C95" s="22"/>
      <c r="D95" s="19" t="s">
        <v>31</v>
      </c>
      <c r="E95" s="23"/>
      <c r="F95" s="34" t="s">
        <v>226</v>
      </c>
      <c r="G95" s="57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57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ht="12.75" customHeight="1">
      <c r="A96" s="134"/>
      <c r="B96" s="21" t="s">
        <v>227</v>
      </c>
      <c r="C96" s="22"/>
      <c r="D96" s="19" t="s">
        <v>31</v>
      </c>
      <c r="E96" s="23"/>
      <c r="F96" s="34" t="s">
        <v>225</v>
      </c>
      <c r="G96" s="57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57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ht="12.75" customHeight="1">
      <c r="A97" s="134"/>
      <c r="B97" s="21" t="s">
        <v>225</v>
      </c>
      <c r="C97" s="22"/>
      <c r="D97" s="19" t="s">
        <v>31</v>
      </c>
      <c r="E97" s="23"/>
      <c r="F97" s="34" t="s">
        <v>226</v>
      </c>
      <c r="G97" s="57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57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ht="12.75" customHeight="1">
      <c r="A98" s="134"/>
      <c r="B98" s="40" t="s">
        <v>227</v>
      </c>
      <c r="C98" s="41"/>
      <c r="D98" s="38" t="s">
        <v>31</v>
      </c>
      <c r="E98" s="42"/>
      <c r="F98" s="43" t="s">
        <v>224</v>
      </c>
      <c r="G98" s="57"/>
      <c r="H98" s="44">
        <v>46200.0</v>
      </c>
      <c r="I98" s="45">
        <v>0.75</v>
      </c>
      <c r="J98" s="27"/>
      <c r="K98" s="46"/>
      <c r="L98" s="134"/>
      <c r="M98" s="134"/>
      <c r="N98" s="134"/>
      <c r="O98" s="134"/>
      <c r="P98" s="134"/>
      <c r="Q98" s="134"/>
      <c r="R98" s="134"/>
      <c r="S98" s="57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ht="12.75" customHeight="1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ht="12.75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ht="13.5" customHeight="1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ht="12.75" customHeight="1">
      <c r="A102" s="134"/>
      <c r="B102" s="134"/>
      <c r="C102" s="134"/>
      <c r="D102" s="134"/>
      <c r="E102" s="134"/>
      <c r="F102" s="134"/>
      <c r="G102" s="134"/>
      <c r="H102" s="52"/>
      <c r="I102" s="52"/>
      <c r="J102" s="52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ht="12.75" customHeight="1">
      <c r="A103" s="134"/>
      <c r="B103" s="134"/>
      <c r="C103" s="134"/>
      <c r="D103" s="134"/>
      <c r="E103" s="134"/>
      <c r="F103" s="134"/>
      <c r="G103" s="134"/>
      <c r="H103" s="52"/>
      <c r="I103" s="52"/>
      <c r="J103" s="52"/>
      <c r="K103" s="134"/>
      <c r="L103" s="53"/>
      <c r="M103" s="53"/>
      <c r="N103" s="53"/>
      <c r="O103" s="53"/>
      <c r="P103" s="53"/>
      <c r="Q103" s="53"/>
      <c r="R103" s="53"/>
      <c r="S103" s="134"/>
      <c r="T103" s="134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ht="12.75" customHeight="1">
      <c r="A104" s="134"/>
      <c r="B104" s="134"/>
      <c r="C104" s="134"/>
      <c r="D104" s="134"/>
      <c r="E104" s="134"/>
      <c r="F104" s="134"/>
      <c r="G104" s="134"/>
      <c r="H104" s="52"/>
      <c r="I104" s="52"/>
      <c r="J104" s="52"/>
      <c r="K104" s="134"/>
      <c r="L104" s="53"/>
      <c r="M104" s="53"/>
      <c r="N104" s="53"/>
      <c r="O104" s="53"/>
      <c r="P104" s="53"/>
      <c r="Q104" s="53"/>
      <c r="R104" s="53"/>
      <c r="S104" s="134"/>
      <c r="T104" s="134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ht="12.75" customHeight="1">
      <c r="A105" s="134"/>
      <c r="B105" s="134"/>
      <c r="C105" s="134"/>
      <c r="D105" s="134"/>
      <c r="E105" s="134"/>
      <c r="F105" s="134"/>
      <c r="G105" s="134"/>
      <c r="H105" s="52"/>
      <c r="I105" s="52"/>
      <c r="J105" s="52"/>
      <c r="K105" s="134"/>
      <c r="L105" s="53"/>
      <c r="M105" s="53"/>
      <c r="N105" s="53"/>
      <c r="O105" s="53"/>
      <c r="P105" s="53"/>
      <c r="Q105" s="53"/>
      <c r="R105" s="53"/>
      <c r="S105" s="134"/>
      <c r="T105" s="134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ht="12.75" customHeight="1">
      <c r="A106" s="134"/>
      <c r="B106" s="134"/>
      <c r="C106" s="134"/>
      <c r="D106" s="134"/>
      <c r="E106" s="134"/>
      <c r="F106" s="134"/>
      <c r="G106" s="134"/>
      <c r="H106" s="52"/>
      <c r="I106" s="52"/>
      <c r="J106" s="52"/>
      <c r="K106" s="134"/>
      <c r="L106" s="53"/>
      <c r="M106" s="53"/>
      <c r="N106" s="53"/>
      <c r="O106" s="53"/>
      <c r="P106" s="53"/>
      <c r="Q106" s="53"/>
      <c r="R106" s="53"/>
      <c r="S106" s="134"/>
      <c r="T106" s="134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ht="12.75" customHeight="1">
      <c r="A107" s="134"/>
      <c r="B107" s="134"/>
      <c r="C107" s="134"/>
      <c r="D107" s="134"/>
      <c r="E107" s="134"/>
      <c r="F107" s="134"/>
      <c r="G107" s="134"/>
      <c r="H107" s="52"/>
      <c r="I107" s="52"/>
      <c r="J107" s="52"/>
      <c r="K107" s="134"/>
      <c r="L107" s="53"/>
      <c r="M107" s="53"/>
      <c r="N107" s="53"/>
      <c r="O107" s="53"/>
      <c r="P107" s="53"/>
      <c r="Q107" s="53"/>
      <c r="R107" s="53"/>
      <c r="S107" s="134"/>
      <c r="T107" s="134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ht="12.75" customHeight="1">
      <c r="A108" s="134"/>
      <c r="B108" s="134"/>
      <c r="C108" s="134"/>
      <c r="D108" s="134"/>
      <c r="E108" s="134"/>
      <c r="F108" s="134"/>
      <c r="G108" s="134"/>
      <c r="H108" s="52"/>
      <c r="I108" s="52"/>
      <c r="J108" s="52"/>
      <c r="K108" s="134"/>
      <c r="L108" s="53"/>
      <c r="M108" s="53"/>
      <c r="N108" s="53"/>
      <c r="O108" s="53"/>
      <c r="P108" s="53"/>
      <c r="Q108" s="53"/>
      <c r="R108" s="53"/>
      <c r="S108" s="134"/>
      <c r="T108" s="134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ht="12.75" customHeight="1">
      <c r="A109" s="134"/>
      <c r="B109" s="134"/>
      <c r="C109" s="134"/>
      <c r="D109" s="134"/>
      <c r="E109" s="134"/>
      <c r="F109" s="134"/>
      <c r="G109" s="134"/>
      <c r="H109" s="52"/>
      <c r="I109" s="52"/>
      <c r="J109" s="52"/>
      <c r="K109" s="134"/>
      <c r="L109" s="53"/>
      <c r="M109" s="53"/>
      <c r="N109" s="53"/>
      <c r="O109" s="53"/>
      <c r="P109" s="53"/>
      <c r="Q109" s="53"/>
      <c r="R109" s="53"/>
      <c r="S109" s="134"/>
      <c r="T109" s="134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ht="12.75" customHeight="1">
      <c r="A110" s="134"/>
      <c r="B110" s="134"/>
      <c r="C110" s="134"/>
      <c r="D110" s="134"/>
      <c r="E110" s="134"/>
      <c r="F110" s="134"/>
      <c r="G110" s="134"/>
      <c r="H110" s="52"/>
      <c r="I110" s="52"/>
      <c r="J110" s="52"/>
      <c r="K110" s="134"/>
      <c r="L110" s="53"/>
      <c r="M110" s="53"/>
      <c r="N110" s="53"/>
      <c r="O110" s="53"/>
      <c r="P110" s="53"/>
      <c r="Q110" s="53"/>
      <c r="R110" s="53"/>
      <c r="S110" s="134"/>
      <c r="T110" s="134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ht="12.75" customHeight="1">
      <c r="A111" s="134"/>
      <c r="B111" s="134"/>
      <c r="C111" s="134"/>
      <c r="D111" s="134"/>
      <c r="E111" s="134"/>
      <c r="F111" s="134"/>
      <c r="G111" s="134"/>
      <c r="H111" s="52"/>
      <c r="I111" s="52"/>
      <c r="J111" s="52"/>
      <c r="K111" s="134"/>
      <c r="L111" s="53"/>
      <c r="M111" s="53"/>
      <c r="N111" s="53"/>
      <c r="O111" s="53"/>
      <c r="P111" s="53"/>
      <c r="Q111" s="53"/>
      <c r="R111" s="53"/>
      <c r="S111" s="134"/>
      <c r="T111" s="134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ht="12.75" customHeight="1">
      <c r="A112" s="134"/>
      <c r="B112" s="134"/>
      <c r="C112" s="134"/>
      <c r="D112" s="134"/>
      <c r="E112" s="134"/>
      <c r="F112" s="134"/>
      <c r="G112" s="134"/>
      <c r="H112" s="52"/>
      <c r="I112" s="52"/>
      <c r="J112" s="52"/>
      <c r="K112" s="134"/>
      <c r="L112" s="53"/>
      <c r="M112" s="53"/>
      <c r="N112" s="53"/>
      <c r="O112" s="53"/>
      <c r="P112" s="53"/>
      <c r="Q112" s="53"/>
      <c r="R112" s="53"/>
      <c r="S112" s="134"/>
      <c r="T112" s="134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ht="12.75" customHeight="1">
      <c r="A113" s="134"/>
      <c r="B113" s="134"/>
      <c r="C113" s="134"/>
      <c r="D113" s="134"/>
      <c r="E113" s="134"/>
      <c r="F113" s="134"/>
      <c r="G113" s="134"/>
      <c r="H113" s="52"/>
      <c r="I113" s="52"/>
      <c r="J113" s="52"/>
      <c r="K113" s="134"/>
      <c r="L113" s="53"/>
      <c r="M113" s="53"/>
      <c r="N113" s="53"/>
      <c r="O113" s="53"/>
      <c r="P113" s="53"/>
      <c r="Q113" s="53"/>
      <c r="R113" s="53"/>
      <c r="S113" s="134"/>
      <c r="T113" s="134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ht="12.75" customHeight="1">
      <c r="A114" s="134"/>
      <c r="B114" s="134"/>
      <c r="C114" s="134"/>
      <c r="D114" s="134"/>
      <c r="E114" s="134"/>
      <c r="F114" s="134"/>
      <c r="G114" s="134"/>
      <c r="H114" s="52"/>
      <c r="I114" s="52"/>
      <c r="J114" s="52"/>
      <c r="K114" s="134"/>
      <c r="L114" s="53"/>
      <c r="M114" s="53"/>
      <c r="N114" s="53"/>
      <c r="O114" s="53"/>
      <c r="P114" s="53"/>
      <c r="Q114" s="53"/>
      <c r="R114" s="53"/>
      <c r="S114" s="134"/>
      <c r="T114" s="134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ht="12.75" customHeight="1">
      <c r="A115" s="134"/>
      <c r="B115" s="134"/>
      <c r="C115" s="134"/>
      <c r="D115" s="134"/>
      <c r="E115" s="134"/>
      <c r="F115" s="134"/>
      <c r="G115" s="134"/>
      <c r="H115" s="52"/>
      <c r="I115" s="52"/>
      <c r="J115" s="52"/>
      <c r="K115" s="134"/>
      <c r="L115" s="53"/>
      <c r="M115" s="53"/>
      <c r="N115" s="53"/>
      <c r="O115" s="53"/>
      <c r="P115" s="53"/>
      <c r="Q115" s="53"/>
      <c r="R115" s="53"/>
      <c r="S115" s="134"/>
      <c r="T115" s="134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ht="12.75" customHeight="1">
      <c r="A116" s="134"/>
      <c r="B116" s="134"/>
      <c r="C116" s="134"/>
      <c r="D116" s="134"/>
      <c r="E116" s="134"/>
      <c r="F116" s="134"/>
      <c r="G116" s="134"/>
      <c r="H116" s="52"/>
      <c r="I116" s="52"/>
      <c r="J116" s="52"/>
      <c r="K116" s="134"/>
      <c r="L116" s="53"/>
      <c r="M116" s="53"/>
      <c r="N116" s="53"/>
      <c r="O116" s="53"/>
      <c r="P116" s="53"/>
      <c r="Q116" s="53"/>
      <c r="R116" s="53"/>
      <c r="S116" s="134"/>
      <c r="T116" s="134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ht="12.75" customHeight="1">
      <c r="A117" s="134"/>
      <c r="B117" s="134"/>
      <c r="C117" s="134"/>
      <c r="D117" s="134"/>
      <c r="E117" s="134"/>
      <c r="F117" s="134"/>
      <c r="G117" s="134"/>
      <c r="H117" s="52"/>
      <c r="I117" s="52"/>
      <c r="J117" s="52"/>
      <c r="K117" s="134"/>
      <c r="L117" s="53"/>
      <c r="M117" s="53"/>
      <c r="N117" s="53"/>
      <c r="O117" s="53"/>
      <c r="P117" s="53"/>
      <c r="Q117" s="53"/>
      <c r="R117" s="53"/>
      <c r="S117" s="134"/>
      <c r="T117" s="134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ht="12.75" customHeight="1">
      <c r="A118" s="134"/>
      <c r="B118" s="134"/>
      <c r="C118" s="134"/>
      <c r="D118" s="134"/>
      <c r="E118" s="134"/>
      <c r="F118" s="134"/>
      <c r="G118" s="134"/>
      <c r="H118" s="52"/>
      <c r="I118" s="52"/>
      <c r="J118" s="52"/>
      <c r="K118" s="134"/>
      <c r="L118" s="53"/>
      <c r="M118" s="53"/>
      <c r="N118" s="53"/>
      <c r="O118" s="53"/>
      <c r="P118" s="53"/>
      <c r="Q118" s="53"/>
      <c r="R118" s="53"/>
      <c r="S118" s="134"/>
      <c r="T118" s="134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ht="12.75" customHeight="1">
      <c r="A119" s="134"/>
      <c r="B119" s="134"/>
      <c r="C119" s="134"/>
      <c r="D119" s="134"/>
      <c r="E119" s="134"/>
      <c r="F119" s="134"/>
      <c r="G119" s="134"/>
      <c r="H119" s="52"/>
      <c r="I119" s="52"/>
      <c r="J119" s="52"/>
      <c r="K119" s="134"/>
      <c r="L119" s="53"/>
      <c r="M119" s="53"/>
      <c r="N119" s="53"/>
      <c r="O119" s="53"/>
      <c r="P119" s="53"/>
      <c r="Q119" s="53"/>
      <c r="R119" s="53"/>
      <c r="S119" s="134"/>
      <c r="T119" s="134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ht="12.75" customHeight="1">
      <c r="A120" s="134"/>
      <c r="B120" s="134"/>
      <c r="C120" s="134"/>
      <c r="D120" s="134"/>
      <c r="E120" s="134"/>
      <c r="F120" s="134"/>
      <c r="G120" s="134"/>
      <c r="H120" s="52"/>
      <c r="I120" s="52"/>
      <c r="J120" s="52"/>
      <c r="K120" s="134"/>
      <c r="L120" s="53"/>
      <c r="M120" s="53"/>
      <c r="N120" s="53"/>
      <c r="O120" s="53"/>
      <c r="P120" s="53"/>
      <c r="Q120" s="53"/>
      <c r="R120" s="53"/>
      <c r="S120" s="134"/>
      <c r="T120" s="134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ht="12.75" customHeight="1">
      <c r="A121" s="134"/>
      <c r="B121" s="134"/>
      <c r="C121" s="134"/>
      <c r="D121" s="134"/>
      <c r="E121" s="134"/>
      <c r="F121" s="134"/>
      <c r="G121" s="134"/>
      <c r="H121" s="52"/>
      <c r="I121" s="52"/>
      <c r="J121" s="52"/>
      <c r="K121" s="134"/>
      <c r="L121" s="53"/>
      <c r="M121" s="53"/>
      <c r="N121" s="53"/>
      <c r="O121" s="53"/>
      <c r="P121" s="53"/>
      <c r="Q121" s="53"/>
      <c r="R121" s="53"/>
      <c r="S121" s="134"/>
      <c r="T121" s="134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ht="12.75" customHeight="1">
      <c r="A122" s="134"/>
      <c r="B122" s="134"/>
      <c r="C122" s="134"/>
      <c r="D122" s="134"/>
      <c r="E122" s="134"/>
      <c r="F122" s="134"/>
      <c r="G122" s="134"/>
      <c r="H122" s="52"/>
      <c r="I122" s="52"/>
      <c r="J122" s="52"/>
      <c r="K122" s="134"/>
      <c r="L122" s="53"/>
      <c r="M122" s="53"/>
      <c r="N122" s="53"/>
      <c r="O122" s="53"/>
      <c r="P122" s="53"/>
      <c r="Q122" s="53"/>
      <c r="R122" s="53"/>
      <c r="S122" s="134"/>
      <c r="T122" s="134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ht="12.75" customHeight="1">
      <c r="A123" s="134"/>
      <c r="B123" s="134"/>
      <c r="C123" s="134"/>
      <c r="D123" s="134"/>
      <c r="E123" s="134"/>
      <c r="F123" s="134"/>
      <c r="G123" s="134"/>
      <c r="H123" s="52"/>
      <c r="I123" s="52"/>
      <c r="J123" s="52"/>
      <c r="K123" s="134"/>
      <c r="L123" s="53"/>
      <c r="M123" s="53"/>
      <c r="N123" s="53"/>
      <c r="O123" s="53"/>
      <c r="P123" s="53"/>
      <c r="Q123" s="53"/>
      <c r="R123" s="53"/>
      <c r="S123" s="134"/>
      <c r="T123" s="134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ht="12.75" customHeight="1">
      <c r="A124" s="134"/>
      <c r="B124" s="134"/>
      <c r="C124" s="134"/>
      <c r="D124" s="134"/>
      <c r="E124" s="134"/>
      <c r="F124" s="134"/>
      <c r="G124" s="134"/>
      <c r="H124" s="52"/>
      <c r="I124" s="52"/>
      <c r="J124" s="52"/>
      <c r="K124" s="134"/>
      <c r="L124" s="53"/>
      <c r="M124" s="53"/>
      <c r="N124" s="53"/>
      <c r="O124" s="53"/>
      <c r="P124" s="53"/>
      <c r="Q124" s="53"/>
      <c r="R124" s="53"/>
      <c r="S124" s="134"/>
      <c r="T124" s="134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ht="12.75" customHeight="1">
      <c r="A125" s="134"/>
      <c r="B125" s="134"/>
      <c r="C125" s="134"/>
      <c r="D125" s="134"/>
      <c r="E125" s="134"/>
      <c r="F125" s="134"/>
      <c r="G125" s="134"/>
      <c r="H125" s="52"/>
      <c r="I125" s="52"/>
      <c r="J125" s="52"/>
      <c r="K125" s="134"/>
      <c r="L125" s="53"/>
      <c r="M125" s="53"/>
      <c r="N125" s="53"/>
      <c r="O125" s="53"/>
      <c r="P125" s="53"/>
      <c r="Q125" s="53"/>
      <c r="R125" s="53"/>
      <c r="S125" s="134"/>
      <c r="T125" s="134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ht="12.75" customHeight="1">
      <c r="A126" s="134"/>
      <c r="B126" s="134"/>
      <c r="C126" s="134"/>
      <c r="D126" s="134"/>
      <c r="E126" s="134"/>
      <c r="F126" s="134"/>
      <c r="G126" s="134"/>
      <c r="H126" s="52"/>
      <c r="I126" s="52"/>
      <c r="J126" s="52"/>
      <c r="K126" s="134"/>
      <c r="L126" s="53"/>
      <c r="M126" s="53"/>
      <c r="N126" s="53"/>
      <c r="O126" s="53"/>
      <c r="P126" s="53"/>
      <c r="Q126" s="53"/>
      <c r="R126" s="53"/>
      <c r="S126" s="134"/>
      <c r="T126" s="134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ht="12.75" customHeight="1">
      <c r="A127" s="134"/>
      <c r="B127" s="134"/>
      <c r="C127" s="134"/>
      <c r="D127" s="134"/>
      <c r="E127" s="134"/>
      <c r="F127" s="134"/>
      <c r="G127" s="134"/>
      <c r="H127" s="52"/>
      <c r="I127" s="52"/>
      <c r="J127" s="52"/>
      <c r="K127" s="134"/>
      <c r="L127" s="53"/>
      <c r="M127" s="53"/>
      <c r="N127" s="53"/>
      <c r="O127" s="53"/>
      <c r="P127" s="53"/>
      <c r="Q127" s="53"/>
      <c r="R127" s="53"/>
      <c r="S127" s="134"/>
      <c r="T127" s="134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ht="12.75" customHeight="1">
      <c r="A128" s="134"/>
      <c r="B128" s="134"/>
      <c r="C128" s="134"/>
      <c r="D128" s="134"/>
      <c r="E128" s="134"/>
      <c r="F128" s="134"/>
      <c r="G128" s="134"/>
      <c r="H128" s="52"/>
      <c r="I128" s="52"/>
      <c r="J128" s="52"/>
      <c r="K128" s="134"/>
      <c r="L128" s="53"/>
      <c r="M128" s="53"/>
      <c r="N128" s="53"/>
      <c r="O128" s="53"/>
      <c r="P128" s="53"/>
      <c r="Q128" s="53"/>
      <c r="R128" s="53"/>
      <c r="S128" s="134"/>
      <c r="T128" s="134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ht="12.75" customHeight="1">
      <c r="A129" s="134"/>
      <c r="B129" s="134"/>
      <c r="C129" s="134"/>
      <c r="D129" s="134"/>
      <c r="E129" s="134"/>
      <c r="F129" s="134"/>
      <c r="G129" s="134"/>
      <c r="H129" s="52"/>
      <c r="I129" s="52"/>
      <c r="J129" s="52"/>
      <c r="K129" s="134"/>
      <c r="L129" s="53"/>
      <c r="M129" s="53"/>
      <c r="N129" s="53"/>
      <c r="O129" s="53"/>
      <c r="P129" s="53"/>
      <c r="Q129" s="53"/>
      <c r="R129" s="53"/>
      <c r="S129" s="134"/>
      <c r="T129" s="134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ht="12.75" customHeight="1">
      <c r="A130" s="134"/>
      <c r="B130" s="134"/>
      <c r="C130" s="134"/>
      <c r="D130" s="134"/>
      <c r="E130" s="134"/>
      <c r="F130" s="134"/>
      <c r="G130" s="134"/>
      <c r="H130" s="52"/>
      <c r="I130" s="52"/>
      <c r="J130" s="52"/>
      <c r="K130" s="134"/>
      <c r="L130" s="53"/>
      <c r="M130" s="53"/>
      <c r="N130" s="53"/>
      <c r="O130" s="53"/>
      <c r="P130" s="53"/>
      <c r="Q130" s="53"/>
      <c r="R130" s="53"/>
      <c r="S130" s="134"/>
      <c r="T130" s="134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ht="12.75" customHeight="1">
      <c r="A131" s="134"/>
      <c r="B131" s="134"/>
      <c r="C131" s="134"/>
      <c r="D131" s="134"/>
      <c r="E131" s="134"/>
      <c r="F131" s="134"/>
      <c r="G131" s="134"/>
      <c r="H131" s="52"/>
      <c r="I131" s="52"/>
      <c r="J131" s="52"/>
      <c r="K131" s="134"/>
      <c r="L131" s="53"/>
      <c r="M131" s="53"/>
      <c r="N131" s="53"/>
      <c r="O131" s="53"/>
      <c r="P131" s="53"/>
      <c r="Q131" s="53"/>
      <c r="R131" s="53"/>
      <c r="S131" s="134"/>
      <c r="T131" s="134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ht="12.75" customHeight="1">
      <c r="A132" s="134"/>
      <c r="B132" s="134"/>
      <c r="C132" s="134"/>
      <c r="D132" s="134"/>
      <c r="E132" s="134"/>
      <c r="F132" s="134"/>
      <c r="G132" s="134"/>
      <c r="H132" s="52"/>
      <c r="I132" s="52"/>
      <c r="J132" s="52"/>
      <c r="K132" s="134"/>
      <c r="L132" s="53"/>
      <c r="M132" s="53"/>
      <c r="N132" s="53"/>
      <c r="O132" s="53"/>
      <c r="P132" s="53"/>
      <c r="Q132" s="53"/>
      <c r="R132" s="53"/>
      <c r="S132" s="134"/>
      <c r="T132" s="134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ht="12.75" customHeight="1">
      <c r="A133" s="134"/>
      <c r="B133" s="134"/>
      <c r="C133" s="134"/>
      <c r="D133" s="134"/>
      <c r="E133" s="134"/>
      <c r="F133" s="134"/>
      <c r="G133" s="134"/>
      <c r="H133" s="52"/>
      <c r="I133" s="52"/>
      <c r="J133" s="52"/>
      <c r="K133" s="134"/>
      <c r="L133" s="53"/>
      <c r="M133" s="53"/>
      <c r="N133" s="53"/>
      <c r="O133" s="53"/>
      <c r="P133" s="53"/>
      <c r="Q133" s="53"/>
      <c r="R133" s="53"/>
      <c r="S133" s="134"/>
      <c r="T133" s="134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ht="12.75" customHeight="1">
      <c r="A134" s="134"/>
      <c r="B134" s="134"/>
      <c r="C134" s="134"/>
      <c r="D134" s="134"/>
      <c r="E134" s="134"/>
      <c r="F134" s="134"/>
      <c r="G134" s="134"/>
      <c r="H134" s="52"/>
      <c r="I134" s="52"/>
      <c r="J134" s="52"/>
      <c r="K134" s="134"/>
      <c r="L134" s="53"/>
      <c r="M134" s="53"/>
      <c r="N134" s="53"/>
      <c r="O134" s="53"/>
      <c r="P134" s="53"/>
      <c r="Q134" s="53"/>
      <c r="R134" s="53"/>
      <c r="S134" s="134"/>
      <c r="T134" s="134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ht="12.75" customHeight="1">
      <c r="A135" s="134"/>
      <c r="B135" s="134"/>
      <c r="C135" s="134"/>
      <c r="D135" s="134"/>
      <c r="E135" s="134"/>
      <c r="F135" s="134"/>
      <c r="G135" s="134"/>
      <c r="H135" s="52"/>
      <c r="I135" s="52"/>
      <c r="J135" s="52"/>
      <c r="K135" s="134"/>
      <c r="L135" s="53"/>
      <c r="M135" s="53"/>
      <c r="N135" s="53"/>
      <c r="O135" s="53"/>
      <c r="P135" s="53"/>
      <c r="Q135" s="53"/>
      <c r="R135" s="53"/>
      <c r="S135" s="134"/>
      <c r="T135" s="134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ht="12.75" customHeight="1">
      <c r="A136" s="134"/>
      <c r="B136" s="134"/>
      <c r="C136" s="134"/>
      <c r="D136" s="134"/>
      <c r="E136" s="134"/>
      <c r="F136" s="134"/>
      <c r="G136" s="134"/>
      <c r="H136" s="52"/>
      <c r="I136" s="52"/>
      <c r="J136" s="52"/>
      <c r="K136" s="134"/>
      <c r="L136" s="53"/>
      <c r="M136" s="53"/>
      <c r="N136" s="53"/>
      <c r="O136" s="53"/>
      <c r="P136" s="53"/>
      <c r="Q136" s="53"/>
      <c r="R136" s="53"/>
      <c r="S136" s="134"/>
      <c r="T136" s="134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ht="12.75" customHeight="1">
      <c r="A137" s="134"/>
      <c r="B137" s="134"/>
      <c r="C137" s="134"/>
      <c r="D137" s="134"/>
      <c r="E137" s="134"/>
      <c r="F137" s="134"/>
      <c r="G137" s="134"/>
      <c r="H137" s="52"/>
      <c r="I137" s="52"/>
      <c r="J137" s="52"/>
      <c r="K137" s="134"/>
      <c r="L137" s="53"/>
      <c r="M137" s="53"/>
      <c r="N137" s="53"/>
      <c r="O137" s="53"/>
      <c r="P137" s="53"/>
      <c r="Q137" s="53"/>
      <c r="R137" s="53"/>
      <c r="S137" s="134"/>
      <c r="T137" s="134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ht="12.75" customHeight="1">
      <c r="A138" s="134"/>
      <c r="B138" s="134"/>
      <c r="C138" s="134"/>
      <c r="D138" s="134"/>
      <c r="E138" s="134"/>
      <c r="F138" s="134"/>
      <c r="G138" s="134"/>
      <c r="H138" s="52"/>
      <c r="I138" s="52"/>
      <c r="J138" s="52"/>
      <c r="K138" s="134"/>
      <c r="L138" s="53"/>
      <c r="M138" s="53"/>
      <c r="N138" s="53"/>
      <c r="O138" s="53"/>
      <c r="P138" s="53"/>
      <c r="Q138" s="53"/>
      <c r="R138" s="53"/>
      <c r="S138" s="134"/>
      <c r="T138" s="134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ht="12.75" customHeight="1">
      <c r="A139" s="134"/>
      <c r="B139" s="134"/>
      <c r="C139" s="134"/>
      <c r="D139" s="134"/>
      <c r="E139" s="134"/>
      <c r="F139" s="134"/>
      <c r="G139" s="134"/>
      <c r="H139" s="52"/>
      <c r="I139" s="52"/>
      <c r="J139" s="52"/>
      <c r="K139" s="134"/>
      <c r="L139" s="53"/>
      <c r="M139" s="53"/>
      <c r="N139" s="53"/>
      <c r="O139" s="53"/>
      <c r="P139" s="53"/>
      <c r="Q139" s="53"/>
      <c r="R139" s="53"/>
      <c r="S139" s="134"/>
      <c r="T139" s="134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ht="12.75" customHeight="1">
      <c r="A140" s="134"/>
      <c r="B140" s="134"/>
      <c r="C140" s="134"/>
      <c r="D140" s="134"/>
      <c r="E140" s="134"/>
      <c r="F140" s="134"/>
      <c r="G140" s="134"/>
      <c r="H140" s="52"/>
      <c r="I140" s="52"/>
      <c r="J140" s="52"/>
      <c r="K140" s="134"/>
      <c r="L140" s="53"/>
      <c r="M140" s="53"/>
      <c r="N140" s="53"/>
      <c r="O140" s="53"/>
      <c r="P140" s="53"/>
      <c r="Q140" s="53"/>
      <c r="R140" s="53"/>
      <c r="S140" s="134"/>
      <c r="T140" s="134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ht="12.75" customHeight="1">
      <c r="A141" s="134"/>
      <c r="B141" s="134"/>
      <c r="C141" s="134"/>
      <c r="D141" s="134"/>
      <c r="E141" s="134"/>
      <c r="F141" s="134"/>
      <c r="G141" s="134"/>
      <c r="H141" s="52"/>
      <c r="I141" s="52"/>
      <c r="J141" s="52"/>
      <c r="K141" s="134"/>
      <c r="L141" s="53"/>
      <c r="M141" s="53"/>
      <c r="N141" s="53"/>
      <c r="O141" s="53"/>
      <c r="P141" s="53"/>
      <c r="Q141" s="53"/>
      <c r="R141" s="53"/>
      <c r="S141" s="134"/>
      <c r="T141" s="134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ht="12.75" customHeight="1">
      <c r="A142" s="134"/>
      <c r="B142" s="134"/>
      <c r="C142" s="134"/>
      <c r="D142" s="134"/>
      <c r="E142" s="134"/>
      <c r="F142" s="134"/>
      <c r="G142" s="134"/>
      <c r="H142" s="52"/>
      <c r="I142" s="52"/>
      <c r="J142" s="52"/>
      <c r="K142" s="134"/>
      <c r="L142" s="53"/>
      <c r="M142" s="53"/>
      <c r="N142" s="53"/>
      <c r="O142" s="53"/>
      <c r="P142" s="53"/>
      <c r="Q142" s="53"/>
      <c r="R142" s="53"/>
      <c r="S142" s="134"/>
      <c r="T142" s="134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ht="12.75" customHeight="1">
      <c r="A143" s="134"/>
      <c r="B143" s="134"/>
      <c r="C143" s="134"/>
      <c r="D143" s="134"/>
      <c r="E143" s="134"/>
      <c r="F143" s="134"/>
      <c r="G143" s="134"/>
      <c r="H143" s="52"/>
      <c r="I143" s="52"/>
      <c r="J143" s="52"/>
      <c r="K143" s="134"/>
      <c r="L143" s="53"/>
      <c r="M143" s="53"/>
      <c r="N143" s="53"/>
      <c r="O143" s="53"/>
      <c r="P143" s="53"/>
      <c r="Q143" s="53"/>
      <c r="R143" s="53"/>
      <c r="S143" s="134"/>
      <c r="T143" s="134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ht="12.75" customHeight="1">
      <c r="A144" s="134"/>
      <c r="B144" s="134"/>
      <c r="C144" s="134"/>
      <c r="D144" s="134"/>
      <c r="E144" s="134"/>
      <c r="F144" s="134"/>
      <c r="G144" s="134"/>
      <c r="H144" s="52"/>
      <c r="I144" s="52"/>
      <c r="J144" s="52"/>
      <c r="K144" s="134"/>
      <c r="L144" s="53"/>
      <c r="M144" s="53"/>
      <c r="N144" s="53"/>
      <c r="O144" s="53"/>
      <c r="P144" s="53"/>
      <c r="Q144" s="53"/>
      <c r="R144" s="53"/>
      <c r="S144" s="134"/>
      <c r="T144" s="134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ht="12.75" customHeight="1">
      <c r="A145" s="134"/>
      <c r="B145" s="134"/>
      <c r="C145" s="134"/>
      <c r="D145" s="134"/>
      <c r="E145" s="134"/>
      <c r="F145" s="134"/>
      <c r="G145" s="134"/>
      <c r="H145" s="52"/>
      <c r="I145" s="52"/>
      <c r="J145" s="52"/>
      <c r="K145" s="134"/>
      <c r="L145" s="53"/>
      <c r="M145" s="53"/>
      <c r="N145" s="53"/>
      <c r="O145" s="53"/>
      <c r="P145" s="53"/>
      <c r="Q145" s="53"/>
      <c r="R145" s="53"/>
      <c r="S145" s="134"/>
      <c r="T145" s="134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ht="12.75" customHeight="1">
      <c r="A146" s="134"/>
      <c r="B146" s="134"/>
      <c r="C146" s="134"/>
      <c r="D146" s="134"/>
      <c r="E146" s="134"/>
      <c r="F146" s="134"/>
      <c r="G146" s="134"/>
      <c r="H146" s="52"/>
      <c r="I146" s="52"/>
      <c r="J146" s="52"/>
      <c r="K146" s="134"/>
      <c r="L146" s="53"/>
      <c r="M146" s="53"/>
      <c r="N146" s="53"/>
      <c r="O146" s="53"/>
      <c r="P146" s="53"/>
      <c r="Q146" s="53"/>
      <c r="R146" s="53"/>
      <c r="S146" s="134"/>
      <c r="T146" s="134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ht="12.75" customHeight="1">
      <c r="A147" s="134"/>
      <c r="B147" s="134"/>
      <c r="C147" s="134"/>
      <c r="D147" s="134"/>
      <c r="E147" s="134"/>
      <c r="F147" s="134"/>
      <c r="G147" s="134"/>
      <c r="H147" s="52"/>
      <c r="I147" s="52"/>
      <c r="J147" s="52"/>
      <c r="K147" s="134"/>
      <c r="L147" s="53"/>
      <c r="M147" s="53"/>
      <c r="N147" s="53"/>
      <c r="O147" s="53"/>
      <c r="P147" s="53"/>
      <c r="Q147" s="53"/>
      <c r="R147" s="53"/>
      <c r="S147" s="134"/>
      <c r="T147" s="134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ht="12.75" customHeight="1">
      <c r="A148" s="134"/>
      <c r="B148" s="134"/>
      <c r="C148" s="134"/>
      <c r="D148" s="134"/>
      <c r="E148" s="134"/>
      <c r="F148" s="134"/>
      <c r="G148" s="134"/>
      <c r="H148" s="52"/>
      <c r="I148" s="52"/>
      <c r="J148" s="52"/>
      <c r="K148" s="134"/>
      <c r="L148" s="53"/>
      <c r="M148" s="53"/>
      <c r="N148" s="53"/>
      <c r="O148" s="53"/>
      <c r="P148" s="53"/>
      <c r="Q148" s="53"/>
      <c r="R148" s="53"/>
      <c r="S148" s="134"/>
      <c r="T148" s="134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ht="12.75" customHeight="1">
      <c r="A149" s="134"/>
      <c r="B149" s="134"/>
      <c r="C149" s="134"/>
      <c r="D149" s="134"/>
      <c r="E149" s="134"/>
      <c r="F149" s="134"/>
      <c r="G149" s="134"/>
      <c r="H149" s="52"/>
      <c r="I149" s="52"/>
      <c r="J149" s="52"/>
      <c r="K149" s="134"/>
      <c r="L149" s="53"/>
      <c r="M149" s="53"/>
      <c r="N149" s="53"/>
      <c r="O149" s="53"/>
      <c r="P149" s="53"/>
      <c r="Q149" s="53"/>
      <c r="R149" s="53"/>
      <c r="S149" s="134"/>
      <c r="T149" s="134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ht="12.75" customHeight="1">
      <c r="A150" s="134"/>
      <c r="B150" s="134"/>
      <c r="C150" s="134"/>
      <c r="D150" s="134"/>
      <c r="E150" s="134"/>
      <c r="F150" s="134"/>
      <c r="G150" s="134"/>
      <c r="H150" s="52"/>
      <c r="I150" s="52"/>
      <c r="J150" s="52"/>
      <c r="K150" s="134"/>
      <c r="L150" s="53"/>
      <c r="M150" s="53"/>
      <c r="N150" s="53"/>
      <c r="O150" s="53"/>
      <c r="P150" s="53"/>
      <c r="Q150" s="53"/>
      <c r="R150" s="53"/>
      <c r="S150" s="134"/>
      <c r="T150" s="134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ht="12.75" customHeight="1">
      <c r="A151" s="134"/>
      <c r="B151" s="134"/>
      <c r="C151" s="134"/>
      <c r="D151" s="134"/>
      <c r="E151" s="134"/>
      <c r="F151" s="134"/>
      <c r="G151" s="134"/>
      <c r="H151" s="52"/>
      <c r="I151" s="52"/>
      <c r="J151" s="52"/>
      <c r="K151" s="134"/>
      <c r="L151" s="53"/>
      <c r="M151" s="53"/>
      <c r="N151" s="53"/>
      <c r="O151" s="53"/>
      <c r="P151" s="53"/>
      <c r="Q151" s="53"/>
      <c r="R151" s="53"/>
      <c r="S151" s="134"/>
      <c r="T151" s="134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ht="12.75" customHeight="1">
      <c r="A152" s="134"/>
      <c r="B152" s="134"/>
      <c r="C152" s="134"/>
      <c r="D152" s="134"/>
      <c r="E152" s="134"/>
      <c r="F152" s="134"/>
      <c r="G152" s="134"/>
      <c r="H152" s="52"/>
      <c r="I152" s="52"/>
      <c r="J152" s="52"/>
      <c r="K152" s="134"/>
      <c r="L152" s="53"/>
      <c r="M152" s="53"/>
      <c r="N152" s="53"/>
      <c r="O152" s="53"/>
      <c r="P152" s="53"/>
      <c r="Q152" s="53"/>
      <c r="R152" s="53"/>
      <c r="S152" s="134"/>
      <c r="T152" s="134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ht="12.75" customHeight="1">
      <c r="A153" s="134"/>
      <c r="B153" s="134"/>
      <c r="C153" s="134"/>
      <c r="D153" s="134"/>
      <c r="E153" s="134"/>
      <c r="F153" s="134"/>
      <c r="G153" s="134"/>
      <c r="H153" s="52"/>
      <c r="I153" s="52"/>
      <c r="J153" s="52"/>
      <c r="K153" s="134"/>
      <c r="L153" s="53"/>
      <c r="M153" s="53"/>
      <c r="N153" s="53"/>
      <c r="O153" s="53"/>
      <c r="P153" s="53"/>
      <c r="Q153" s="53"/>
      <c r="R153" s="53"/>
      <c r="S153" s="134"/>
      <c r="T153" s="134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ht="12.75" customHeight="1">
      <c r="A154" s="134"/>
      <c r="B154" s="134"/>
      <c r="C154" s="134"/>
      <c r="D154" s="134"/>
      <c r="E154" s="134"/>
      <c r="F154" s="134"/>
      <c r="G154" s="134"/>
      <c r="H154" s="52"/>
      <c r="I154" s="52"/>
      <c r="J154" s="52"/>
      <c r="K154" s="134"/>
      <c r="L154" s="53"/>
      <c r="M154" s="53"/>
      <c r="N154" s="53"/>
      <c r="O154" s="53"/>
      <c r="P154" s="53"/>
      <c r="Q154" s="53"/>
      <c r="R154" s="53"/>
      <c r="S154" s="134"/>
      <c r="T154" s="134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ht="12.75" customHeight="1">
      <c r="A155" s="134"/>
      <c r="B155" s="134"/>
      <c r="C155" s="134"/>
      <c r="D155" s="134"/>
      <c r="E155" s="134"/>
      <c r="F155" s="134"/>
      <c r="G155" s="134"/>
      <c r="H155" s="52"/>
      <c r="I155" s="52"/>
      <c r="J155" s="52"/>
      <c r="K155" s="134"/>
      <c r="L155" s="53"/>
      <c r="M155" s="53"/>
      <c r="N155" s="53"/>
      <c r="O155" s="53"/>
      <c r="P155" s="53"/>
      <c r="Q155" s="53"/>
      <c r="R155" s="53"/>
      <c r="S155" s="134"/>
      <c r="T155" s="134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ht="12.75" customHeight="1">
      <c r="A156" s="134"/>
      <c r="B156" s="134"/>
      <c r="C156" s="134"/>
      <c r="D156" s="134"/>
      <c r="E156" s="134"/>
      <c r="F156" s="134"/>
      <c r="G156" s="134"/>
      <c r="H156" s="52"/>
      <c r="I156" s="52"/>
      <c r="J156" s="52"/>
      <c r="K156" s="134"/>
      <c r="L156" s="53"/>
      <c r="M156" s="53"/>
      <c r="N156" s="53"/>
      <c r="O156" s="53"/>
      <c r="P156" s="53"/>
      <c r="Q156" s="53"/>
      <c r="R156" s="53"/>
      <c r="S156" s="134"/>
      <c r="T156" s="134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ht="12.75" customHeight="1">
      <c r="A157" s="134"/>
      <c r="B157" s="134"/>
      <c r="C157" s="134"/>
      <c r="D157" s="134"/>
      <c r="E157" s="134"/>
      <c r="F157" s="134"/>
      <c r="G157" s="134"/>
      <c r="H157" s="52"/>
      <c r="I157" s="52"/>
      <c r="J157" s="52"/>
      <c r="K157" s="134"/>
      <c r="L157" s="53"/>
      <c r="M157" s="53"/>
      <c r="N157" s="53"/>
      <c r="O157" s="53"/>
      <c r="P157" s="53"/>
      <c r="Q157" s="53"/>
      <c r="R157" s="53"/>
      <c r="S157" s="134"/>
      <c r="T157" s="134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ht="12.75" customHeight="1">
      <c r="A158" s="134"/>
      <c r="B158" s="134"/>
      <c r="C158" s="134"/>
      <c r="D158" s="134"/>
      <c r="E158" s="134"/>
      <c r="F158" s="134"/>
      <c r="G158" s="134"/>
      <c r="H158" s="52"/>
      <c r="I158" s="52"/>
      <c r="J158" s="52"/>
      <c r="K158" s="134"/>
      <c r="L158" s="53"/>
      <c r="M158" s="53"/>
      <c r="N158" s="53"/>
      <c r="O158" s="53"/>
      <c r="P158" s="53"/>
      <c r="Q158" s="53"/>
      <c r="R158" s="53"/>
      <c r="S158" s="134"/>
      <c r="T158" s="134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ht="12.75" customHeight="1">
      <c r="A159" s="134"/>
      <c r="B159" s="134"/>
      <c r="C159" s="134"/>
      <c r="D159" s="134"/>
      <c r="E159" s="134"/>
      <c r="F159" s="134"/>
      <c r="G159" s="134"/>
      <c r="H159" s="52"/>
      <c r="I159" s="52"/>
      <c r="J159" s="52"/>
      <c r="K159" s="134"/>
      <c r="L159" s="53"/>
      <c r="M159" s="53"/>
      <c r="N159" s="53"/>
      <c r="O159" s="53"/>
      <c r="P159" s="53"/>
      <c r="Q159" s="53"/>
      <c r="R159" s="53"/>
      <c r="S159" s="134"/>
      <c r="T159" s="134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ht="12.75" customHeight="1">
      <c r="A160" s="134"/>
      <c r="B160" s="134"/>
      <c r="C160" s="134"/>
      <c r="D160" s="134"/>
      <c r="E160" s="134"/>
      <c r="F160" s="134"/>
      <c r="G160" s="134"/>
      <c r="H160" s="52"/>
      <c r="I160" s="52"/>
      <c r="J160" s="52"/>
      <c r="K160" s="134"/>
      <c r="L160" s="53"/>
      <c r="M160" s="53"/>
      <c r="N160" s="53"/>
      <c r="O160" s="53"/>
      <c r="P160" s="53"/>
      <c r="Q160" s="53"/>
      <c r="R160" s="53"/>
      <c r="S160" s="134"/>
      <c r="T160" s="134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ht="12.75" customHeight="1">
      <c r="A161" s="134"/>
      <c r="B161" s="134"/>
      <c r="C161" s="134"/>
      <c r="D161" s="134"/>
      <c r="E161" s="134"/>
      <c r="F161" s="134"/>
      <c r="G161" s="134"/>
      <c r="H161" s="52"/>
      <c r="I161" s="52"/>
      <c r="J161" s="52"/>
      <c r="K161" s="134"/>
      <c r="L161" s="53"/>
      <c r="M161" s="53"/>
      <c r="N161" s="53"/>
      <c r="O161" s="53"/>
      <c r="P161" s="53"/>
      <c r="Q161" s="53"/>
      <c r="R161" s="53"/>
      <c r="S161" s="134"/>
      <c r="T161" s="134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ht="12.75" customHeight="1">
      <c r="A162" s="134"/>
      <c r="B162" s="134"/>
      <c r="C162" s="134"/>
      <c r="D162" s="134"/>
      <c r="E162" s="134"/>
      <c r="F162" s="134"/>
      <c r="G162" s="134"/>
      <c r="H162" s="52"/>
      <c r="I162" s="52"/>
      <c r="J162" s="52"/>
      <c r="K162" s="134"/>
      <c r="L162" s="53"/>
      <c r="M162" s="53"/>
      <c r="N162" s="53"/>
      <c r="O162" s="53"/>
      <c r="P162" s="53"/>
      <c r="Q162" s="53"/>
      <c r="R162" s="53"/>
      <c r="S162" s="134"/>
      <c r="T162" s="134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ht="12.75" customHeight="1">
      <c r="A163" s="134"/>
      <c r="B163" s="134"/>
      <c r="C163" s="134"/>
      <c r="D163" s="134"/>
      <c r="E163" s="134"/>
      <c r="F163" s="134"/>
      <c r="G163" s="134"/>
      <c r="H163" s="52"/>
      <c r="I163" s="52"/>
      <c r="J163" s="52"/>
      <c r="K163" s="134"/>
      <c r="L163" s="53"/>
      <c r="M163" s="53"/>
      <c r="N163" s="53"/>
      <c r="O163" s="53"/>
      <c r="P163" s="53"/>
      <c r="Q163" s="53"/>
      <c r="R163" s="53"/>
      <c r="S163" s="134"/>
      <c r="T163" s="134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ht="12.75" customHeight="1">
      <c r="A164" s="134"/>
      <c r="B164" s="134"/>
      <c r="C164" s="134"/>
      <c r="D164" s="134"/>
      <c r="E164" s="134"/>
      <c r="F164" s="134"/>
      <c r="G164" s="134"/>
      <c r="H164" s="52"/>
      <c r="I164" s="52"/>
      <c r="J164" s="52"/>
      <c r="K164" s="134"/>
      <c r="L164" s="53"/>
      <c r="M164" s="53"/>
      <c r="N164" s="53"/>
      <c r="O164" s="53"/>
      <c r="P164" s="53"/>
      <c r="Q164" s="53"/>
      <c r="R164" s="53"/>
      <c r="S164" s="134"/>
      <c r="T164" s="134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ht="12.75" customHeight="1">
      <c r="A165" s="134"/>
      <c r="B165" s="134"/>
      <c r="C165" s="134"/>
      <c r="D165" s="134"/>
      <c r="E165" s="134"/>
      <c r="F165" s="134"/>
      <c r="G165" s="134"/>
      <c r="H165" s="52"/>
      <c r="I165" s="52"/>
      <c r="J165" s="52"/>
      <c r="K165" s="134"/>
      <c r="L165" s="53"/>
      <c r="M165" s="53"/>
      <c r="N165" s="53"/>
      <c r="O165" s="53"/>
      <c r="P165" s="53"/>
      <c r="Q165" s="53"/>
      <c r="R165" s="53"/>
      <c r="S165" s="134"/>
      <c r="T165" s="134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ht="12.75" customHeight="1">
      <c r="A166" s="134"/>
      <c r="B166" s="134"/>
      <c r="C166" s="134"/>
      <c r="D166" s="134"/>
      <c r="E166" s="134"/>
      <c r="F166" s="134"/>
      <c r="G166" s="134"/>
      <c r="H166" s="52"/>
      <c r="I166" s="52"/>
      <c r="J166" s="52"/>
      <c r="K166" s="134"/>
      <c r="L166" s="53"/>
      <c r="M166" s="53"/>
      <c r="N166" s="53"/>
      <c r="O166" s="53"/>
      <c r="P166" s="53"/>
      <c r="Q166" s="53"/>
      <c r="R166" s="53"/>
      <c r="S166" s="134"/>
      <c r="T166" s="134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ht="12.75" customHeight="1">
      <c r="A167" s="134"/>
      <c r="B167" s="134"/>
      <c r="C167" s="134"/>
      <c r="D167" s="134"/>
      <c r="E167" s="134"/>
      <c r="F167" s="134"/>
      <c r="G167" s="134"/>
      <c r="H167" s="52"/>
      <c r="I167" s="52"/>
      <c r="J167" s="52"/>
      <c r="K167" s="134"/>
      <c r="L167" s="53"/>
      <c r="M167" s="53"/>
      <c r="N167" s="53"/>
      <c r="O167" s="53"/>
      <c r="P167" s="53"/>
      <c r="Q167" s="53"/>
      <c r="R167" s="53"/>
      <c r="S167" s="134"/>
      <c r="T167" s="134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ht="12.75" customHeight="1">
      <c r="A168" s="134"/>
      <c r="B168" s="134"/>
      <c r="C168" s="134"/>
      <c r="D168" s="134"/>
      <c r="E168" s="134"/>
      <c r="F168" s="134"/>
      <c r="G168" s="134"/>
      <c r="H168" s="52"/>
      <c r="I168" s="52"/>
      <c r="J168" s="52"/>
      <c r="K168" s="134"/>
      <c r="L168" s="53"/>
      <c r="M168" s="53"/>
      <c r="N168" s="53"/>
      <c r="O168" s="53"/>
      <c r="P168" s="53"/>
      <c r="Q168" s="53"/>
      <c r="R168" s="53"/>
      <c r="S168" s="134"/>
      <c r="T168" s="134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ht="12.75" customHeight="1">
      <c r="A169" s="134"/>
      <c r="B169" s="134"/>
      <c r="C169" s="134"/>
      <c r="D169" s="134"/>
      <c r="E169" s="134"/>
      <c r="F169" s="134"/>
      <c r="G169" s="134"/>
      <c r="H169" s="52"/>
      <c r="I169" s="52"/>
      <c r="J169" s="52"/>
      <c r="K169" s="134"/>
      <c r="L169" s="53"/>
      <c r="M169" s="53"/>
      <c r="N169" s="53"/>
      <c r="O169" s="53"/>
      <c r="P169" s="53"/>
      <c r="Q169" s="53"/>
      <c r="R169" s="53"/>
      <c r="S169" s="134"/>
      <c r="T169" s="134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ht="12.75" customHeight="1">
      <c r="A170" s="134"/>
      <c r="B170" s="134"/>
      <c r="C170" s="134"/>
      <c r="D170" s="134"/>
      <c r="E170" s="134"/>
      <c r="F170" s="134"/>
      <c r="G170" s="134"/>
      <c r="H170" s="52"/>
      <c r="I170" s="52"/>
      <c r="J170" s="52"/>
      <c r="K170" s="134"/>
      <c r="L170" s="53"/>
      <c r="M170" s="53"/>
      <c r="N170" s="53"/>
      <c r="O170" s="53"/>
      <c r="P170" s="53"/>
      <c r="Q170" s="53"/>
      <c r="R170" s="53"/>
      <c r="S170" s="134"/>
      <c r="T170" s="134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ht="12.75" customHeight="1">
      <c r="A171" s="134"/>
      <c r="B171" s="134"/>
      <c r="C171" s="134"/>
      <c r="D171" s="134"/>
      <c r="E171" s="134"/>
      <c r="F171" s="134"/>
      <c r="G171" s="134"/>
      <c r="H171" s="52"/>
      <c r="I171" s="52"/>
      <c r="J171" s="52"/>
      <c r="K171" s="134"/>
      <c r="L171" s="53"/>
      <c r="M171" s="53"/>
      <c r="N171" s="53"/>
      <c r="O171" s="53"/>
      <c r="P171" s="53"/>
      <c r="Q171" s="53"/>
      <c r="R171" s="53"/>
      <c r="S171" s="134"/>
      <c r="T171" s="134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ht="12.75" customHeight="1">
      <c r="A172" s="134"/>
      <c r="B172" s="134"/>
      <c r="C172" s="134"/>
      <c r="D172" s="134"/>
      <c r="E172" s="134"/>
      <c r="F172" s="134"/>
      <c r="G172" s="134"/>
      <c r="H172" s="52"/>
      <c r="I172" s="52"/>
      <c r="J172" s="52"/>
      <c r="K172" s="134"/>
      <c r="L172" s="53"/>
      <c r="M172" s="53"/>
      <c r="N172" s="53"/>
      <c r="O172" s="53"/>
      <c r="P172" s="53"/>
      <c r="Q172" s="53"/>
      <c r="R172" s="53"/>
      <c r="S172" s="134"/>
      <c r="T172" s="134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ht="12.75" customHeight="1">
      <c r="A173" s="134"/>
      <c r="B173" s="134"/>
      <c r="C173" s="134"/>
      <c r="D173" s="134"/>
      <c r="E173" s="134"/>
      <c r="F173" s="134"/>
      <c r="G173" s="134"/>
      <c r="H173" s="52"/>
      <c r="I173" s="52"/>
      <c r="J173" s="52"/>
      <c r="K173" s="134"/>
      <c r="L173" s="53"/>
      <c r="M173" s="53"/>
      <c r="N173" s="53"/>
      <c r="O173" s="53"/>
      <c r="P173" s="53"/>
      <c r="Q173" s="53"/>
      <c r="R173" s="53"/>
      <c r="S173" s="134"/>
      <c r="T173" s="134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ht="12.75" customHeight="1">
      <c r="A174" s="134"/>
      <c r="B174" s="134"/>
      <c r="C174" s="134"/>
      <c r="D174" s="134"/>
      <c r="E174" s="134"/>
      <c r="F174" s="134"/>
      <c r="G174" s="134"/>
      <c r="H174" s="52"/>
      <c r="I174" s="52"/>
      <c r="J174" s="52"/>
      <c r="K174" s="134"/>
      <c r="L174" s="53"/>
      <c r="M174" s="53"/>
      <c r="N174" s="53"/>
      <c r="O174" s="53"/>
      <c r="P174" s="53"/>
      <c r="Q174" s="53"/>
      <c r="R174" s="53"/>
      <c r="S174" s="134"/>
      <c r="T174" s="134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ht="12.75" customHeight="1">
      <c r="A175" s="134"/>
      <c r="B175" s="134"/>
      <c r="C175" s="134"/>
      <c r="D175" s="134"/>
      <c r="E175" s="134"/>
      <c r="F175" s="134"/>
      <c r="G175" s="134"/>
      <c r="H175" s="52"/>
      <c r="I175" s="52"/>
      <c r="J175" s="52"/>
      <c r="K175" s="134"/>
      <c r="L175" s="53"/>
      <c r="M175" s="53"/>
      <c r="N175" s="53"/>
      <c r="O175" s="53"/>
      <c r="P175" s="53"/>
      <c r="Q175" s="53"/>
      <c r="R175" s="53"/>
      <c r="S175" s="134"/>
      <c r="T175" s="134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ht="12.75" customHeight="1">
      <c r="A176" s="134"/>
      <c r="B176" s="134"/>
      <c r="C176" s="134"/>
      <c r="D176" s="134"/>
      <c r="E176" s="134"/>
      <c r="F176" s="134"/>
      <c r="G176" s="134"/>
      <c r="H176" s="52"/>
      <c r="I176" s="52"/>
      <c r="J176" s="52"/>
      <c r="K176" s="134"/>
      <c r="L176" s="53"/>
      <c r="M176" s="53"/>
      <c r="N176" s="53"/>
      <c r="O176" s="53"/>
      <c r="P176" s="53"/>
      <c r="Q176" s="53"/>
      <c r="R176" s="53"/>
      <c r="S176" s="134"/>
      <c r="T176" s="134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ht="12.75" customHeight="1">
      <c r="A177" s="134"/>
      <c r="B177" s="134"/>
      <c r="C177" s="134"/>
      <c r="D177" s="134"/>
      <c r="E177" s="134"/>
      <c r="F177" s="134"/>
      <c r="G177" s="134"/>
      <c r="H177" s="52"/>
      <c r="I177" s="52"/>
      <c r="J177" s="52"/>
      <c r="K177" s="134"/>
      <c r="L177" s="53"/>
      <c r="M177" s="53"/>
      <c r="N177" s="53"/>
      <c r="O177" s="53"/>
      <c r="P177" s="53"/>
      <c r="Q177" s="53"/>
      <c r="R177" s="53"/>
      <c r="S177" s="134"/>
      <c r="T177" s="134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ht="12.75" customHeight="1">
      <c r="A178" s="134"/>
      <c r="B178" s="134"/>
      <c r="C178" s="134"/>
      <c r="D178" s="134"/>
      <c r="E178" s="134"/>
      <c r="F178" s="134"/>
      <c r="G178" s="134"/>
      <c r="H178" s="52"/>
      <c r="I178" s="52"/>
      <c r="J178" s="52"/>
      <c r="K178" s="134"/>
      <c r="L178" s="53"/>
      <c r="M178" s="53"/>
      <c r="N178" s="53"/>
      <c r="O178" s="53"/>
      <c r="P178" s="53"/>
      <c r="Q178" s="53"/>
      <c r="R178" s="53"/>
      <c r="S178" s="134"/>
      <c r="T178" s="134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ht="12.75" customHeight="1">
      <c r="A179" s="134"/>
      <c r="B179" s="134"/>
      <c r="C179" s="134"/>
      <c r="D179" s="134"/>
      <c r="E179" s="134"/>
      <c r="F179" s="134"/>
      <c r="G179" s="134"/>
      <c r="H179" s="52"/>
      <c r="I179" s="52"/>
      <c r="J179" s="52"/>
      <c r="K179" s="134"/>
      <c r="L179" s="53"/>
      <c r="M179" s="53"/>
      <c r="N179" s="53"/>
      <c r="O179" s="53"/>
      <c r="P179" s="53"/>
      <c r="Q179" s="53"/>
      <c r="R179" s="53"/>
      <c r="S179" s="134"/>
      <c r="T179" s="134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ht="12.75" customHeight="1">
      <c r="A180" s="134"/>
      <c r="B180" s="134"/>
      <c r="C180" s="134"/>
      <c r="D180" s="134"/>
      <c r="E180" s="134"/>
      <c r="F180" s="134"/>
      <c r="G180" s="134"/>
      <c r="H180" s="52"/>
      <c r="I180" s="52"/>
      <c r="J180" s="52"/>
      <c r="K180" s="134"/>
      <c r="L180" s="53"/>
      <c r="M180" s="53"/>
      <c r="N180" s="53"/>
      <c r="O180" s="53"/>
      <c r="P180" s="53"/>
      <c r="Q180" s="53"/>
      <c r="R180" s="53"/>
      <c r="S180" s="134"/>
      <c r="T180" s="134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ht="12.75" customHeight="1">
      <c r="A181" s="134"/>
      <c r="B181" s="134"/>
      <c r="C181" s="134"/>
      <c r="D181" s="134"/>
      <c r="E181" s="134"/>
      <c r="F181" s="134"/>
      <c r="G181" s="134"/>
      <c r="H181" s="52"/>
      <c r="I181" s="52"/>
      <c r="J181" s="52"/>
      <c r="K181" s="134"/>
      <c r="L181" s="53"/>
      <c r="M181" s="53"/>
      <c r="N181" s="53"/>
      <c r="O181" s="53"/>
      <c r="P181" s="53"/>
      <c r="Q181" s="53"/>
      <c r="R181" s="53"/>
      <c r="S181" s="134"/>
      <c r="T181" s="134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ht="12.75" customHeight="1">
      <c r="A182" s="134"/>
      <c r="B182" s="134"/>
      <c r="C182" s="134"/>
      <c r="D182" s="134"/>
      <c r="E182" s="134"/>
      <c r="F182" s="134"/>
      <c r="G182" s="134"/>
      <c r="H182" s="52"/>
      <c r="I182" s="52"/>
      <c r="J182" s="52"/>
      <c r="K182" s="134"/>
      <c r="L182" s="53"/>
      <c r="M182" s="53"/>
      <c r="N182" s="53"/>
      <c r="O182" s="53"/>
      <c r="P182" s="53"/>
      <c r="Q182" s="53"/>
      <c r="R182" s="53"/>
      <c r="S182" s="134"/>
      <c r="T182" s="134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ht="12.75" customHeight="1">
      <c r="A183" s="134"/>
      <c r="B183" s="134"/>
      <c r="C183" s="134"/>
      <c r="D183" s="134"/>
      <c r="E183" s="134"/>
      <c r="F183" s="134"/>
      <c r="G183" s="134"/>
      <c r="H183" s="52"/>
      <c r="I183" s="52"/>
      <c r="J183" s="52"/>
      <c r="K183" s="134"/>
      <c r="L183" s="53"/>
      <c r="M183" s="53"/>
      <c r="N183" s="53"/>
      <c r="O183" s="53"/>
      <c r="P183" s="53"/>
      <c r="Q183" s="53"/>
      <c r="R183" s="53"/>
      <c r="S183" s="134"/>
      <c r="T183" s="134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ht="12.75" customHeight="1">
      <c r="A184" s="134"/>
      <c r="B184" s="134"/>
      <c r="C184" s="134"/>
      <c r="D184" s="134"/>
      <c r="E184" s="134"/>
      <c r="F184" s="134"/>
      <c r="G184" s="134"/>
      <c r="H184" s="52"/>
      <c r="I184" s="52"/>
      <c r="J184" s="52"/>
      <c r="K184" s="134"/>
      <c r="L184" s="53"/>
      <c r="M184" s="53"/>
      <c r="N184" s="53"/>
      <c r="O184" s="53"/>
      <c r="P184" s="53"/>
      <c r="Q184" s="53"/>
      <c r="R184" s="53"/>
      <c r="S184" s="134"/>
      <c r="T184" s="134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ht="12.75" customHeight="1">
      <c r="A185" s="134"/>
      <c r="B185" s="134"/>
      <c r="C185" s="134"/>
      <c r="D185" s="134"/>
      <c r="E185" s="134"/>
      <c r="F185" s="134"/>
      <c r="G185" s="134"/>
      <c r="H185" s="52"/>
      <c r="I185" s="52"/>
      <c r="J185" s="52"/>
      <c r="K185" s="134"/>
      <c r="L185" s="53"/>
      <c r="M185" s="53"/>
      <c r="N185" s="53"/>
      <c r="O185" s="53"/>
      <c r="P185" s="53"/>
      <c r="Q185" s="53"/>
      <c r="R185" s="53"/>
      <c r="S185" s="134"/>
      <c r="T185" s="134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ht="12.75" customHeight="1">
      <c r="A186" s="134"/>
      <c r="B186" s="134"/>
      <c r="C186" s="134"/>
      <c r="D186" s="134"/>
      <c r="E186" s="134"/>
      <c r="F186" s="134"/>
      <c r="G186" s="134"/>
      <c r="H186" s="52"/>
      <c r="I186" s="52"/>
      <c r="J186" s="52"/>
      <c r="K186" s="134"/>
      <c r="L186" s="53"/>
      <c r="M186" s="53"/>
      <c r="N186" s="53"/>
      <c r="O186" s="53"/>
      <c r="P186" s="53"/>
      <c r="Q186" s="53"/>
      <c r="R186" s="53"/>
      <c r="S186" s="134"/>
      <c r="T186" s="134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ht="12.75" customHeight="1">
      <c r="A187" s="134"/>
      <c r="B187" s="134"/>
      <c r="C187" s="134"/>
      <c r="D187" s="134"/>
      <c r="E187" s="134"/>
      <c r="F187" s="134"/>
      <c r="G187" s="134"/>
      <c r="H187" s="52"/>
      <c r="I187" s="52"/>
      <c r="J187" s="52"/>
      <c r="K187" s="134"/>
      <c r="L187" s="53"/>
      <c r="M187" s="53"/>
      <c r="N187" s="53"/>
      <c r="O187" s="53"/>
      <c r="P187" s="53"/>
      <c r="Q187" s="53"/>
      <c r="R187" s="53"/>
      <c r="S187" s="134"/>
      <c r="T187" s="134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ht="12.75" customHeight="1">
      <c r="A188" s="134"/>
      <c r="B188" s="134"/>
      <c r="C188" s="134"/>
      <c r="D188" s="134"/>
      <c r="E188" s="134"/>
      <c r="F188" s="134"/>
      <c r="G188" s="134"/>
      <c r="H188" s="52"/>
      <c r="I188" s="52"/>
      <c r="J188" s="52"/>
      <c r="K188" s="134"/>
      <c r="L188" s="53"/>
      <c r="M188" s="53"/>
      <c r="N188" s="53"/>
      <c r="O188" s="53"/>
      <c r="P188" s="53"/>
      <c r="Q188" s="53"/>
      <c r="R188" s="53"/>
      <c r="S188" s="134"/>
      <c r="T188" s="134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ht="12.75" customHeight="1">
      <c r="A189" s="134"/>
      <c r="B189" s="134"/>
      <c r="C189" s="134"/>
      <c r="D189" s="134"/>
      <c r="E189" s="134"/>
      <c r="F189" s="134"/>
      <c r="G189" s="134"/>
      <c r="H189" s="52"/>
      <c r="I189" s="52"/>
      <c r="J189" s="52"/>
      <c r="K189" s="134"/>
      <c r="L189" s="53"/>
      <c r="M189" s="53"/>
      <c r="N189" s="53"/>
      <c r="O189" s="53"/>
      <c r="P189" s="53"/>
      <c r="Q189" s="53"/>
      <c r="R189" s="53"/>
      <c r="S189" s="134"/>
      <c r="T189" s="134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ht="12.75" customHeight="1">
      <c r="A190" s="134"/>
      <c r="B190" s="134"/>
      <c r="C190" s="134"/>
      <c r="D190" s="134"/>
      <c r="E190" s="134"/>
      <c r="F190" s="134"/>
      <c r="G190" s="134"/>
      <c r="H190" s="52"/>
      <c r="I190" s="52"/>
      <c r="J190" s="52"/>
      <c r="K190" s="134"/>
      <c r="L190" s="53"/>
      <c r="M190" s="53"/>
      <c r="N190" s="53"/>
      <c r="O190" s="53"/>
      <c r="P190" s="53"/>
      <c r="Q190" s="53"/>
      <c r="R190" s="53"/>
      <c r="S190" s="134"/>
      <c r="T190" s="134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ht="12.75" customHeight="1">
      <c r="A191" s="134"/>
      <c r="B191" s="134"/>
      <c r="C191" s="134"/>
      <c r="D191" s="134"/>
      <c r="E191" s="134"/>
      <c r="F191" s="134"/>
      <c r="G191" s="134"/>
      <c r="H191" s="52"/>
      <c r="I191" s="52"/>
      <c r="J191" s="52"/>
      <c r="K191" s="134"/>
      <c r="L191" s="53"/>
      <c r="M191" s="53"/>
      <c r="N191" s="53"/>
      <c r="O191" s="53"/>
      <c r="P191" s="53"/>
      <c r="Q191" s="53"/>
      <c r="R191" s="53"/>
      <c r="S191" s="134"/>
      <c r="T191" s="134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ht="12.75" customHeight="1">
      <c r="A192" s="134"/>
      <c r="B192" s="134"/>
      <c r="C192" s="134"/>
      <c r="D192" s="134"/>
      <c r="E192" s="134"/>
      <c r="F192" s="134"/>
      <c r="G192" s="134"/>
      <c r="H192" s="52"/>
      <c r="I192" s="52"/>
      <c r="J192" s="52"/>
      <c r="K192" s="134"/>
      <c r="L192" s="53"/>
      <c r="M192" s="53"/>
      <c r="N192" s="53"/>
      <c r="O192" s="53"/>
      <c r="P192" s="53"/>
      <c r="Q192" s="53"/>
      <c r="R192" s="53"/>
      <c r="S192" s="134"/>
      <c r="T192" s="134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ht="12.75" customHeight="1">
      <c r="A193" s="134"/>
      <c r="B193" s="134"/>
      <c r="C193" s="134"/>
      <c r="D193" s="134"/>
      <c r="E193" s="134"/>
      <c r="F193" s="134"/>
      <c r="G193" s="134"/>
      <c r="H193" s="52"/>
      <c r="I193" s="52"/>
      <c r="J193" s="52"/>
      <c r="K193" s="134"/>
      <c r="L193" s="53"/>
      <c r="M193" s="53"/>
      <c r="N193" s="53"/>
      <c r="O193" s="53"/>
      <c r="P193" s="53"/>
      <c r="Q193" s="53"/>
      <c r="R193" s="53"/>
      <c r="S193" s="134"/>
      <c r="T193" s="134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ht="12.75" customHeight="1">
      <c r="A194" s="134"/>
      <c r="B194" s="134"/>
      <c r="C194" s="134"/>
      <c r="D194" s="134"/>
      <c r="E194" s="134"/>
      <c r="F194" s="134"/>
      <c r="G194" s="134"/>
      <c r="H194" s="52"/>
      <c r="I194" s="52"/>
      <c r="J194" s="52"/>
      <c r="K194" s="134"/>
      <c r="L194" s="53"/>
      <c r="M194" s="53"/>
      <c r="N194" s="53"/>
      <c r="O194" s="53"/>
      <c r="P194" s="53"/>
      <c r="Q194" s="53"/>
      <c r="R194" s="53"/>
      <c r="S194" s="134"/>
      <c r="T194" s="134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ht="12.75" customHeight="1">
      <c r="A195" s="134"/>
      <c r="B195" s="134"/>
      <c r="C195" s="134"/>
      <c r="D195" s="134"/>
      <c r="E195" s="134"/>
      <c r="F195" s="134"/>
      <c r="G195" s="134"/>
      <c r="H195" s="52"/>
      <c r="I195" s="52"/>
      <c r="J195" s="52"/>
      <c r="K195" s="134"/>
      <c r="L195" s="53"/>
      <c r="M195" s="53"/>
      <c r="N195" s="53"/>
      <c r="O195" s="53"/>
      <c r="P195" s="53"/>
      <c r="Q195" s="53"/>
      <c r="R195" s="53"/>
      <c r="S195" s="134"/>
      <c r="T195" s="134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ht="12.75" customHeight="1">
      <c r="A196" s="134"/>
      <c r="B196" s="134"/>
      <c r="C196" s="134"/>
      <c r="D196" s="134"/>
      <c r="E196" s="134"/>
      <c r="F196" s="134"/>
      <c r="G196" s="134"/>
      <c r="H196" s="52"/>
      <c r="I196" s="52"/>
      <c r="J196" s="52"/>
      <c r="K196" s="134"/>
      <c r="L196" s="53"/>
      <c r="M196" s="53"/>
      <c r="N196" s="53"/>
      <c r="O196" s="53"/>
      <c r="P196" s="53"/>
      <c r="Q196" s="53"/>
      <c r="R196" s="53"/>
      <c r="S196" s="134"/>
      <c r="T196" s="134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ht="12.75" customHeight="1">
      <c r="A197" s="134"/>
      <c r="B197" s="134"/>
      <c r="C197" s="134"/>
      <c r="D197" s="134"/>
      <c r="E197" s="134"/>
      <c r="F197" s="134"/>
      <c r="G197" s="134"/>
      <c r="H197" s="52"/>
      <c r="I197" s="52"/>
      <c r="J197" s="52"/>
      <c r="K197" s="134"/>
      <c r="L197" s="53"/>
      <c r="M197" s="53"/>
      <c r="N197" s="53"/>
      <c r="O197" s="53"/>
      <c r="P197" s="53"/>
      <c r="Q197" s="53"/>
      <c r="R197" s="53"/>
      <c r="S197" s="134"/>
      <c r="T197" s="134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ht="12.75" customHeight="1">
      <c r="A198" s="134"/>
      <c r="B198" s="134"/>
      <c r="C198" s="134"/>
      <c r="D198" s="134"/>
      <c r="E198" s="134"/>
      <c r="F198" s="134"/>
      <c r="G198" s="134"/>
      <c r="H198" s="52"/>
      <c r="I198" s="52"/>
      <c r="J198" s="52"/>
      <c r="K198" s="134"/>
      <c r="L198" s="53"/>
      <c r="M198" s="53"/>
      <c r="N198" s="53"/>
      <c r="O198" s="53"/>
      <c r="P198" s="53"/>
      <c r="Q198" s="53"/>
      <c r="R198" s="53"/>
      <c r="S198" s="134"/>
      <c r="T198" s="134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ht="12.75" customHeight="1">
      <c r="A199" s="134"/>
      <c r="B199" s="134"/>
      <c r="C199" s="134"/>
      <c r="D199" s="134"/>
      <c r="E199" s="134"/>
      <c r="F199" s="134"/>
      <c r="G199" s="134"/>
      <c r="H199" s="52"/>
      <c r="I199" s="52"/>
      <c r="J199" s="52"/>
      <c r="K199" s="134"/>
      <c r="L199" s="53"/>
      <c r="M199" s="53"/>
      <c r="N199" s="53"/>
      <c r="O199" s="53"/>
      <c r="P199" s="53"/>
      <c r="Q199" s="53"/>
      <c r="R199" s="53"/>
      <c r="S199" s="134"/>
      <c r="T199" s="134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ht="12.75" customHeight="1">
      <c r="A200" s="134"/>
      <c r="B200" s="134"/>
      <c r="C200" s="134"/>
      <c r="D200" s="134"/>
      <c r="E200" s="134"/>
      <c r="F200" s="134"/>
      <c r="G200" s="134"/>
      <c r="H200" s="52"/>
      <c r="I200" s="52"/>
      <c r="J200" s="52"/>
      <c r="K200" s="134"/>
      <c r="L200" s="53"/>
      <c r="M200" s="53"/>
      <c r="N200" s="53"/>
      <c r="O200" s="53"/>
      <c r="P200" s="53"/>
      <c r="Q200" s="53"/>
      <c r="R200" s="53"/>
      <c r="S200" s="134"/>
      <c r="T200" s="134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ht="12.75" customHeight="1">
      <c r="A201" s="134"/>
      <c r="B201" s="134"/>
      <c r="C201" s="134"/>
      <c r="D201" s="134"/>
      <c r="E201" s="134"/>
      <c r="F201" s="134"/>
      <c r="G201" s="134"/>
      <c r="H201" s="52"/>
      <c r="I201" s="52"/>
      <c r="J201" s="52"/>
      <c r="K201" s="134"/>
      <c r="L201" s="53"/>
      <c r="M201" s="53"/>
      <c r="N201" s="53"/>
      <c r="O201" s="53"/>
      <c r="P201" s="53"/>
      <c r="Q201" s="53"/>
      <c r="R201" s="53"/>
      <c r="S201" s="134"/>
      <c r="T201" s="134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ht="12.75" customHeight="1">
      <c r="A202" s="134"/>
      <c r="B202" s="134"/>
      <c r="C202" s="134"/>
      <c r="D202" s="134"/>
      <c r="E202" s="134"/>
      <c r="F202" s="134"/>
      <c r="G202" s="134"/>
      <c r="H202" s="52"/>
      <c r="I202" s="52"/>
      <c r="J202" s="52"/>
      <c r="K202" s="134"/>
      <c r="L202" s="53"/>
      <c r="M202" s="53"/>
      <c r="N202" s="53"/>
      <c r="O202" s="53"/>
      <c r="P202" s="53"/>
      <c r="Q202" s="53"/>
      <c r="R202" s="53"/>
      <c r="S202" s="134"/>
      <c r="T202" s="134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ht="12.75" customHeight="1">
      <c r="A203" s="134"/>
      <c r="B203" s="134"/>
      <c r="C203" s="134"/>
      <c r="D203" s="134"/>
      <c r="E203" s="134"/>
      <c r="F203" s="134"/>
      <c r="G203" s="134"/>
      <c r="H203" s="52"/>
      <c r="I203" s="52"/>
      <c r="J203" s="52"/>
      <c r="K203" s="134"/>
      <c r="L203" s="53"/>
      <c r="M203" s="53"/>
      <c r="N203" s="53"/>
      <c r="O203" s="53"/>
      <c r="P203" s="53"/>
      <c r="Q203" s="53"/>
      <c r="R203" s="53"/>
      <c r="S203" s="134"/>
      <c r="T203" s="134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ht="12.75" customHeight="1">
      <c r="A204" s="134"/>
      <c r="B204" s="134"/>
      <c r="C204" s="134"/>
      <c r="D204" s="134"/>
      <c r="E204" s="134"/>
      <c r="F204" s="134"/>
      <c r="G204" s="134"/>
      <c r="H204" s="52"/>
      <c r="I204" s="52"/>
      <c r="J204" s="52"/>
      <c r="K204" s="134"/>
      <c r="L204" s="53"/>
      <c r="M204" s="53"/>
      <c r="N204" s="53"/>
      <c r="O204" s="53"/>
      <c r="P204" s="53"/>
      <c r="Q204" s="53"/>
      <c r="R204" s="53"/>
      <c r="S204" s="134"/>
      <c r="T204" s="134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ht="12.75" customHeight="1">
      <c r="A205" s="134"/>
      <c r="B205" s="134"/>
      <c r="C205" s="134"/>
      <c r="D205" s="134"/>
      <c r="E205" s="134"/>
      <c r="F205" s="134"/>
      <c r="G205" s="134"/>
      <c r="H205" s="52"/>
      <c r="I205" s="52"/>
      <c r="J205" s="52"/>
      <c r="K205" s="134"/>
      <c r="L205" s="53"/>
      <c r="M205" s="53"/>
      <c r="N205" s="53"/>
      <c r="O205" s="53"/>
      <c r="P205" s="53"/>
      <c r="Q205" s="53"/>
      <c r="R205" s="53"/>
      <c r="S205" s="134"/>
      <c r="T205" s="134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ht="12.75" customHeight="1">
      <c r="A206" s="134"/>
      <c r="B206" s="134"/>
      <c r="C206" s="134"/>
      <c r="D206" s="134"/>
      <c r="E206" s="134"/>
      <c r="F206" s="134"/>
      <c r="G206" s="134"/>
      <c r="H206" s="52"/>
      <c r="I206" s="52"/>
      <c r="J206" s="52"/>
      <c r="K206" s="134"/>
      <c r="L206" s="53"/>
      <c r="M206" s="53"/>
      <c r="N206" s="53"/>
      <c r="O206" s="53"/>
      <c r="P206" s="53"/>
      <c r="Q206" s="53"/>
      <c r="R206" s="53"/>
      <c r="S206" s="134"/>
      <c r="T206" s="134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ht="12.75" customHeight="1">
      <c r="A207" s="134"/>
      <c r="B207" s="134"/>
      <c r="C207" s="134"/>
      <c r="D207" s="134"/>
      <c r="E207" s="134"/>
      <c r="F207" s="134"/>
      <c r="G207" s="134"/>
      <c r="H207" s="52"/>
      <c r="I207" s="52"/>
      <c r="J207" s="52"/>
      <c r="K207" s="134"/>
      <c r="L207" s="53"/>
      <c r="M207" s="53"/>
      <c r="N207" s="53"/>
      <c r="O207" s="53"/>
      <c r="P207" s="53"/>
      <c r="Q207" s="53"/>
      <c r="R207" s="53"/>
      <c r="S207" s="134"/>
      <c r="T207" s="134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ht="12.75" customHeight="1">
      <c r="A208" s="134"/>
      <c r="B208" s="134"/>
      <c r="C208" s="134"/>
      <c r="D208" s="134"/>
      <c r="E208" s="134"/>
      <c r="F208" s="134"/>
      <c r="G208" s="134"/>
      <c r="H208" s="52"/>
      <c r="I208" s="52"/>
      <c r="J208" s="52"/>
      <c r="K208" s="134"/>
      <c r="L208" s="53"/>
      <c r="M208" s="53"/>
      <c r="N208" s="53"/>
      <c r="O208" s="53"/>
      <c r="P208" s="53"/>
      <c r="Q208" s="53"/>
      <c r="R208" s="53"/>
      <c r="S208" s="134"/>
      <c r="T208" s="134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ht="12.75" customHeight="1">
      <c r="A209" s="134"/>
      <c r="B209" s="134"/>
      <c r="C209" s="134"/>
      <c r="D209" s="134"/>
      <c r="E209" s="134"/>
      <c r="F209" s="134"/>
      <c r="G209" s="134"/>
      <c r="H209" s="52"/>
      <c r="I209" s="52"/>
      <c r="J209" s="52"/>
      <c r="K209" s="134"/>
      <c r="L209" s="53"/>
      <c r="M209" s="53"/>
      <c r="N209" s="53"/>
      <c r="O209" s="53"/>
      <c r="P209" s="53"/>
      <c r="Q209" s="53"/>
      <c r="R209" s="53"/>
      <c r="S209" s="134"/>
      <c r="T209" s="134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ht="12.75" customHeight="1">
      <c r="A210" s="134"/>
      <c r="B210" s="134"/>
      <c r="C210" s="134"/>
      <c r="D210" s="134"/>
      <c r="E210" s="134"/>
      <c r="F210" s="134"/>
      <c r="G210" s="134"/>
      <c r="H210" s="52"/>
      <c r="I210" s="52"/>
      <c r="J210" s="52"/>
      <c r="K210" s="134"/>
      <c r="L210" s="53"/>
      <c r="M210" s="53"/>
      <c r="N210" s="53"/>
      <c r="O210" s="53"/>
      <c r="P210" s="53"/>
      <c r="Q210" s="53"/>
      <c r="R210" s="53"/>
      <c r="S210" s="134"/>
      <c r="T210" s="134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ht="12.75" customHeight="1">
      <c r="A211" s="134"/>
      <c r="B211" s="134"/>
      <c r="C211" s="134"/>
      <c r="D211" s="134"/>
      <c r="E211" s="134"/>
      <c r="F211" s="134"/>
      <c r="G211" s="134"/>
      <c r="H211" s="52"/>
      <c r="I211" s="52"/>
      <c r="J211" s="52"/>
      <c r="K211" s="134"/>
      <c r="L211" s="53"/>
      <c r="M211" s="53"/>
      <c r="N211" s="53"/>
      <c r="O211" s="53"/>
      <c r="P211" s="53"/>
      <c r="Q211" s="53"/>
      <c r="R211" s="53"/>
      <c r="S211" s="134"/>
      <c r="T211" s="134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ht="12.75" customHeight="1">
      <c r="A212" s="134"/>
      <c r="B212" s="134"/>
      <c r="C212" s="134"/>
      <c r="D212" s="134"/>
      <c r="E212" s="134"/>
      <c r="F212" s="134"/>
      <c r="G212" s="134"/>
      <c r="H212" s="52"/>
      <c r="I212" s="52"/>
      <c r="J212" s="52"/>
      <c r="K212" s="134"/>
      <c r="L212" s="53"/>
      <c r="M212" s="53"/>
      <c r="N212" s="53"/>
      <c r="O212" s="53"/>
      <c r="P212" s="53"/>
      <c r="Q212" s="53"/>
      <c r="R212" s="53"/>
      <c r="S212" s="134"/>
      <c r="T212" s="134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ht="12.75" customHeight="1">
      <c r="A213" s="134"/>
      <c r="B213" s="134"/>
      <c r="C213" s="134"/>
      <c r="D213" s="134"/>
      <c r="E213" s="134"/>
      <c r="F213" s="134"/>
      <c r="G213" s="134"/>
      <c r="H213" s="52"/>
      <c r="I213" s="52"/>
      <c r="J213" s="52"/>
      <c r="K213" s="134"/>
      <c r="L213" s="53"/>
      <c r="M213" s="53"/>
      <c r="N213" s="53"/>
      <c r="O213" s="53"/>
      <c r="P213" s="53"/>
      <c r="Q213" s="53"/>
      <c r="R213" s="53"/>
      <c r="S213" s="134"/>
      <c r="T213" s="134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ht="12.75" customHeight="1">
      <c r="A214" s="134"/>
      <c r="B214" s="134"/>
      <c r="C214" s="134"/>
      <c r="D214" s="134"/>
      <c r="E214" s="134"/>
      <c r="F214" s="134"/>
      <c r="G214" s="134"/>
      <c r="H214" s="52"/>
      <c r="I214" s="52"/>
      <c r="J214" s="52"/>
      <c r="K214" s="134"/>
      <c r="L214" s="53"/>
      <c r="M214" s="53"/>
      <c r="N214" s="53"/>
      <c r="O214" s="53"/>
      <c r="P214" s="53"/>
      <c r="Q214" s="53"/>
      <c r="R214" s="53"/>
      <c r="S214" s="134"/>
      <c r="T214" s="134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ht="12.75" customHeight="1">
      <c r="A215" s="134"/>
      <c r="B215" s="134"/>
      <c r="C215" s="134"/>
      <c r="D215" s="134"/>
      <c r="E215" s="134"/>
      <c r="F215" s="134"/>
      <c r="G215" s="134"/>
      <c r="H215" s="52"/>
      <c r="I215" s="52"/>
      <c r="J215" s="52"/>
      <c r="K215" s="134"/>
      <c r="L215" s="53"/>
      <c r="M215" s="53"/>
      <c r="N215" s="53"/>
      <c r="O215" s="53"/>
      <c r="P215" s="53"/>
      <c r="Q215" s="53"/>
      <c r="R215" s="53"/>
      <c r="S215" s="134"/>
      <c r="T215" s="134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ht="12.75" customHeight="1">
      <c r="A216" s="134"/>
      <c r="B216" s="134"/>
      <c r="C216" s="134"/>
      <c r="D216" s="134"/>
      <c r="E216" s="134"/>
      <c r="F216" s="134"/>
      <c r="G216" s="134"/>
      <c r="H216" s="52"/>
      <c r="I216" s="52"/>
      <c r="J216" s="52"/>
      <c r="K216" s="134"/>
      <c r="L216" s="53"/>
      <c r="M216" s="53"/>
      <c r="N216" s="53"/>
      <c r="O216" s="53"/>
      <c r="P216" s="53"/>
      <c r="Q216" s="53"/>
      <c r="R216" s="53"/>
      <c r="S216" s="134"/>
      <c r="T216" s="134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ht="12.75" customHeight="1">
      <c r="A217" s="134"/>
      <c r="B217" s="134"/>
      <c r="C217" s="134"/>
      <c r="D217" s="134"/>
      <c r="E217" s="134"/>
      <c r="F217" s="134"/>
      <c r="G217" s="134"/>
      <c r="H217" s="52"/>
      <c r="I217" s="52"/>
      <c r="J217" s="52"/>
      <c r="K217" s="134"/>
      <c r="L217" s="53"/>
      <c r="M217" s="53"/>
      <c r="N217" s="53"/>
      <c r="O217" s="53"/>
      <c r="P217" s="53"/>
      <c r="Q217" s="53"/>
      <c r="R217" s="53"/>
      <c r="S217" s="134"/>
      <c r="T217" s="134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ht="12.75" customHeight="1">
      <c r="A218" s="134"/>
      <c r="B218" s="134"/>
      <c r="C218" s="134"/>
      <c r="D218" s="134"/>
      <c r="E218" s="134"/>
      <c r="F218" s="134"/>
      <c r="G218" s="134"/>
      <c r="H218" s="52"/>
      <c r="I218" s="52"/>
      <c r="J218" s="52"/>
      <c r="K218" s="134"/>
      <c r="L218" s="53"/>
      <c r="M218" s="53"/>
      <c r="N218" s="53"/>
      <c r="O218" s="53"/>
      <c r="P218" s="53"/>
      <c r="Q218" s="53"/>
      <c r="R218" s="53"/>
      <c r="S218" s="134"/>
      <c r="T218" s="134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ht="12.75" customHeight="1">
      <c r="A219" s="134"/>
      <c r="B219" s="134"/>
      <c r="C219" s="134"/>
      <c r="D219" s="134"/>
      <c r="E219" s="134"/>
      <c r="F219" s="134"/>
      <c r="G219" s="134"/>
      <c r="H219" s="52"/>
      <c r="I219" s="52"/>
      <c r="J219" s="52"/>
      <c r="K219" s="134"/>
      <c r="L219" s="53"/>
      <c r="M219" s="53"/>
      <c r="N219" s="53"/>
      <c r="O219" s="53"/>
      <c r="P219" s="53"/>
      <c r="Q219" s="53"/>
      <c r="R219" s="53"/>
      <c r="S219" s="134"/>
      <c r="T219" s="134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ht="12.75" customHeight="1">
      <c r="A220" s="134"/>
      <c r="B220" s="134"/>
      <c r="C220" s="134"/>
      <c r="D220" s="134"/>
      <c r="E220" s="134"/>
      <c r="F220" s="134"/>
      <c r="G220" s="134"/>
      <c r="H220" s="52"/>
      <c r="I220" s="52"/>
      <c r="J220" s="52"/>
      <c r="K220" s="134"/>
      <c r="L220" s="53"/>
      <c r="M220" s="53"/>
      <c r="N220" s="53"/>
      <c r="O220" s="53"/>
      <c r="P220" s="53"/>
      <c r="Q220" s="53"/>
      <c r="R220" s="53"/>
      <c r="S220" s="134"/>
      <c r="T220" s="134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ht="12.75" customHeight="1">
      <c r="A221" s="134"/>
      <c r="B221" s="134"/>
      <c r="C221" s="134"/>
      <c r="D221" s="134"/>
      <c r="E221" s="134"/>
      <c r="F221" s="134"/>
      <c r="G221" s="134"/>
      <c r="H221" s="52"/>
      <c r="I221" s="52"/>
      <c r="J221" s="52"/>
      <c r="K221" s="134"/>
      <c r="L221" s="53"/>
      <c r="M221" s="53"/>
      <c r="N221" s="53"/>
      <c r="O221" s="53"/>
      <c r="P221" s="53"/>
      <c r="Q221" s="53"/>
      <c r="R221" s="53"/>
      <c r="S221" s="134"/>
      <c r="T221" s="134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ht="12.75" customHeight="1">
      <c r="A222" s="134"/>
      <c r="B222" s="134"/>
      <c r="C222" s="134"/>
      <c r="D222" s="134"/>
      <c r="E222" s="134"/>
      <c r="F222" s="134"/>
      <c r="G222" s="134"/>
      <c r="H222" s="52"/>
      <c r="I222" s="52"/>
      <c r="J222" s="52"/>
      <c r="K222" s="134"/>
      <c r="L222" s="53"/>
      <c r="M222" s="53"/>
      <c r="N222" s="53"/>
      <c r="O222" s="53"/>
      <c r="P222" s="53"/>
      <c r="Q222" s="53"/>
      <c r="R222" s="53"/>
      <c r="S222" s="134"/>
      <c r="T222" s="134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ht="12.75" customHeight="1">
      <c r="A223" s="134"/>
      <c r="B223" s="134"/>
      <c r="C223" s="134"/>
      <c r="D223" s="134"/>
      <c r="E223" s="134"/>
      <c r="F223" s="134"/>
      <c r="G223" s="134"/>
      <c r="H223" s="52"/>
      <c r="I223" s="52"/>
      <c r="J223" s="52"/>
      <c r="K223" s="134"/>
      <c r="L223" s="53"/>
      <c r="M223" s="53"/>
      <c r="N223" s="53"/>
      <c r="O223" s="53"/>
      <c r="P223" s="53"/>
      <c r="Q223" s="53"/>
      <c r="R223" s="53"/>
      <c r="S223" s="134"/>
      <c r="T223" s="134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ht="12.75" customHeight="1">
      <c r="A224" s="134"/>
      <c r="B224" s="134"/>
      <c r="C224" s="134"/>
      <c r="D224" s="134"/>
      <c r="E224" s="134"/>
      <c r="F224" s="134"/>
      <c r="G224" s="134"/>
      <c r="H224" s="52"/>
      <c r="I224" s="52"/>
      <c r="J224" s="52"/>
      <c r="K224" s="134"/>
      <c r="L224" s="53"/>
      <c r="M224" s="53"/>
      <c r="N224" s="53"/>
      <c r="O224" s="53"/>
      <c r="P224" s="53"/>
      <c r="Q224" s="53"/>
      <c r="R224" s="53"/>
      <c r="S224" s="134"/>
      <c r="T224" s="134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ht="12.75" customHeight="1">
      <c r="A225" s="134"/>
      <c r="B225" s="134"/>
      <c r="C225" s="134"/>
      <c r="D225" s="134"/>
      <c r="E225" s="134"/>
      <c r="F225" s="134"/>
      <c r="G225" s="134"/>
      <c r="H225" s="52"/>
      <c r="I225" s="52"/>
      <c r="J225" s="52"/>
      <c r="K225" s="134"/>
      <c r="L225" s="53"/>
      <c r="M225" s="53"/>
      <c r="N225" s="53"/>
      <c r="O225" s="53"/>
      <c r="P225" s="53"/>
      <c r="Q225" s="53"/>
      <c r="R225" s="53"/>
      <c r="S225" s="134"/>
      <c r="T225" s="134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ht="12.75" customHeight="1">
      <c r="A226" s="134"/>
      <c r="B226" s="134"/>
      <c r="C226" s="134"/>
      <c r="D226" s="134"/>
      <c r="E226" s="134"/>
      <c r="F226" s="134"/>
      <c r="G226" s="134"/>
      <c r="H226" s="52"/>
      <c r="I226" s="52"/>
      <c r="J226" s="52"/>
      <c r="K226" s="134"/>
      <c r="L226" s="53"/>
      <c r="M226" s="53"/>
      <c r="N226" s="53"/>
      <c r="O226" s="53"/>
      <c r="P226" s="53"/>
      <c r="Q226" s="53"/>
      <c r="R226" s="53"/>
      <c r="S226" s="134"/>
      <c r="T226" s="134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ht="12.75" customHeight="1">
      <c r="A227" s="134"/>
      <c r="B227" s="134"/>
      <c r="C227" s="134"/>
      <c r="D227" s="134"/>
      <c r="E227" s="134"/>
      <c r="F227" s="134"/>
      <c r="G227" s="134"/>
      <c r="H227" s="52"/>
      <c r="I227" s="52"/>
      <c r="J227" s="52"/>
      <c r="K227" s="134"/>
      <c r="L227" s="53"/>
      <c r="M227" s="53"/>
      <c r="N227" s="53"/>
      <c r="O227" s="53"/>
      <c r="P227" s="53"/>
      <c r="Q227" s="53"/>
      <c r="R227" s="53"/>
      <c r="S227" s="134"/>
      <c r="T227" s="134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ht="12.75" customHeight="1">
      <c r="A228" s="134"/>
      <c r="B228" s="134"/>
      <c r="C228" s="134"/>
      <c r="D228" s="134"/>
      <c r="E228" s="134"/>
      <c r="F228" s="134"/>
      <c r="G228" s="134"/>
      <c r="H228" s="52"/>
      <c r="I228" s="52"/>
      <c r="J228" s="52"/>
      <c r="K228" s="134"/>
      <c r="L228" s="53"/>
      <c r="M228" s="53"/>
      <c r="N228" s="53"/>
      <c r="O228" s="53"/>
      <c r="P228" s="53"/>
      <c r="Q228" s="53"/>
      <c r="R228" s="53"/>
      <c r="S228" s="134"/>
      <c r="T228" s="134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ht="12.75" customHeight="1">
      <c r="A229" s="134"/>
      <c r="B229" s="134"/>
      <c r="C229" s="134"/>
      <c r="D229" s="134"/>
      <c r="E229" s="134"/>
      <c r="F229" s="134"/>
      <c r="G229" s="134"/>
      <c r="H229" s="52"/>
      <c r="I229" s="52"/>
      <c r="J229" s="52"/>
      <c r="K229" s="134"/>
      <c r="L229" s="53"/>
      <c r="M229" s="53"/>
      <c r="N229" s="53"/>
      <c r="O229" s="53"/>
      <c r="P229" s="53"/>
      <c r="Q229" s="53"/>
      <c r="R229" s="53"/>
      <c r="S229" s="134"/>
      <c r="T229" s="134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ht="12.75" customHeight="1">
      <c r="A230" s="134"/>
      <c r="B230" s="134"/>
      <c r="C230" s="134"/>
      <c r="D230" s="134"/>
      <c r="E230" s="134"/>
      <c r="F230" s="134"/>
      <c r="G230" s="134"/>
      <c r="H230" s="52"/>
      <c r="I230" s="52"/>
      <c r="J230" s="52"/>
      <c r="K230" s="134"/>
      <c r="L230" s="53"/>
      <c r="M230" s="53"/>
      <c r="N230" s="53"/>
      <c r="O230" s="53"/>
      <c r="P230" s="53"/>
      <c r="Q230" s="53"/>
      <c r="R230" s="53"/>
      <c r="S230" s="134"/>
      <c r="T230" s="134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ht="12.75" customHeight="1">
      <c r="A231" s="134"/>
      <c r="B231" s="134"/>
      <c r="C231" s="134"/>
      <c r="D231" s="134"/>
      <c r="E231" s="134"/>
      <c r="F231" s="134"/>
      <c r="G231" s="134"/>
      <c r="H231" s="52"/>
      <c r="I231" s="52"/>
      <c r="J231" s="52"/>
      <c r="K231" s="134"/>
      <c r="L231" s="53"/>
      <c r="M231" s="53"/>
      <c r="N231" s="53"/>
      <c r="O231" s="53"/>
      <c r="P231" s="53"/>
      <c r="Q231" s="53"/>
      <c r="R231" s="53"/>
      <c r="S231" s="134"/>
      <c r="T231" s="134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ht="12.75" customHeight="1">
      <c r="A232" s="134"/>
      <c r="B232" s="134"/>
      <c r="C232" s="134"/>
      <c r="D232" s="134"/>
      <c r="E232" s="134"/>
      <c r="F232" s="134"/>
      <c r="G232" s="134"/>
      <c r="H232" s="52"/>
      <c r="I232" s="52"/>
      <c r="J232" s="52"/>
      <c r="K232" s="134"/>
      <c r="L232" s="53"/>
      <c r="M232" s="53"/>
      <c r="N232" s="53"/>
      <c r="O232" s="53"/>
      <c r="P232" s="53"/>
      <c r="Q232" s="53"/>
      <c r="R232" s="53"/>
      <c r="S232" s="134"/>
      <c r="T232" s="134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ht="12.75" customHeight="1">
      <c r="A233" s="134"/>
      <c r="B233" s="134"/>
      <c r="C233" s="134"/>
      <c r="D233" s="134"/>
      <c r="E233" s="134"/>
      <c r="F233" s="134"/>
      <c r="G233" s="134"/>
      <c r="H233" s="52"/>
      <c r="I233" s="52"/>
      <c r="J233" s="52"/>
      <c r="K233" s="134"/>
      <c r="L233" s="53"/>
      <c r="M233" s="53"/>
      <c r="N233" s="53"/>
      <c r="O233" s="53"/>
      <c r="P233" s="53"/>
      <c r="Q233" s="53"/>
      <c r="R233" s="53"/>
      <c r="S233" s="134"/>
      <c r="T233" s="134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ht="12.75" customHeight="1">
      <c r="A234" s="134"/>
      <c r="B234" s="134"/>
      <c r="C234" s="134"/>
      <c r="D234" s="134"/>
      <c r="E234" s="134"/>
      <c r="F234" s="134"/>
      <c r="G234" s="134"/>
      <c r="H234" s="52"/>
      <c r="I234" s="52"/>
      <c r="J234" s="52"/>
      <c r="K234" s="134"/>
      <c r="L234" s="53"/>
      <c r="M234" s="53"/>
      <c r="N234" s="53"/>
      <c r="O234" s="53"/>
      <c r="P234" s="53"/>
      <c r="Q234" s="53"/>
      <c r="R234" s="53"/>
      <c r="S234" s="134"/>
      <c r="T234" s="134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ht="12.75" customHeight="1">
      <c r="A235" s="134"/>
      <c r="B235" s="134"/>
      <c r="C235" s="134"/>
      <c r="D235" s="134"/>
      <c r="E235" s="134"/>
      <c r="F235" s="134"/>
      <c r="G235" s="134"/>
      <c r="H235" s="52"/>
      <c r="I235" s="52"/>
      <c r="J235" s="52"/>
      <c r="K235" s="134"/>
      <c r="L235" s="53"/>
      <c r="M235" s="53"/>
      <c r="N235" s="53"/>
      <c r="O235" s="53"/>
      <c r="P235" s="53"/>
      <c r="Q235" s="53"/>
      <c r="R235" s="53"/>
      <c r="S235" s="134"/>
      <c r="T235" s="134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ht="12.75" customHeight="1">
      <c r="A236" s="134"/>
      <c r="B236" s="134"/>
      <c r="C236" s="134"/>
      <c r="D236" s="134"/>
      <c r="E236" s="134"/>
      <c r="F236" s="134"/>
      <c r="G236" s="134"/>
      <c r="H236" s="52"/>
      <c r="I236" s="52"/>
      <c r="J236" s="52"/>
      <c r="K236" s="134"/>
      <c r="L236" s="53"/>
      <c r="M236" s="53"/>
      <c r="N236" s="53"/>
      <c r="O236" s="53"/>
      <c r="P236" s="53"/>
      <c r="Q236" s="53"/>
      <c r="R236" s="53"/>
      <c r="S236" s="134"/>
      <c r="T236" s="134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ht="12.75" customHeight="1">
      <c r="A237" s="134"/>
      <c r="B237" s="134"/>
      <c r="C237" s="134"/>
      <c r="D237" s="134"/>
      <c r="E237" s="134"/>
      <c r="F237" s="134"/>
      <c r="G237" s="134"/>
      <c r="H237" s="52"/>
      <c r="I237" s="52"/>
      <c r="J237" s="52"/>
      <c r="K237" s="134"/>
      <c r="L237" s="53"/>
      <c r="M237" s="53"/>
      <c r="N237" s="53"/>
      <c r="O237" s="53"/>
      <c r="P237" s="53"/>
      <c r="Q237" s="53"/>
      <c r="R237" s="53"/>
      <c r="S237" s="134"/>
      <c r="T237" s="134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ht="12.75" customHeight="1">
      <c r="A238" s="134"/>
      <c r="B238" s="134"/>
      <c r="C238" s="134"/>
      <c r="D238" s="134"/>
      <c r="E238" s="134"/>
      <c r="F238" s="134"/>
      <c r="G238" s="134"/>
      <c r="H238" s="52"/>
      <c r="I238" s="52"/>
      <c r="J238" s="52"/>
      <c r="K238" s="134"/>
      <c r="L238" s="53"/>
      <c r="M238" s="53"/>
      <c r="N238" s="53"/>
      <c r="O238" s="53"/>
      <c r="P238" s="53"/>
      <c r="Q238" s="53"/>
      <c r="R238" s="53"/>
      <c r="S238" s="134"/>
      <c r="T238" s="134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ht="12.75" customHeight="1">
      <c r="A239" s="134"/>
      <c r="B239" s="134"/>
      <c r="C239" s="134"/>
      <c r="D239" s="134"/>
      <c r="E239" s="134"/>
      <c r="F239" s="134"/>
      <c r="G239" s="134"/>
      <c r="H239" s="52"/>
      <c r="I239" s="52"/>
      <c r="J239" s="52"/>
      <c r="K239" s="134"/>
      <c r="L239" s="53"/>
      <c r="M239" s="53"/>
      <c r="N239" s="53"/>
      <c r="O239" s="53"/>
      <c r="P239" s="53"/>
      <c r="Q239" s="53"/>
      <c r="R239" s="53"/>
      <c r="S239" s="134"/>
      <c r="T239" s="134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ht="12.75" customHeight="1">
      <c r="A240" s="134"/>
      <c r="B240" s="134"/>
      <c r="C240" s="134"/>
      <c r="D240" s="134"/>
      <c r="E240" s="134"/>
      <c r="F240" s="134"/>
      <c r="G240" s="134"/>
      <c r="H240" s="52"/>
      <c r="I240" s="52"/>
      <c r="J240" s="52"/>
      <c r="K240" s="134"/>
      <c r="L240" s="53"/>
      <c r="M240" s="53"/>
      <c r="N240" s="53"/>
      <c r="O240" s="53"/>
      <c r="P240" s="53"/>
      <c r="Q240" s="53"/>
      <c r="R240" s="53"/>
      <c r="S240" s="134"/>
      <c r="T240" s="134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ht="12.75" customHeight="1">
      <c r="A241" s="134"/>
      <c r="B241" s="134"/>
      <c r="C241" s="134"/>
      <c r="D241" s="134"/>
      <c r="E241" s="134"/>
      <c r="F241" s="134"/>
      <c r="G241" s="134"/>
      <c r="H241" s="52"/>
      <c r="I241" s="52"/>
      <c r="J241" s="52"/>
      <c r="K241" s="134"/>
      <c r="L241" s="53"/>
      <c r="M241" s="53"/>
      <c r="N241" s="53"/>
      <c r="O241" s="53"/>
      <c r="P241" s="53"/>
      <c r="Q241" s="53"/>
      <c r="R241" s="53"/>
      <c r="S241" s="134"/>
      <c r="T241" s="134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ht="12.75" customHeight="1">
      <c r="A242" s="134"/>
      <c r="B242" s="134"/>
      <c r="C242" s="134"/>
      <c r="D242" s="134"/>
      <c r="E242" s="134"/>
      <c r="F242" s="134"/>
      <c r="G242" s="134"/>
      <c r="H242" s="52"/>
      <c r="I242" s="52"/>
      <c r="J242" s="52"/>
      <c r="K242" s="134"/>
      <c r="L242" s="53"/>
      <c r="M242" s="53"/>
      <c r="N242" s="53"/>
      <c r="O242" s="53"/>
      <c r="P242" s="53"/>
      <c r="Q242" s="53"/>
      <c r="R242" s="53"/>
      <c r="S242" s="134"/>
      <c r="T242" s="134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ht="12.75" customHeight="1">
      <c r="A243" s="134"/>
      <c r="B243" s="134"/>
      <c r="C243" s="134"/>
      <c r="D243" s="134"/>
      <c r="E243" s="134"/>
      <c r="F243" s="134"/>
      <c r="G243" s="134"/>
      <c r="H243" s="52"/>
      <c r="I243" s="52"/>
      <c r="J243" s="52"/>
      <c r="K243" s="134"/>
      <c r="L243" s="53"/>
      <c r="M243" s="53"/>
      <c r="N243" s="53"/>
      <c r="O243" s="53"/>
      <c r="P243" s="53"/>
      <c r="Q243" s="53"/>
      <c r="R243" s="53"/>
      <c r="S243" s="134"/>
      <c r="T243" s="134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ht="12.75" customHeight="1">
      <c r="A244" s="134"/>
      <c r="B244" s="134"/>
      <c r="C244" s="134"/>
      <c r="D244" s="134"/>
      <c r="E244" s="134"/>
      <c r="F244" s="134"/>
      <c r="G244" s="134"/>
      <c r="H244" s="52"/>
      <c r="I244" s="52"/>
      <c r="J244" s="52"/>
      <c r="K244" s="134"/>
      <c r="L244" s="53"/>
      <c r="M244" s="53"/>
      <c r="N244" s="53"/>
      <c r="O244" s="53"/>
      <c r="P244" s="53"/>
      <c r="Q244" s="53"/>
      <c r="R244" s="53"/>
      <c r="S244" s="134"/>
      <c r="T244" s="134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ht="12.75" customHeight="1">
      <c r="A245" s="134"/>
      <c r="B245" s="134"/>
      <c r="C245" s="134"/>
      <c r="D245" s="134"/>
      <c r="E245" s="134"/>
      <c r="F245" s="134"/>
      <c r="G245" s="134"/>
      <c r="H245" s="52"/>
      <c r="I245" s="52"/>
      <c r="J245" s="52"/>
      <c r="K245" s="134"/>
      <c r="L245" s="53"/>
      <c r="M245" s="53"/>
      <c r="N245" s="53"/>
      <c r="O245" s="53"/>
      <c r="P245" s="53"/>
      <c r="Q245" s="53"/>
      <c r="R245" s="53"/>
      <c r="S245" s="134"/>
      <c r="T245" s="134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ht="12.75" customHeight="1">
      <c r="A246" s="134"/>
      <c r="B246" s="134"/>
      <c r="C246" s="134"/>
      <c r="D246" s="134"/>
      <c r="E246" s="134"/>
      <c r="F246" s="134"/>
      <c r="G246" s="134"/>
      <c r="H246" s="52"/>
      <c r="I246" s="52"/>
      <c r="J246" s="52"/>
      <c r="K246" s="134"/>
      <c r="L246" s="53"/>
      <c r="M246" s="53"/>
      <c r="N246" s="53"/>
      <c r="O246" s="53"/>
      <c r="P246" s="53"/>
      <c r="Q246" s="53"/>
      <c r="R246" s="53"/>
      <c r="S246" s="134"/>
      <c r="T246" s="134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ht="12.75" customHeight="1">
      <c r="A247" s="134"/>
      <c r="B247" s="134"/>
      <c r="C247" s="134"/>
      <c r="D247" s="134"/>
      <c r="E247" s="134"/>
      <c r="F247" s="134"/>
      <c r="G247" s="134"/>
      <c r="H247" s="52"/>
      <c r="I247" s="52"/>
      <c r="J247" s="52"/>
      <c r="K247" s="134"/>
      <c r="L247" s="53"/>
      <c r="M247" s="53"/>
      <c r="N247" s="53"/>
      <c r="O247" s="53"/>
      <c r="P247" s="53"/>
      <c r="Q247" s="53"/>
      <c r="R247" s="53"/>
      <c r="S247" s="134"/>
      <c r="T247" s="134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ht="12.75" customHeight="1">
      <c r="A248" s="134"/>
      <c r="B248" s="134"/>
      <c r="C248" s="134"/>
      <c r="D248" s="134"/>
      <c r="E248" s="134"/>
      <c r="F248" s="134"/>
      <c r="G248" s="134"/>
      <c r="H248" s="52"/>
      <c r="I248" s="52"/>
      <c r="J248" s="52"/>
      <c r="K248" s="134"/>
      <c r="L248" s="53"/>
      <c r="M248" s="53"/>
      <c r="N248" s="53"/>
      <c r="O248" s="53"/>
      <c r="P248" s="53"/>
      <c r="Q248" s="53"/>
      <c r="R248" s="53"/>
      <c r="S248" s="134"/>
      <c r="T248" s="134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ht="12.75" customHeight="1">
      <c r="A249" s="134"/>
      <c r="B249" s="134"/>
      <c r="C249" s="134"/>
      <c r="D249" s="134"/>
      <c r="E249" s="134"/>
      <c r="F249" s="134"/>
      <c r="G249" s="134"/>
      <c r="H249" s="52"/>
      <c r="I249" s="52"/>
      <c r="J249" s="52"/>
      <c r="K249" s="134"/>
      <c r="L249" s="53"/>
      <c r="M249" s="53"/>
      <c r="N249" s="53"/>
      <c r="O249" s="53"/>
      <c r="P249" s="53"/>
      <c r="Q249" s="53"/>
      <c r="R249" s="53"/>
      <c r="S249" s="134"/>
      <c r="T249" s="134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ht="12.75" customHeight="1">
      <c r="A250" s="134"/>
      <c r="B250" s="134"/>
      <c r="C250" s="134"/>
      <c r="D250" s="134"/>
      <c r="E250" s="134"/>
      <c r="F250" s="134"/>
      <c r="G250" s="134"/>
      <c r="H250" s="52"/>
      <c r="I250" s="52"/>
      <c r="J250" s="52"/>
      <c r="K250" s="134"/>
      <c r="L250" s="53"/>
      <c r="M250" s="53"/>
      <c r="N250" s="53"/>
      <c r="O250" s="53"/>
      <c r="P250" s="53"/>
      <c r="Q250" s="53"/>
      <c r="R250" s="53"/>
      <c r="S250" s="134"/>
      <c r="T250" s="134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ht="12.75" customHeight="1">
      <c r="A251" s="134"/>
      <c r="B251" s="134"/>
      <c r="C251" s="134"/>
      <c r="D251" s="134"/>
      <c r="E251" s="134"/>
      <c r="F251" s="134"/>
      <c r="G251" s="134"/>
      <c r="H251" s="52"/>
      <c r="I251" s="52"/>
      <c r="J251" s="52"/>
      <c r="K251" s="134"/>
      <c r="L251" s="53"/>
      <c r="M251" s="53"/>
      <c r="N251" s="53"/>
      <c r="O251" s="53"/>
      <c r="P251" s="53"/>
      <c r="Q251" s="53"/>
      <c r="R251" s="53"/>
      <c r="S251" s="134"/>
      <c r="T251" s="134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ht="12.75" customHeight="1">
      <c r="A252" s="134"/>
      <c r="B252" s="134"/>
      <c r="C252" s="134"/>
      <c r="D252" s="134"/>
      <c r="E252" s="134"/>
      <c r="F252" s="134"/>
      <c r="G252" s="134"/>
      <c r="H252" s="52"/>
      <c r="I252" s="52"/>
      <c r="J252" s="52"/>
      <c r="K252" s="134"/>
      <c r="L252" s="53"/>
      <c r="M252" s="53"/>
      <c r="N252" s="53"/>
      <c r="O252" s="53"/>
      <c r="P252" s="53"/>
      <c r="Q252" s="53"/>
      <c r="R252" s="53"/>
      <c r="S252" s="134"/>
      <c r="T252" s="134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ht="12.75" customHeight="1">
      <c r="A253" s="134"/>
      <c r="B253" s="134"/>
      <c r="C253" s="134"/>
      <c r="D253" s="134"/>
      <c r="E253" s="134"/>
      <c r="F253" s="134"/>
      <c r="G253" s="134"/>
      <c r="H253" s="52"/>
      <c r="I253" s="52"/>
      <c r="J253" s="52"/>
      <c r="K253" s="134"/>
      <c r="L253" s="53"/>
      <c r="M253" s="53"/>
      <c r="N253" s="53"/>
      <c r="O253" s="53"/>
      <c r="P253" s="53"/>
      <c r="Q253" s="53"/>
      <c r="R253" s="53"/>
      <c r="S253" s="134"/>
      <c r="T253" s="134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ht="12.75" customHeight="1">
      <c r="A254" s="134"/>
      <c r="B254" s="134"/>
      <c r="C254" s="134"/>
      <c r="D254" s="134"/>
      <c r="E254" s="134"/>
      <c r="F254" s="134"/>
      <c r="G254" s="134"/>
      <c r="H254" s="52"/>
      <c r="I254" s="52"/>
      <c r="J254" s="52"/>
      <c r="K254" s="134"/>
      <c r="L254" s="53"/>
      <c r="M254" s="53"/>
      <c r="N254" s="53"/>
      <c r="O254" s="53"/>
      <c r="P254" s="53"/>
      <c r="Q254" s="53"/>
      <c r="R254" s="53"/>
      <c r="S254" s="134"/>
      <c r="T254" s="134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ht="12.75" customHeight="1">
      <c r="A255" s="134"/>
      <c r="B255" s="134"/>
      <c r="C255" s="134"/>
      <c r="D255" s="134"/>
      <c r="E255" s="134"/>
      <c r="F255" s="134"/>
      <c r="G255" s="134"/>
      <c r="H255" s="52"/>
      <c r="I255" s="52"/>
      <c r="J255" s="52"/>
      <c r="K255" s="134"/>
      <c r="L255" s="53"/>
      <c r="M255" s="53"/>
      <c r="N255" s="53"/>
      <c r="O255" s="53"/>
      <c r="P255" s="53"/>
      <c r="Q255" s="53"/>
      <c r="R255" s="53"/>
      <c r="S255" s="134"/>
      <c r="T255" s="134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ht="12.75" customHeight="1">
      <c r="A256" s="134"/>
      <c r="B256" s="134"/>
      <c r="C256" s="134"/>
      <c r="D256" s="134"/>
      <c r="E256" s="134"/>
      <c r="F256" s="134"/>
      <c r="G256" s="134"/>
      <c r="H256" s="52"/>
      <c r="I256" s="52"/>
      <c r="J256" s="52"/>
      <c r="K256" s="134"/>
      <c r="L256" s="53"/>
      <c r="M256" s="53"/>
      <c r="N256" s="53"/>
      <c r="O256" s="53"/>
      <c r="P256" s="53"/>
      <c r="Q256" s="53"/>
      <c r="R256" s="53"/>
      <c r="S256" s="134"/>
      <c r="T256" s="134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ht="12.75" customHeight="1">
      <c r="A257" s="134"/>
      <c r="B257" s="134"/>
      <c r="C257" s="134"/>
      <c r="D257" s="134"/>
      <c r="E257" s="134"/>
      <c r="F257" s="134"/>
      <c r="G257" s="134"/>
      <c r="H257" s="52"/>
      <c r="I257" s="52"/>
      <c r="J257" s="52"/>
      <c r="K257" s="134"/>
      <c r="L257" s="53"/>
      <c r="M257" s="53"/>
      <c r="N257" s="53"/>
      <c r="O257" s="53"/>
      <c r="P257" s="53"/>
      <c r="Q257" s="53"/>
      <c r="R257" s="53"/>
      <c r="S257" s="134"/>
      <c r="T257" s="134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ht="12.75" customHeight="1">
      <c r="A258" s="134"/>
      <c r="B258" s="134"/>
      <c r="C258" s="134"/>
      <c r="D258" s="134"/>
      <c r="E258" s="134"/>
      <c r="F258" s="134"/>
      <c r="G258" s="134"/>
      <c r="H258" s="52"/>
      <c r="I258" s="52"/>
      <c r="J258" s="52"/>
      <c r="K258" s="134"/>
      <c r="L258" s="53"/>
      <c r="M258" s="53"/>
      <c r="N258" s="53"/>
      <c r="O258" s="53"/>
      <c r="P258" s="53"/>
      <c r="Q258" s="53"/>
      <c r="R258" s="53"/>
      <c r="S258" s="134"/>
      <c r="T258" s="134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ht="12.75" customHeight="1">
      <c r="A259" s="134"/>
      <c r="B259" s="134"/>
      <c r="C259" s="134"/>
      <c r="D259" s="134"/>
      <c r="E259" s="134"/>
      <c r="F259" s="134"/>
      <c r="G259" s="134"/>
      <c r="H259" s="52"/>
      <c r="I259" s="52"/>
      <c r="J259" s="52"/>
      <c r="K259" s="134"/>
      <c r="L259" s="53"/>
      <c r="M259" s="53"/>
      <c r="N259" s="53"/>
      <c r="O259" s="53"/>
      <c r="P259" s="53"/>
      <c r="Q259" s="53"/>
      <c r="R259" s="53"/>
      <c r="S259" s="134"/>
      <c r="T259" s="134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ht="12.75" customHeight="1">
      <c r="A260" s="134"/>
      <c r="B260" s="134"/>
      <c r="C260" s="134"/>
      <c r="D260" s="134"/>
      <c r="E260" s="134"/>
      <c r="F260" s="134"/>
      <c r="G260" s="134"/>
      <c r="H260" s="52"/>
      <c r="I260" s="52"/>
      <c r="J260" s="52"/>
      <c r="K260" s="134"/>
      <c r="L260" s="53"/>
      <c r="M260" s="53"/>
      <c r="N260" s="53"/>
      <c r="O260" s="53"/>
      <c r="P260" s="53"/>
      <c r="Q260" s="53"/>
      <c r="R260" s="53"/>
      <c r="S260" s="134"/>
      <c r="T260" s="134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ht="12.75" customHeight="1">
      <c r="A261" s="134"/>
      <c r="B261" s="134"/>
      <c r="C261" s="134"/>
      <c r="D261" s="134"/>
      <c r="E261" s="134"/>
      <c r="F261" s="134"/>
      <c r="G261" s="134"/>
      <c r="H261" s="52"/>
      <c r="I261" s="52"/>
      <c r="J261" s="52"/>
      <c r="K261" s="134"/>
      <c r="L261" s="53"/>
      <c r="M261" s="53"/>
      <c r="N261" s="53"/>
      <c r="O261" s="53"/>
      <c r="P261" s="53"/>
      <c r="Q261" s="53"/>
      <c r="R261" s="53"/>
      <c r="S261" s="134"/>
      <c r="T261" s="134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ht="12.75" customHeight="1">
      <c r="A262" s="134"/>
      <c r="B262" s="134"/>
      <c r="C262" s="134"/>
      <c r="D262" s="134"/>
      <c r="E262" s="134"/>
      <c r="F262" s="134"/>
      <c r="G262" s="134"/>
      <c r="H262" s="52"/>
      <c r="I262" s="52"/>
      <c r="J262" s="52"/>
      <c r="K262" s="134"/>
      <c r="L262" s="53"/>
      <c r="M262" s="53"/>
      <c r="N262" s="53"/>
      <c r="O262" s="53"/>
      <c r="P262" s="53"/>
      <c r="Q262" s="53"/>
      <c r="R262" s="53"/>
      <c r="S262" s="134"/>
      <c r="T262" s="134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ht="12.75" customHeight="1">
      <c r="A263" s="134"/>
      <c r="B263" s="134"/>
      <c r="C263" s="134"/>
      <c r="D263" s="134"/>
      <c r="E263" s="134"/>
      <c r="F263" s="134"/>
      <c r="G263" s="134"/>
      <c r="H263" s="52"/>
      <c r="I263" s="52"/>
      <c r="J263" s="52"/>
      <c r="K263" s="134"/>
      <c r="L263" s="53"/>
      <c r="M263" s="53"/>
      <c r="N263" s="53"/>
      <c r="O263" s="53"/>
      <c r="P263" s="53"/>
      <c r="Q263" s="53"/>
      <c r="R263" s="53"/>
      <c r="S263" s="134"/>
      <c r="T263" s="134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ht="12.75" customHeight="1">
      <c r="A264" s="134"/>
      <c r="B264" s="134"/>
      <c r="C264" s="134"/>
      <c r="D264" s="134"/>
      <c r="E264" s="134"/>
      <c r="F264" s="134"/>
      <c r="G264" s="134"/>
      <c r="H264" s="52"/>
      <c r="I264" s="52"/>
      <c r="J264" s="52"/>
      <c r="K264" s="134"/>
      <c r="L264" s="53"/>
      <c r="M264" s="53"/>
      <c r="N264" s="53"/>
      <c r="O264" s="53"/>
      <c r="P264" s="53"/>
      <c r="Q264" s="53"/>
      <c r="R264" s="53"/>
      <c r="S264" s="134"/>
      <c r="T264" s="134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ht="12.75" customHeight="1">
      <c r="A265" s="134"/>
      <c r="B265" s="134"/>
      <c r="C265" s="134"/>
      <c r="D265" s="134"/>
      <c r="E265" s="134"/>
      <c r="F265" s="134"/>
      <c r="G265" s="134"/>
      <c r="H265" s="52"/>
      <c r="I265" s="52"/>
      <c r="J265" s="52"/>
      <c r="K265" s="134"/>
      <c r="L265" s="53"/>
      <c r="M265" s="53"/>
      <c r="N265" s="53"/>
      <c r="O265" s="53"/>
      <c r="P265" s="53"/>
      <c r="Q265" s="53"/>
      <c r="R265" s="53"/>
      <c r="S265" s="134"/>
      <c r="T265" s="134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ht="12.75" customHeight="1">
      <c r="A266" s="134"/>
      <c r="B266" s="134"/>
      <c r="C266" s="134"/>
      <c r="D266" s="134"/>
      <c r="E266" s="134"/>
      <c r="F266" s="134"/>
      <c r="G266" s="134"/>
      <c r="H266" s="52"/>
      <c r="I266" s="52"/>
      <c r="J266" s="52"/>
      <c r="K266" s="134"/>
      <c r="L266" s="53"/>
      <c r="M266" s="53"/>
      <c r="N266" s="53"/>
      <c r="O266" s="53"/>
      <c r="P266" s="53"/>
      <c r="Q266" s="53"/>
      <c r="R266" s="53"/>
      <c r="S266" s="134"/>
      <c r="T266" s="134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ht="12.75" customHeight="1">
      <c r="A267" s="134"/>
      <c r="B267" s="134"/>
      <c r="C267" s="134"/>
      <c r="D267" s="134"/>
      <c r="E267" s="134"/>
      <c r="F267" s="134"/>
      <c r="G267" s="134"/>
      <c r="H267" s="52"/>
      <c r="I267" s="52"/>
      <c r="J267" s="52"/>
      <c r="K267" s="134"/>
      <c r="L267" s="53"/>
      <c r="M267" s="53"/>
      <c r="N267" s="53"/>
      <c r="O267" s="53"/>
      <c r="P267" s="53"/>
      <c r="Q267" s="53"/>
      <c r="R267" s="53"/>
      <c r="S267" s="134"/>
      <c r="T267" s="134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ht="12.75" customHeight="1">
      <c r="A268" s="134"/>
      <c r="B268" s="134"/>
      <c r="C268" s="134"/>
      <c r="D268" s="134"/>
      <c r="E268" s="134"/>
      <c r="F268" s="134"/>
      <c r="G268" s="134"/>
      <c r="H268" s="52"/>
      <c r="I268" s="52"/>
      <c r="J268" s="52"/>
      <c r="K268" s="134"/>
      <c r="L268" s="53"/>
      <c r="M268" s="53"/>
      <c r="N268" s="53"/>
      <c r="O268" s="53"/>
      <c r="P268" s="53"/>
      <c r="Q268" s="53"/>
      <c r="R268" s="53"/>
      <c r="S268" s="134"/>
      <c r="T268" s="134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ht="12.75" customHeight="1">
      <c r="A269" s="134"/>
      <c r="B269" s="134"/>
      <c r="C269" s="134"/>
      <c r="D269" s="134"/>
      <c r="E269" s="134"/>
      <c r="F269" s="134"/>
      <c r="G269" s="134"/>
      <c r="H269" s="52"/>
      <c r="I269" s="52"/>
      <c r="J269" s="52"/>
      <c r="K269" s="134"/>
      <c r="L269" s="53"/>
      <c r="M269" s="53"/>
      <c r="N269" s="53"/>
      <c r="O269" s="53"/>
      <c r="P269" s="53"/>
      <c r="Q269" s="53"/>
      <c r="R269" s="53"/>
      <c r="S269" s="134"/>
      <c r="T269" s="134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ht="12.75" customHeight="1">
      <c r="A270" s="134"/>
      <c r="B270" s="134"/>
      <c r="C270" s="134"/>
      <c r="D270" s="134"/>
      <c r="E270" s="134"/>
      <c r="F270" s="134"/>
      <c r="G270" s="134"/>
      <c r="H270" s="52"/>
      <c r="I270" s="52"/>
      <c r="J270" s="52"/>
      <c r="K270" s="134"/>
      <c r="L270" s="53"/>
      <c r="M270" s="53"/>
      <c r="N270" s="53"/>
      <c r="O270" s="53"/>
      <c r="P270" s="53"/>
      <c r="Q270" s="53"/>
      <c r="R270" s="53"/>
      <c r="S270" s="134"/>
      <c r="T270" s="134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ht="12.75" customHeight="1">
      <c r="A271" s="134"/>
      <c r="B271" s="134"/>
      <c r="C271" s="134"/>
      <c r="D271" s="134"/>
      <c r="E271" s="134"/>
      <c r="F271" s="134"/>
      <c r="G271" s="134"/>
      <c r="H271" s="52"/>
      <c r="I271" s="52"/>
      <c r="J271" s="52"/>
      <c r="K271" s="134"/>
      <c r="L271" s="53"/>
      <c r="M271" s="53"/>
      <c r="N271" s="53"/>
      <c r="O271" s="53"/>
      <c r="P271" s="53"/>
      <c r="Q271" s="53"/>
      <c r="R271" s="53"/>
      <c r="S271" s="134"/>
      <c r="T271" s="134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ht="12.75" customHeight="1">
      <c r="A272" s="134"/>
      <c r="B272" s="134"/>
      <c r="C272" s="134"/>
      <c r="D272" s="134"/>
      <c r="E272" s="134"/>
      <c r="F272" s="134"/>
      <c r="G272" s="134"/>
      <c r="H272" s="52"/>
      <c r="I272" s="52"/>
      <c r="J272" s="52"/>
      <c r="K272" s="134"/>
      <c r="L272" s="53"/>
      <c r="M272" s="53"/>
      <c r="N272" s="53"/>
      <c r="O272" s="53"/>
      <c r="P272" s="53"/>
      <c r="Q272" s="53"/>
      <c r="R272" s="53"/>
      <c r="S272" s="134"/>
      <c r="T272" s="134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ht="12.75" customHeight="1">
      <c r="A273" s="134"/>
      <c r="B273" s="134"/>
      <c r="C273" s="134"/>
      <c r="D273" s="134"/>
      <c r="E273" s="134"/>
      <c r="F273" s="134"/>
      <c r="G273" s="134"/>
      <c r="H273" s="52"/>
      <c r="I273" s="52"/>
      <c r="J273" s="52"/>
      <c r="K273" s="134"/>
      <c r="L273" s="53"/>
      <c r="M273" s="53"/>
      <c r="N273" s="53"/>
      <c r="O273" s="53"/>
      <c r="P273" s="53"/>
      <c r="Q273" s="53"/>
      <c r="R273" s="53"/>
      <c r="S273" s="134"/>
      <c r="T273" s="134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ht="12.75" customHeight="1">
      <c r="A274" s="134"/>
      <c r="B274" s="134"/>
      <c r="C274" s="134"/>
      <c r="D274" s="134"/>
      <c r="E274" s="134"/>
      <c r="F274" s="134"/>
      <c r="G274" s="134"/>
      <c r="H274" s="52"/>
      <c r="I274" s="52"/>
      <c r="J274" s="52"/>
      <c r="K274" s="134"/>
      <c r="L274" s="53"/>
      <c r="M274" s="53"/>
      <c r="N274" s="53"/>
      <c r="O274" s="53"/>
      <c r="P274" s="53"/>
      <c r="Q274" s="53"/>
      <c r="R274" s="53"/>
      <c r="S274" s="134"/>
      <c r="T274" s="134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ht="12.75" customHeight="1">
      <c r="A275" s="134"/>
      <c r="B275" s="134"/>
      <c r="C275" s="134"/>
      <c r="D275" s="134"/>
      <c r="E275" s="134"/>
      <c r="F275" s="134"/>
      <c r="G275" s="134"/>
      <c r="H275" s="52"/>
      <c r="I275" s="52"/>
      <c r="J275" s="52"/>
      <c r="K275" s="134"/>
      <c r="L275" s="53"/>
      <c r="M275" s="53"/>
      <c r="N275" s="53"/>
      <c r="O275" s="53"/>
      <c r="P275" s="53"/>
      <c r="Q275" s="53"/>
      <c r="R275" s="53"/>
      <c r="S275" s="134"/>
      <c r="T275" s="134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ht="12.75" customHeight="1">
      <c r="A276" s="134"/>
      <c r="B276" s="134"/>
      <c r="C276" s="134"/>
      <c r="D276" s="134"/>
      <c r="E276" s="134"/>
      <c r="F276" s="134"/>
      <c r="G276" s="134"/>
      <c r="H276" s="52"/>
      <c r="I276" s="52"/>
      <c r="J276" s="52"/>
      <c r="K276" s="134"/>
      <c r="L276" s="53"/>
      <c r="M276" s="53"/>
      <c r="N276" s="53"/>
      <c r="O276" s="53"/>
      <c r="P276" s="53"/>
      <c r="Q276" s="53"/>
      <c r="R276" s="53"/>
      <c r="S276" s="134"/>
      <c r="T276" s="134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ht="12.75" customHeight="1">
      <c r="A277" s="134"/>
      <c r="B277" s="134"/>
      <c r="C277" s="134"/>
      <c r="D277" s="134"/>
      <c r="E277" s="134"/>
      <c r="F277" s="134"/>
      <c r="G277" s="134"/>
      <c r="H277" s="52"/>
      <c r="I277" s="52"/>
      <c r="J277" s="52"/>
      <c r="K277" s="134"/>
      <c r="L277" s="53"/>
      <c r="M277" s="53"/>
      <c r="N277" s="53"/>
      <c r="O277" s="53"/>
      <c r="P277" s="53"/>
      <c r="Q277" s="53"/>
      <c r="R277" s="53"/>
      <c r="S277" s="134"/>
      <c r="T277" s="134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ht="12.75" customHeight="1">
      <c r="A278" s="134"/>
      <c r="B278" s="134"/>
      <c r="C278" s="134"/>
      <c r="D278" s="134"/>
      <c r="E278" s="134"/>
      <c r="F278" s="134"/>
      <c r="G278" s="134"/>
      <c r="H278" s="52"/>
      <c r="I278" s="52"/>
      <c r="J278" s="52"/>
      <c r="K278" s="134"/>
      <c r="L278" s="53"/>
      <c r="M278" s="53"/>
      <c r="N278" s="53"/>
      <c r="O278" s="53"/>
      <c r="P278" s="53"/>
      <c r="Q278" s="53"/>
      <c r="R278" s="53"/>
      <c r="S278" s="134"/>
      <c r="T278" s="134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ht="12.75" customHeight="1">
      <c r="A279" s="134"/>
      <c r="B279" s="134"/>
      <c r="C279" s="134"/>
      <c r="D279" s="134"/>
      <c r="E279" s="134"/>
      <c r="F279" s="134"/>
      <c r="G279" s="134"/>
      <c r="H279" s="52"/>
      <c r="I279" s="52"/>
      <c r="J279" s="52"/>
      <c r="K279" s="134"/>
      <c r="L279" s="53"/>
      <c r="M279" s="53"/>
      <c r="N279" s="53"/>
      <c r="O279" s="53"/>
      <c r="P279" s="53"/>
      <c r="Q279" s="53"/>
      <c r="R279" s="53"/>
      <c r="S279" s="134"/>
      <c r="T279" s="134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ht="12.75" customHeight="1">
      <c r="A280" s="134"/>
      <c r="B280" s="134"/>
      <c r="C280" s="134"/>
      <c r="D280" s="134"/>
      <c r="E280" s="134"/>
      <c r="F280" s="134"/>
      <c r="G280" s="134"/>
      <c r="H280" s="52"/>
      <c r="I280" s="52"/>
      <c r="J280" s="52"/>
      <c r="K280" s="134"/>
      <c r="L280" s="53"/>
      <c r="M280" s="53"/>
      <c r="N280" s="53"/>
      <c r="O280" s="53"/>
      <c r="P280" s="53"/>
      <c r="Q280" s="53"/>
      <c r="R280" s="53"/>
      <c r="S280" s="134"/>
      <c r="T280" s="134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ht="12.75" customHeight="1">
      <c r="A281" s="134"/>
      <c r="B281" s="134"/>
      <c r="C281" s="134"/>
      <c r="D281" s="134"/>
      <c r="E281" s="134"/>
      <c r="F281" s="134"/>
      <c r="G281" s="134"/>
      <c r="H281" s="52"/>
      <c r="I281" s="52"/>
      <c r="J281" s="52"/>
      <c r="K281" s="134"/>
      <c r="L281" s="53"/>
      <c r="M281" s="53"/>
      <c r="N281" s="53"/>
      <c r="O281" s="53"/>
      <c r="P281" s="53"/>
      <c r="Q281" s="53"/>
      <c r="R281" s="53"/>
      <c r="S281" s="134"/>
      <c r="T281" s="134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ht="12.75" customHeight="1">
      <c r="A282" s="134"/>
      <c r="B282" s="134"/>
      <c r="C282" s="134"/>
      <c r="D282" s="134"/>
      <c r="E282" s="134"/>
      <c r="F282" s="134"/>
      <c r="G282" s="134"/>
      <c r="H282" s="52"/>
      <c r="I282" s="52"/>
      <c r="J282" s="52"/>
      <c r="K282" s="134"/>
      <c r="L282" s="53"/>
      <c r="M282" s="53"/>
      <c r="N282" s="53"/>
      <c r="O282" s="53"/>
      <c r="P282" s="53"/>
      <c r="Q282" s="53"/>
      <c r="R282" s="53"/>
      <c r="S282" s="134"/>
      <c r="T282" s="134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ht="12.75" customHeight="1">
      <c r="A283" s="134"/>
      <c r="B283" s="134"/>
      <c r="C283" s="134"/>
      <c r="D283" s="134"/>
      <c r="E283" s="134"/>
      <c r="F283" s="134"/>
      <c r="G283" s="134"/>
      <c r="H283" s="52"/>
      <c r="I283" s="52"/>
      <c r="J283" s="52"/>
      <c r="K283" s="134"/>
      <c r="L283" s="53"/>
      <c r="M283" s="53"/>
      <c r="N283" s="53"/>
      <c r="O283" s="53"/>
      <c r="P283" s="53"/>
      <c r="Q283" s="53"/>
      <c r="R283" s="53"/>
      <c r="S283" s="134"/>
      <c r="T283" s="134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ht="12.75" customHeight="1">
      <c r="A284" s="134"/>
      <c r="B284" s="134"/>
      <c r="C284" s="134"/>
      <c r="D284" s="134"/>
      <c r="E284" s="134"/>
      <c r="F284" s="134"/>
      <c r="G284" s="134"/>
      <c r="H284" s="52"/>
      <c r="I284" s="52"/>
      <c r="J284" s="52"/>
      <c r="K284" s="134"/>
      <c r="L284" s="53"/>
      <c r="M284" s="53"/>
      <c r="N284" s="53"/>
      <c r="O284" s="53"/>
      <c r="P284" s="53"/>
      <c r="Q284" s="53"/>
      <c r="R284" s="53"/>
      <c r="S284" s="134"/>
      <c r="T284" s="134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ht="12.75" customHeight="1">
      <c r="A285" s="134"/>
      <c r="B285" s="134"/>
      <c r="C285" s="134"/>
      <c r="D285" s="134"/>
      <c r="E285" s="134"/>
      <c r="F285" s="134"/>
      <c r="G285" s="134"/>
      <c r="H285" s="52"/>
      <c r="I285" s="52"/>
      <c r="J285" s="52"/>
      <c r="K285" s="134"/>
      <c r="L285" s="53"/>
      <c r="M285" s="53"/>
      <c r="N285" s="53"/>
      <c r="O285" s="53"/>
      <c r="P285" s="53"/>
      <c r="Q285" s="53"/>
      <c r="R285" s="53"/>
      <c r="S285" s="134"/>
      <c r="T285" s="134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ht="12.75" customHeight="1">
      <c r="A286" s="134"/>
      <c r="B286" s="134"/>
      <c r="C286" s="134"/>
      <c r="D286" s="134"/>
      <c r="E286" s="134"/>
      <c r="F286" s="134"/>
      <c r="G286" s="134"/>
      <c r="H286" s="52"/>
      <c r="I286" s="52"/>
      <c r="J286" s="52"/>
      <c r="K286" s="134"/>
      <c r="L286" s="53"/>
      <c r="M286" s="53"/>
      <c r="N286" s="53"/>
      <c r="O286" s="53"/>
      <c r="P286" s="53"/>
      <c r="Q286" s="53"/>
      <c r="R286" s="53"/>
      <c r="S286" s="134"/>
      <c r="T286" s="134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ht="12.75" customHeight="1">
      <c r="A287" s="134"/>
      <c r="B287" s="134"/>
      <c r="C287" s="134"/>
      <c r="D287" s="134"/>
      <c r="E287" s="134"/>
      <c r="F287" s="134"/>
      <c r="G287" s="134"/>
      <c r="H287" s="52"/>
      <c r="I287" s="52"/>
      <c r="J287" s="52"/>
      <c r="K287" s="134"/>
      <c r="L287" s="53"/>
      <c r="M287" s="53"/>
      <c r="N287" s="53"/>
      <c r="O287" s="53"/>
      <c r="P287" s="53"/>
      <c r="Q287" s="53"/>
      <c r="R287" s="53"/>
      <c r="S287" s="134"/>
      <c r="T287" s="134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ht="12.75" customHeight="1">
      <c r="A288" s="134"/>
      <c r="B288" s="134"/>
      <c r="C288" s="134"/>
      <c r="D288" s="134"/>
      <c r="E288" s="134"/>
      <c r="F288" s="134"/>
      <c r="G288" s="134"/>
      <c r="H288" s="52"/>
      <c r="I288" s="52"/>
      <c r="J288" s="52"/>
      <c r="K288" s="134"/>
      <c r="L288" s="53"/>
      <c r="M288" s="53"/>
      <c r="N288" s="53"/>
      <c r="O288" s="53"/>
      <c r="P288" s="53"/>
      <c r="Q288" s="53"/>
      <c r="R288" s="53"/>
      <c r="S288" s="134"/>
      <c r="T288" s="134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ht="12.75" customHeight="1">
      <c r="A289" s="134"/>
      <c r="B289" s="134"/>
      <c r="C289" s="134"/>
      <c r="D289" s="134"/>
      <c r="E289" s="134"/>
      <c r="F289" s="134"/>
      <c r="G289" s="134"/>
      <c r="H289" s="52"/>
      <c r="I289" s="52"/>
      <c r="J289" s="52"/>
      <c r="K289" s="134"/>
      <c r="L289" s="53"/>
      <c r="M289" s="53"/>
      <c r="N289" s="53"/>
      <c r="O289" s="53"/>
      <c r="P289" s="53"/>
      <c r="Q289" s="53"/>
      <c r="R289" s="53"/>
      <c r="S289" s="134"/>
      <c r="T289" s="134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ht="12.75" customHeight="1">
      <c r="A290" s="134"/>
      <c r="B290" s="134"/>
      <c r="C290" s="134"/>
      <c r="D290" s="134"/>
      <c r="E290" s="134"/>
      <c r="F290" s="134"/>
      <c r="G290" s="134"/>
      <c r="H290" s="52"/>
      <c r="I290" s="52"/>
      <c r="J290" s="52"/>
      <c r="K290" s="134"/>
      <c r="L290" s="53"/>
      <c r="M290" s="53"/>
      <c r="N290" s="53"/>
      <c r="O290" s="53"/>
      <c r="P290" s="53"/>
      <c r="Q290" s="53"/>
      <c r="R290" s="53"/>
      <c r="S290" s="134"/>
      <c r="T290" s="134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ht="12.75" customHeight="1">
      <c r="A291" s="134"/>
      <c r="B291" s="134"/>
      <c r="C291" s="134"/>
      <c r="D291" s="134"/>
      <c r="E291" s="134"/>
      <c r="F291" s="134"/>
      <c r="G291" s="134"/>
      <c r="H291" s="52"/>
      <c r="I291" s="52"/>
      <c r="J291" s="52"/>
      <c r="K291" s="134"/>
      <c r="L291" s="53"/>
      <c r="M291" s="53"/>
      <c r="N291" s="53"/>
      <c r="O291" s="53"/>
      <c r="P291" s="53"/>
      <c r="Q291" s="53"/>
      <c r="R291" s="53"/>
      <c r="S291" s="134"/>
      <c r="T291" s="134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ht="12.75" customHeight="1">
      <c r="A292" s="134"/>
      <c r="B292" s="134"/>
      <c r="C292" s="134"/>
      <c r="D292" s="134"/>
      <c r="E292" s="134"/>
      <c r="F292" s="134"/>
      <c r="G292" s="134"/>
      <c r="H292" s="52"/>
      <c r="I292" s="52"/>
      <c r="J292" s="52"/>
      <c r="K292" s="134"/>
      <c r="L292" s="53"/>
      <c r="M292" s="53"/>
      <c r="N292" s="53"/>
      <c r="O292" s="53"/>
      <c r="P292" s="53"/>
      <c r="Q292" s="53"/>
      <c r="R292" s="53"/>
      <c r="S292" s="134"/>
      <c r="T292" s="134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ht="12.75" customHeight="1">
      <c r="A293" s="134"/>
      <c r="B293" s="134"/>
      <c r="C293" s="134"/>
      <c r="D293" s="134"/>
      <c r="E293" s="134"/>
      <c r="F293" s="134"/>
      <c r="G293" s="134"/>
      <c r="H293" s="52"/>
      <c r="I293" s="52"/>
      <c r="J293" s="52"/>
      <c r="K293" s="134"/>
      <c r="L293" s="53"/>
      <c r="M293" s="53"/>
      <c r="N293" s="53"/>
      <c r="O293" s="53"/>
      <c r="P293" s="53"/>
      <c r="Q293" s="53"/>
      <c r="R293" s="53"/>
      <c r="S293" s="134"/>
      <c r="T293" s="134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ht="12.75" customHeight="1">
      <c r="A294" s="134"/>
      <c r="B294" s="134"/>
      <c r="C294" s="134"/>
      <c r="D294" s="134"/>
      <c r="E294" s="134"/>
      <c r="F294" s="134"/>
      <c r="G294" s="134"/>
      <c r="H294" s="52"/>
      <c r="I294" s="52"/>
      <c r="J294" s="52"/>
      <c r="K294" s="134"/>
      <c r="L294" s="53"/>
      <c r="M294" s="53"/>
      <c r="N294" s="53"/>
      <c r="O294" s="53"/>
      <c r="P294" s="53"/>
      <c r="Q294" s="53"/>
      <c r="R294" s="53"/>
      <c r="S294" s="134"/>
      <c r="T294" s="134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ht="12.75" customHeight="1">
      <c r="A295" s="134"/>
      <c r="B295" s="134"/>
      <c r="C295" s="134"/>
      <c r="D295" s="134"/>
      <c r="E295" s="134"/>
      <c r="F295" s="134"/>
      <c r="G295" s="134"/>
      <c r="H295" s="52"/>
      <c r="I295" s="52"/>
      <c r="J295" s="52"/>
      <c r="K295" s="134"/>
      <c r="L295" s="53"/>
      <c r="M295" s="53"/>
      <c r="N295" s="53"/>
      <c r="O295" s="53"/>
      <c r="P295" s="53"/>
      <c r="Q295" s="53"/>
      <c r="R295" s="53"/>
      <c r="S295" s="134"/>
      <c r="T295" s="134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ht="12.75" customHeight="1">
      <c r="A296" s="134"/>
      <c r="B296" s="134"/>
      <c r="C296" s="134"/>
      <c r="D296" s="134"/>
      <c r="E296" s="134"/>
      <c r="F296" s="134"/>
      <c r="G296" s="134"/>
      <c r="H296" s="52"/>
      <c r="I296" s="52"/>
      <c r="J296" s="52"/>
      <c r="K296" s="134"/>
      <c r="L296" s="53"/>
      <c r="M296" s="53"/>
      <c r="N296" s="53"/>
      <c r="O296" s="53"/>
      <c r="P296" s="53"/>
      <c r="Q296" s="53"/>
      <c r="R296" s="53"/>
      <c r="S296" s="134"/>
      <c r="T296" s="134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ht="12.75" customHeight="1">
      <c r="A297" s="134"/>
      <c r="B297" s="134"/>
      <c r="C297" s="134"/>
      <c r="D297" s="134"/>
      <c r="E297" s="134"/>
      <c r="F297" s="134"/>
      <c r="G297" s="134"/>
      <c r="H297" s="52"/>
      <c r="I297" s="52"/>
      <c r="J297" s="52"/>
      <c r="K297" s="134"/>
      <c r="L297" s="53"/>
      <c r="M297" s="53"/>
      <c r="N297" s="53"/>
      <c r="O297" s="53"/>
      <c r="P297" s="53"/>
      <c r="Q297" s="53"/>
      <c r="R297" s="53"/>
      <c r="S297" s="134"/>
      <c r="T297" s="134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ht="12.75" customHeight="1">
      <c r="A298" s="134"/>
      <c r="B298" s="134"/>
      <c r="C298" s="134"/>
      <c r="D298" s="134"/>
      <c r="E298" s="134"/>
      <c r="F298" s="134"/>
      <c r="G298" s="134"/>
      <c r="H298" s="52"/>
      <c r="I298" s="52"/>
      <c r="J298" s="52"/>
      <c r="K298" s="134"/>
      <c r="L298" s="53"/>
      <c r="M298" s="53"/>
      <c r="N298" s="53"/>
      <c r="O298" s="53"/>
      <c r="P298" s="53"/>
      <c r="Q298" s="53"/>
      <c r="R298" s="53"/>
      <c r="S298" s="134"/>
      <c r="T298" s="134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5:X85"/>
    <mergeCell ref="U86:X86"/>
    <mergeCell ref="U87:X87"/>
    <mergeCell ref="U88:X88"/>
    <mergeCell ref="U89:X89"/>
    <mergeCell ref="U90:X90"/>
    <mergeCell ref="U81:X81"/>
    <mergeCell ref="U82:X82"/>
    <mergeCell ref="U94:X94"/>
    <mergeCell ref="U95:X95"/>
    <mergeCell ref="U96:X96"/>
    <mergeCell ref="U97:X97"/>
    <mergeCell ref="U98:X98"/>
    <mergeCell ref="U93:X9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B52:F52"/>
    <mergeCell ref="B44:F44"/>
    <mergeCell ref="B60:F60"/>
    <mergeCell ref="B68:F68"/>
    <mergeCell ref="B76:F76"/>
    <mergeCell ref="B84:F84"/>
    <mergeCell ref="B36:F36"/>
    <mergeCell ref="B92:F92"/>
    <mergeCell ref="U54:X54"/>
    <mergeCell ref="U55:X55"/>
    <mergeCell ref="U56:X56"/>
    <mergeCell ref="U57:X57"/>
    <mergeCell ref="U58:X58"/>
    <mergeCell ref="U61:X61"/>
    <mergeCell ref="U62:X62"/>
    <mergeCell ref="U38:X38"/>
    <mergeCell ref="U39:X39"/>
    <mergeCell ref="U40:X40"/>
    <mergeCell ref="U41:X41"/>
    <mergeCell ref="U42:X42"/>
    <mergeCell ref="U37:X37"/>
    <mergeCell ref="U46:X46"/>
    <mergeCell ref="U45:X45"/>
    <mergeCell ref="U47:X47"/>
    <mergeCell ref="U48:X48"/>
    <mergeCell ref="U49:X49"/>
    <mergeCell ref="U50:X50"/>
    <mergeCell ref="U53:X53"/>
    <mergeCell ref="U30:X30"/>
    <mergeCell ref="U31:X31"/>
    <mergeCell ref="U32:X32"/>
    <mergeCell ref="U33:X33"/>
    <mergeCell ref="U34:X34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2026-06-13T11:49:14Z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