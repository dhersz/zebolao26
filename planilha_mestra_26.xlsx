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0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<sst xmlns="http://schemas.openxmlformats.org/spreadsheetml/2006/main" count="10962" uniqueCount="254">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</sst>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8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0"/>
      <color rgb="FF000000"/>
      <name val="Arial"/>
      <family val="2"/>
      <charset val="1"/>
    </font>
    <font>
      <sz val="11"/>
      <color rgb="FF000000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  <font>
      <b val="true"/>
      <sz val="14"/>
      <color rgb="FF1FB714"/>
      <name val="Arial"/>
      <family val="2"/>
      <charset val="1"/>
    </font>
    <font>
      <sz val="10"/>
      <color rgb="FFFFFFFF"/>
      <name val="Arial"/>
      <family val="2"/>
      <charset val="1"/>
    </font>
    <font>
      <sz val="11"/>
      <color rgb="FFFFFFFF"/>
      <name val="Cambria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1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21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0" xfId="21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6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21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1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21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6" xfId="21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9" xfId="21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0" xfId="21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21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9" xfId="21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1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21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0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5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1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4.41796875" defaultRowHeight="15" zeroHeight="false" outlineLevelRow="0" outlineLevelCol="0"/>
  <cols>
    <col collapsed="false" customWidth="true" hidden="false" outlineLevel="0" max="6" min="1" style="0" width="11.57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20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/>
      <c r="D5" s="16" t="s">
        <v>29</v>
      </c>
      <c r="E5" s="19"/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/>
      <c r="D6" s="16" t="s">
        <v>29</v>
      </c>
      <c r="E6" s="19"/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/>
      <c r="D7" s="16" t="s">
        <v>29</v>
      </c>
      <c r="E7" s="19"/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/>
      <c r="D8" s="16" t="s">
        <v>29</v>
      </c>
      <c r="E8" s="19"/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/>
      <c r="D9" s="16" t="s">
        <v>29</v>
      </c>
      <c r="E9" s="19"/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/>
      <c r="D10" s="35" t="s">
        <v>29</v>
      </c>
      <c r="E10" s="39"/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/>
      <c r="D13" s="16" t="s">
        <v>29</v>
      </c>
      <c r="E13" s="19"/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/>
      <c r="D14" s="16" t="s">
        <v>29</v>
      </c>
      <c r="E14" s="19"/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/>
      <c r="D15" s="16" t="s">
        <v>29</v>
      </c>
      <c r="E15" s="19"/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/>
      <c r="D16" s="16" t="s">
        <v>29</v>
      </c>
      <c r="E16" s="19"/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/>
      <c r="D17" s="16" t="s">
        <v>29</v>
      </c>
      <c r="E17" s="19"/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/>
      <c r="D18" s="35" t="s">
        <v>29</v>
      </c>
      <c r="E18" s="39"/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/>
      <c r="D21" s="16" t="s">
        <v>29</v>
      </c>
      <c r="E21" s="19"/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/>
      <c r="D22" s="16" t="s">
        <v>29</v>
      </c>
      <c r="E22" s="19"/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/>
      <c r="D23" s="16" t="s">
        <v>29</v>
      </c>
      <c r="E23" s="19"/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/>
      <c r="D24" s="16" t="s">
        <v>29</v>
      </c>
      <c r="E24" s="19"/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/>
      <c r="D25" s="16" t="s">
        <v>29</v>
      </c>
      <c r="E25" s="19"/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/>
      <c r="D26" s="35" t="s">
        <v>29</v>
      </c>
      <c r="E26" s="39"/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/>
      <c r="D29" s="16" t="s">
        <v>29</v>
      </c>
      <c r="E29" s="19"/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/>
      <c r="D30" s="16" t="s">
        <v>29</v>
      </c>
      <c r="E30" s="19"/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/>
      <c r="D31" s="16" t="s">
        <v>29</v>
      </c>
      <c r="E31" s="19"/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/>
      <c r="D32" s="16" t="s">
        <v>29</v>
      </c>
      <c r="E32" s="19"/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/>
      <c r="D33" s="16" t="s">
        <v>29</v>
      </c>
      <c r="E33" s="19"/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/>
      <c r="D34" s="35" t="s">
        <v>29</v>
      </c>
      <c r="E34" s="39"/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/>
      <c r="D37" s="16" t="s">
        <v>29</v>
      </c>
      <c r="E37" s="19"/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/>
      <c r="D38" s="16" t="s">
        <v>29</v>
      </c>
      <c r="E38" s="19"/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/>
      <c r="D39" s="16" t="s">
        <v>29</v>
      </c>
      <c r="E39" s="19"/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/>
      <c r="D40" s="16" t="s">
        <v>29</v>
      </c>
      <c r="E40" s="19"/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/>
      <c r="D41" s="16" t="s">
        <v>29</v>
      </c>
      <c r="E41" s="19"/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/>
      <c r="D42" s="35" t="s">
        <v>29</v>
      </c>
      <c r="E42" s="39"/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/>
      <c r="D45" s="16" t="s">
        <v>29</v>
      </c>
      <c r="E45" s="19"/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/>
      <c r="D46" s="16" t="s">
        <v>29</v>
      </c>
      <c r="E46" s="19"/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/>
      <c r="D47" s="16" t="s">
        <v>29</v>
      </c>
      <c r="E47" s="19"/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/>
      <c r="D48" s="16" t="s">
        <v>29</v>
      </c>
      <c r="E48" s="19"/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/>
      <c r="D49" s="16" t="s">
        <v>29</v>
      </c>
      <c r="E49" s="19"/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/>
      <c r="D50" s="35" t="s">
        <v>29</v>
      </c>
      <c r="E50" s="39"/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/>
      <c r="D53" s="16" t="s">
        <v>29</v>
      </c>
      <c r="E53" s="19"/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/>
      <c r="D54" s="16" t="s">
        <v>29</v>
      </c>
      <c r="E54" s="19"/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/>
      <c r="D55" s="16" t="s">
        <v>29</v>
      </c>
      <c r="E55" s="19"/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/>
      <c r="D56" s="16" t="s">
        <v>29</v>
      </c>
      <c r="E56" s="19"/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/>
      <c r="D57" s="16" t="s">
        <v>29</v>
      </c>
      <c r="E57" s="19"/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/>
      <c r="D58" s="35" t="s">
        <v>29</v>
      </c>
      <c r="E58" s="39"/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/>
      <c r="D61" s="16" t="s">
        <v>29</v>
      </c>
      <c r="E61" s="19"/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/>
      <c r="D62" s="16" t="s">
        <v>29</v>
      </c>
      <c r="E62" s="19"/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/>
      <c r="D63" s="16" t="s">
        <v>29</v>
      </c>
      <c r="E63" s="19"/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/>
      <c r="D64" s="16" t="s">
        <v>29</v>
      </c>
      <c r="E64" s="19"/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/>
      <c r="D65" s="16" t="s">
        <v>29</v>
      </c>
      <c r="E65" s="19"/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/>
      <c r="D66" s="35" t="s">
        <v>29</v>
      </c>
      <c r="E66" s="39"/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/>
      <c r="D69" s="16" t="s">
        <v>29</v>
      </c>
      <c r="E69" s="19"/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/>
      <c r="D70" s="16" t="s">
        <v>29</v>
      </c>
      <c r="E70" s="19"/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/>
      <c r="D71" s="16" t="s">
        <v>29</v>
      </c>
      <c r="E71" s="19"/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/>
      <c r="D72" s="16" t="s">
        <v>29</v>
      </c>
      <c r="E72" s="19"/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/>
      <c r="D73" s="16" t="s">
        <v>29</v>
      </c>
      <c r="E73" s="19"/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/>
      <c r="D74" s="35" t="s">
        <v>29</v>
      </c>
      <c r="E74" s="39"/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/>
      <c r="D77" s="16" t="s">
        <v>29</v>
      </c>
      <c r="E77" s="19"/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/>
      <c r="D78" s="16" t="s">
        <v>29</v>
      </c>
      <c r="E78" s="19"/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/>
      <c r="D79" s="16" t="s">
        <v>29</v>
      </c>
      <c r="E79" s="19"/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/>
      <c r="D80" s="16" t="s">
        <v>29</v>
      </c>
      <c r="E80" s="19"/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/>
      <c r="D81" s="16" t="s">
        <v>29</v>
      </c>
      <c r="E81" s="19"/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/>
      <c r="D82" s="35" t="s">
        <v>29</v>
      </c>
      <c r="E82" s="39"/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/>
      <c r="D85" s="16" t="s">
        <v>29</v>
      </c>
      <c r="E85" s="19"/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/>
      <c r="D86" s="16" t="s">
        <v>29</v>
      </c>
      <c r="E86" s="19"/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/>
      <c r="D87" s="16" t="s">
        <v>29</v>
      </c>
      <c r="E87" s="19"/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/>
      <c r="D88" s="16" t="s">
        <v>29</v>
      </c>
      <c r="E88" s="19"/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/>
      <c r="D89" s="16" t="s">
        <v>29</v>
      </c>
      <c r="E89" s="19"/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/>
      <c r="D90" s="35" t="s">
        <v>29</v>
      </c>
      <c r="E90" s="39"/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/>
      <c r="D93" s="16" t="s">
        <v>29</v>
      </c>
      <c r="E93" s="19"/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/>
      <c r="D94" s="16" t="s">
        <v>29</v>
      </c>
      <c r="E94" s="19"/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/>
      <c r="D95" s="16" t="s">
        <v>29</v>
      </c>
      <c r="E95" s="19"/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/>
      <c r="D96" s="16" t="s">
        <v>29</v>
      </c>
      <c r="E96" s="19"/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/>
      <c r="D97" s="16" t="s">
        <v>29</v>
      </c>
      <c r="E97" s="19"/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/>
      <c r="D98" s="35" t="s">
        <v>29</v>
      </c>
      <c r="E98" s="39"/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29"/>
    <col collapsed="false" customWidth="true" hidden="false" outlineLevel="0" max="5" min="5" style="0" width="2.85"/>
    <col collapsed="false" customWidth="true" hidden="false" outlineLevel="0" max="6" min="6" style="0" width="18.15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01"/>
    <col collapsed="false" customWidth="true" hidden="false" outlineLevel="0" max="11" min="11" style="0" width="16.14"/>
    <col collapsed="false" customWidth="true" hidden="false" outlineLevel="0" max="18" min="12" style="0" width="4.01"/>
    <col collapsed="false" customWidth="true" hidden="false" outlineLevel="0" max="26" min="19" style="0" width="11.43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customFormat="false" ht="13.5" hidden="false" customHeight="true" outlineLevel="0" collapsed="false">
      <c r="B2" s="50" t="s">
        <v>238</v>
      </c>
      <c r="C2" s="50"/>
      <c r="D2" s="50"/>
      <c r="E2" s="50"/>
      <c r="F2" s="50"/>
      <c r="G2" s="2"/>
      <c r="H2" s="50" t="s">
        <v>21</v>
      </c>
      <c r="I2" s="50"/>
      <c r="J2" s="2"/>
      <c r="K2" s="50" t="s">
        <v>22</v>
      </c>
      <c r="L2" s="50"/>
      <c r="M2" s="50"/>
      <c r="N2" s="50"/>
      <c r="O2" s="50"/>
      <c r="P2" s="50"/>
      <c r="Q2" s="50"/>
      <c r="R2" s="50"/>
      <c r="U2" s="5"/>
      <c r="V2" s="5"/>
      <c r="W2" s="5"/>
      <c r="X2" s="5"/>
      <c r="Y2" s="5"/>
      <c r="Z2" s="5"/>
    </row>
    <row r="3" customFormat="false" ht="13.5" hidden="false" customHeight="true" outlineLevel="0" collapsed="false">
      <c r="B3" s="5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52"/>
      <c r="H4" s="13" t="s">
        <v>26</v>
      </c>
      <c r="I4" s="14" t="s">
        <v>27</v>
      </c>
      <c r="J4" s="15"/>
      <c r="K4" s="24"/>
      <c r="L4" s="25" t="s">
        <v>31</v>
      </c>
      <c r="M4" s="25" t="s">
        <v>32</v>
      </c>
      <c r="N4" s="25" t="s">
        <v>33</v>
      </c>
      <c r="O4" s="25" t="s">
        <v>34</v>
      </c>
      <c r="P4" s="25" t="s">
        <v>35</v>
      </c>
      <c r="Q4" s="25" t="s">
        <v>36</v>
      </c>
      <c r="R4" s="26" t="s">
        <v>37</v>
      </c>
      <c r="U4" s="5"/>
      <c r="V4" s="5"/>
      <c r="W4" s="5"/>
      <c r="X4" s="5"/>
      <c r="Y4" s="5"/>
      <c r="Z4" s="5"/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6" t="n">
        <f aca="false">N5-O5</f>
        <v>0</v>
      </c>
      <c r="N5" s="16" t="n">
        <f aca="true">SUM(INDIRECT($U5),INDIRECT($V5),INDIRECT($W5))</f>
        <v>0</v>
      </c>
      <c r="O5" s="16" t="n">
        <f aca="true">SUM(INDIRECT($X5),INDIRECT($Y5),INDIRECT($Z5))</f>
        <v>0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40</v>
      </c>
      <c r="V5" s="5" t="s">
        <v>41</v>
      </c>
      <c r="W5" s="5" t="s">
        <v>42</v>
      </c>
      <c r="X5" s="5" t="str">
        <f aca="false">IF(ISNUMBER(FIND("C", U5, 1)), SUBSTITUTE(U5, "C", "E"), SUBSTITUTE(U5, "E", "C"))</f>
        <v>E6</v>
      </c>
      <c r="Y5" s="5" t="str">
        <f aca="false">IF(ISNUMBER(FIND("C", V5, 1)), SUBSTITUTE(V5, "C", "E"), SUBSTITUTE(V5, "E", "C"))</f>
        <v>C8</v>
      </c>
      <c r="Z5" s="5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/>
      <c r="D6" s="53" t="str">
        <f aca="false">APOSTAS!D6</f>
        <v>x</v>
      </c>
      <c r="E6" s="19"/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5" t="s">
        <v>43</v>
      </c>
      <c r="V6" s="5" t="s">
        <v>44</v>
      </c>
      <c r="W6" s="5" t="s">
        <v>45</v>
      </c>
      <c r="X6" s="5" t="str">
        <f aca="false">IF(ISNUMBER(FIND("C", U6, 1)), SUBSTITUTE(U6, "C", "E"), SUBSTITUTE(U6, "E", "C"))</f>
        <v>E5</v>
      </c>
      <c r="Y6" s="5" t="str">
        <f aca="false">IF(ISNUMBER(FIND("C", V6, 1)), SUBSTITUTE(V6, "C", "E"), SUBSTITUTE(V6, "E", "C"))</f>
        <v>E8</v>
      </c>
      <c r="Z6" s="5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0</v>
      </c>
      <c r="N7" s="16" t="n">
        <f aca="true">SUM(INDIRECT($U7),INDIRECT($V7),INDIRECT($W7))</f>
        <v>0</v>
      </c>
      <c r="O7" s="16" t="n">
        <f aca="true">SUM(INDIRECT($X7),INDIRECT($Y7),INDIRECT($Z7))</f>
        <v>0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5" t="s">
        <v>46</v>
      </c>
      <c r="V7" s="5" t="s">
        <v>47</v>
      </c>
      <c r="W7" s="5" t="s">
        <v>48</v>
      </c>
      <c r="X7" s="5" t="str">
        <f aca="false">IF(ISNUMBER(FIND("C", U7, 1)), SUBSTITUTE(U7, "C", "E"), SUBSTITUTE(U7, "E", "C"))</f>
        <v>C6</v>
      </c>
      <c r="Y7" s="5" t="str">
        <f aca="false">IF(ISNUMBER(FIND("C", V7, 1)), SUBSTITUTE(V7, "C", "E"), SUBSTITUTE(V7, "E", "C"))</f>
        <v>E7</v>
      </c>
      <c r="Z7" s="5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5" t="s">
        <v>49</v>
      </c>
      <c r="V8" s="5" t="s">
        <v>50</v>
      </c>
      <c r="W8" s="5" t="s">
        <v>51</v>
      </c>
      <c r="X8" s="5" t="str">
        <f aca="false">IF(ISNUMBER(FIND("C", U8, 1)), SUBSTITUTE(U8, "C", "E"), SUBSTITUTE(U8, "E", "C"))</f>
        <v>C5</v>
      </c>
      <c r="Y8" s="5" t="str">
        <f aca="false">IF(ISNUMBER(FIND("C", V8, 1)), SUBSTITUTE(V8, "C", "E"), SUBSTITUTE(V8, "E", "C"))</f>
        <v>C7</v>
      </c>
      <c r="Z8" s="5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  <c r="U9" s="5"/>
      <c r="V9" s="5"/>
      <c r="W9" s="5"/>
      <c r="X9" s="5"/>
      <c r="Y9" s="5"/>
      <c r="Z9" s="5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44"/>
      <c r="L12" s="25" t="s">
        <v>31</v>
      </c>
      <c r="M12" s="25" t="s">
        <v>32</v>
      </c>
      <c r="N12" s="25" t="s">
        <v>33</v>
      </c>
      <c r="O12" s="25" t="s">
        <v>34</v>
      </c>
      <c r="P12" s="25" t="s">
        <v>35</v>
      </c>
      <c r="Q12" s="25" t="s">
        <v>36</v>
      </c>
      <c r="R12" s="26" t="s">
        <v>37</v>
      </c>
      <c r="U12" s="5"/>
      <c r="V12" s="5"/>
      <c r="W12" s="5"/>
      <c r="X12" s="5"/>
      <c r="Y12" s="5"/>
      <c r="Z12" s="5"/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2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57</v>
      </c>
      <c r="V13" s="5" t="s">
        <v>58</v>
      </c>
      <c r="W13" s="5" t="s">
        <v>59</v>
      </c>
      <c r="X13" s="5" t="str">
        <f aca="false">IF(ISNUMBER(FIND("C", U13, 1)), SUBSTITUTE(U13, "C", "E"), SUBSTITUTE(U13, "E", "C"))</f>
        <v>C13</v>
      </c>
      <c r="Y13" s="5" t="str">
        <f aca="false">IF(ISNUMBER(FIND("C", V13, 1)), SUBSTITUTE(V13, "C", "E"), SUBSTITUTE(V13, "E", "C"))</f>
        <v>C15</v>
      </c>
      <c r="Z13" s="5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2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5" t="s">
        <v>60</v>
      </c>
      <c r="V14" s="5" t="s">
        <v>61</v>
      </c>
      <c r="W14" s="5" t="s">
        <v>62</v>
      </c>
      <c r="X14" s="5" t="str">
        <f aca="false">IF(ISNUMBER(FIND("C", U14, 1)), SUBSTITUTE(U14, "C", "E"), SUBSTITUTE(U14, "E", "C"))</f>
        <v>E13</v>
      </c>
      <c r="Y14" s="5" t="str">
        <f aca="false">IF(ISNUMBER(FIND("C", V14, 1)), SUBSTITUTE(V14, "C", "E"), SUBSTITUTE(V14, "E", "C"))</f>
        <v>E16</v>
      </c>
      <c r="Z14" s="5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2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5" t="s">
        <v>63</v>
      </c>
      <c r="V15" s="5" t="s">
        <v>64</v>
      </c>
      <c r="W15" s="5" t="s">
        <v>65</v>
      </c>
      <c r="X15" s="5" t="str">
        <f aca="false">IF(ISNUMBER(FIND("C", U15, 1)), SUBSTITUTE(U15, "C", "E"), SUBSTITUTE(U15, "E", "C"))</f>
        <v>E14</v>
      </c>
      <c r="Y15" s="5" t="str">
        <f aca="false">IF(ISNUMBER(FIND("C", V15, 1)), SUBSTITUTE(V15, "C", "E"), SUBSTITUTE(V15, "E", "C"))</f>
        <v>C16</v>
      </c>
      <c r="Z15" s="5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2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5" t="s">
        <v>66</v>
      </c>
      <c r="V16" s="5" t="s">
        <v>67</v>
      </c>
      <c r="W16" s="5" t="s">
        <v>68</v>
      </c>
      <c r="X16" s="5" t="str">
        <f aca="false">IF(ISNUMBER(FIND("C", U16, 1)), SUBSTITUTE(U16, "C", "E"), SUBSTITUTE(U16, "E", "C"))</f>
        <v>C14</v>
      </c>
      <c r="Y16" s="5" t="str">
        <f aca="false">IF(ISNUMBER(FIND("C", V16, 1)), SUBSTITUTE(V16, "C", "E"), SUBSTITUTE(V16, "E", "C"))</f>
        <v>E15</v>
      </c>
      <c r="Z16" s="5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2"/>
      <c r="H17" s="21" t="n">
        <v>44894</v>
      </c>
      <c r="I17" s="22" t="n">
        <v>0.666666666666667</v>
      </c>
      <c r="J17" s="23"/>
      <c r="K17" s="27"/>
      <c r="U17" s="5"/>
      <c r="V17" s="5"/>
      <c r="W17" s="5"/>
      <c r="X17" s="5"/>
      <c r="Y17" s="5"/>
      <c r="Z17" s="5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2"/>
      <c r="H18" s="41" t="n">
        <v>44894</v>
      </c>
      <c r="I18" s="42" t="n">
        <v>0.666666666666667</v>
      </c>
      <c r="J18" s="23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44"/>
      <c r="L20" s="25" t="s">
        <v>31</v>
      </c>
      <c r="M20" s="25" t="s">
        <v>32</v>
      </c>
      <c r="N20" s="25" t="s">
        <v>33</v>
      </c>
      <c r="O20" s="25" t="s">
        <v>34</v>
      </c>
      <c r="P20" s="25" t="s">
        <v>35</v>
      </c>
      <c r="Q20" s="25" t="s">
        <v>36</v>
      </c>
      <c r="R20" s="26" t="s">
        <v>37</v>
      </c>
      <c r="U20" s="5"/>
      <c r="V20" s="5"/>
      <c r="W20" s="5"/>
      <c r="X20" s="5"/>
      <c r="Y20" s="5"/>
      <c r="Z20" s="5"/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2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5" t="s">
        <v>74</v>
      </c>
      <c r="V21" s="5" t="s">
        <v>75</v>
      </c>
      <c r="W21" s="5" t="s">
        <v>76</v>
      </c>
      <c r="X21" s="5" t="str">
        <f aca="false">IF(ISNUMBER(FIND("C", U21, 1)), SUBSTITUTE(U21, "C", "E"), SUBSTITUTE(U21, "E", "C"))</f>
        <v>E21</v>
      </c>
      <c r="Y21" s="5" t="str">
        <f aca="false">IF(ISNUMBER(FIND("C", V21, 1)), SUBSTITUTE(V21, "C", "E"), SUBSTITUTE(V21, "E", "C"))</f>
        <v>E24</v>
      </c>
      <c r="Z21" s="5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2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5" t="s">
        <v>77</v>
      </c>
      <c r="V22" s="5" t="s">
        <v>78</v>
      </c>
      <c r="W22" s="5" t="s">
        <v>79</v>
      </c>
      <c r="X22" s="5" t="str">
        <f aca="false">IF(ISNUMBER(FIND("C", U22, 1)), SUBSTITUTE(U22, "C", "E"), SUBSTITUTE(U22, "E", "C"))</f>
        <v>C22</v>
      </c>
      <c r="Y22" s="5" t="str">
        <f aca="false">IF(ISNUMBER(FIND("C", V22, 1)), SUBSTITUTE(V22, "C", "E"), SUBSTITUTE(V22, "E", "C"))</f>
        <v>E23</v>
      </c>
      <c r="Z22" s="5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2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5" t="s">
        <v>80</v>
      </c>
      <c r="V23" s="5" t="s">
        <v>81</v>
      </c>
      <c r="W23" s="5" t="s">
        <v>82</v>
      </c>
      <c r="X23" s="5" t="str">
        <f aca="false">IF(ISNUMBER(FIND("C", U23, 1)), SUBSTITUTE(U23, "C", "E"), SUBSTITUTE(U23, "E", "C"))</f>
        <v>E22</v>
      </c>
      <c r="Y23" s="5" t="str">
        <f aca="false">IF(ISNUMBER(FIND("C", V23, 1)), SUBSTITUTE(V23, "C", "E"), SUBSTITUTE(V23, "E", "C"))</f>
        <v>C24</v>
      </c>
      <c r="Z23" s="5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2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4" t="n">
        <f aca="false">N24-O24</f>
        <v>0</v>
      </c>
      <c r="N24" s="54" t="n">
        <f aca="false">SUM(E22,E24,E26)</f>
        <v>0</v>
      </c>
      <c r="O24" s="54" t="n">
        <f aca="false">SUM(C22,C24,C26)</f>
        <v>0</v>
      </c>
      <c r="P24" s="54" t="n">
        <f aca="false">SUM(IF(AND(ISNUMBER(E22),E22&gt;C22),1,0),IF(AND(ISNUMBER(E24),E24&gt;C24),1,0),IF(AND(ISNUMBER(E26),E26&gt;C26),1,0))</f>
        <v>0</v>
      </c>
      <c r="Q24" s="54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5" t="s">
        <v>83</v>
      </c>
      <c r="V24" s="5" t="s">
        <v>84</v>
      </c>
      <c r="W24" s="5" t="s">
        <v>85</v>
      </c>
      <c r="X24" s="5" t="str">
        <f aca="false">IF(ISNUMBER(FIND("C", U24, 1)), SUBSTITUTE(U24, "C", "E"), SUBSTITUTE(U24, "E", "C"))</f>
        <v>C21</v>
      </c>
      <c r="Y24" s="5" t="str">
        <f aca="false">IF(ISNUMBER(FIND("C", V24, 1)), SUBSTITUTE(V24, "C", "E"), SUBSTITUTE(V24, "E", "C"))</f>
        <v>C23</v>
      </c>
      <c r="Z24" s="5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2"/>
      <c r="H25" s="21" t="n">
        <v>44895</v>
      </c>
      <c r="I25" s="22" t="n">
        <v>0.666666666666667</v>
      </c>
      <c r="J25" s="23"/>
      <c r="K25" s="43"/>
      <c r="U25" s="5"/>
      <c r="V25" s="5"/>
      <c r="W25" s="5"/>
      <c r="X25" s="5"/>
      <c r="Y25" s="5"/>
      <c r="Z25" s="5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2"/>
      <c r="H26" s="41" t="n">
        <v>44895</v>
      </c>
      <c r="I26" s="42" t="n">
        <v>0.666666666666667</v>
      </c>
      <c r="J26" s="23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4"/>
      <c r="L28" s="25" t="s">
        <v>31</v>
      </c>
      <c r="M28" s="25" t="s">
        <v>32</v>
      </c>
      <c r="N28" s="25" t="s">
        <v>33</v>
      </c>
      <c r="O28" s="25" t="s">
        <v>34</v>
      </c>
      <c r="P28" s="25" t="s">
        <v>35</v>
      </c>
      <c r="Q28" s="25" t="s">
        <v>36</v>
      </c>
      <c r="R28" s="26" t="s">
        <v>37</v>
      </c>
      <c r="U28" s="5"/>
      <c r="V28" s="5"/>
      <c r="W28" s="5"/>
      <c r="X28" s="5"/>
      <c r="Y28" s="5"/>
      <c r="Z28" s="5"/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2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91</v>
      </c>
      <c r="V29" s="5" t="s">
        <v>92</v>
      </c>
      <c r="W29" s="5" t="s">
        <v>93</v>
      </c>
      <c r="X29" s="5" t="str">
        <f aca="false">IF(ISNUMBER(FIND("C", U29, 1)), SUBSTITUTE(U29, "C", "E"), SUBSTITUTE(U29, "E", "C"))</f>
        <v>E30</v>
      </c>
      <c r="Y29" s="5" t="str">
        <f aca="false">IF(ISNUMBER(FIND("C", V29, 1)), SUBSTITUTE(V29, "C", "E"), SUBSTITUTE(V29, "E", "C"))</f>
        <v>C31</v>
      </c>
      <c r="Z29" s="5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2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5" t="s">
        <v>94</v>
      </c>
      <c r="V30" s="5" t="s">
        <v>95</v>
      </c>
      <c r="W30" s="5" t="s">
        <v>96</v>
      </c>
      <c r="X30" s="5" t="str">
        <f aca="false">IF(ISNUMBER(FIND("C", U30, 1)), SUBSTITUTE(U30, "C", "E"), SUBSTITUTE(U30, "E", "C"))</f>
        <v>E29</v>
      </c>
      <c r="Y30" s="5" t="str">
        <f aca="false">IF(ISNUMBER(FIND("C", V30, 1)), SUBSTITUTE(V30, "C", "E"), SUBSTITUTE(V30, "E", "C"))</f>
        <v>E31</v>
      </c>
      <c r="Z30" s="5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2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5" t="s">
        <v>97</v>
      </c>
      <c r="V31" s="5" t="s">
        <v>98</v>
      </c>
      <c r="W31" s="5" t="s">
        <v>93</v>
      </c>
      <c r="X31" s="5" t="str">
        <f aca="false">IF(ISNUMBER(FIND("C", U31, 1)), SUBSTITUTE(U31, "C", "E"), SUBSTITUTE(U31, "E", "C"))</f>
        <v>C29</v>
      </c>
      <c r="Y31" s="5" t="str">
        <f aca="false">IF(ISNUMBER(FIND("C", V31, 1)), SUBSTITUTE(V31, "C", "E"), SUBSTITUTE(V31, "E", "C"))</f>
        <v>C32</v>
      </c>
      <c r="Z31" s="5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2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5" t="s">
        <v>99</v>
      </c>
      <c r="V32" s="5" t="s">
        <v>100</v>
      </c>
      <c r="W32" s="5" t="s">
        <v>101</v>
      </c>
      <c r="X32" s="5" t="str">
        <f aca="false">IF(ISNUMBER(FIND("C", U32, 1)), SUBSTITUTE(U32, "C", "E"), SUBSTITUTE(U32, "E", "C"))</f>
        <v>C30</v>
      </c>
      <c r="Y32" s="5" t="str">
        <f aca="false">IF(ISNUMBER(FIND("C", V32, 1)), SUBSTITUTE(V32, "C", "E"), SUBSTITUTE(V32, "E", "C"))</f>
        <v>E32</v>
      </c>
      <c r="Z32" s="5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2"/>
      <c r="H33" s="21" t="n">
        <v>44895</v>
      </c>
      <c r="I33" s="22" t="n">
        <v>0.5</v>
      </c>
      <c r="J33" s="23"/>
      <c r="K33" s="43"/>
      <c r="U33" s="5"/>
      <c r="V33" s="5"/>
      <c r="W33" s="5"/>
      <c r="X33" s="5"/>
      <c r="Y33" s="5"/>
      <c r="Z33" s="5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2"/>
      <c r="H34" s="41" t="n">
        <v>44895</v>
      </c>
      <c r="I34" s="42" t="n">
        <v>0.5</v>
      </c>
      <c r="J34" s="23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4"/>
      <c r="L36" s="25" t="s">
        <v>31</v>
      </c>
      <c r="M36" s="25" t="s">
        <v>32</v>
      </c>
      <c r="N36" s="25" t="s">
        <v>33</v>
      </c>
      <c r="O36" s="25" t="s">
        <v>34</v>
      </c>
      <c r="P36" s="25" t="s">
        <v>35</v>
      </c>
      <c r="Q36" s="25" t="s">
        <v>36</v>
      </c>
      <c r="R36" s="26" t="s">
        <v>37</v>
      </c>
      <c r="U36" s="5"/>
      <c r="V36" s="5"/>
      <c r="W36" s="5"/>
      <c r="X36" s="5"/>
      <c r="Y36" s="5"/>
      <c r="Z36" s="5"/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2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107</v>
      </c>
      <c r="V37" s="5" t="s">
        <v>108</v>
      </c>
      <c r="W37" s="5" t="s">
        <v>109</v>
      </c>
      <c r="X37" s="5" t="str">
        <f aca="false">IF(ISNUMBER(FIND("C", U37, 1)), SUBSTITUTE(U37, "C", "E"), SUBSTITUTE(U37, "E", "C"))</f>
        <v>E37</v>
      </c>
      <c r="Y37" s="5" t="str">
        <f aca="false">IF(ISNUMBER(FIND("C", V37, 1)), SUBSTITUTE(V37, "C", "E"), SUBSTITUTE(V37, "E", "C"))</f>
        <v>E39</v>
      </c>
      <c r="Z37" s="5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2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5" t="s">
        <v>110</v>
      </c>
      <c r="V38" s="5" t="s">
        <v>111</v>
      </c>
      <c r="W38" s="5" t="s">
        <v>112</v>
      </c>
      <c r="X38" s="5" t="str">
        <f aca="false">IF(ISNUMBER(FIND("C", U38, 1)), SUBSTITUTE(U38, "C", "E"), SUBSTITUTE(U38, "E", "C"))</f>
        <v>E38</v>
      </c>
      <c r="Y38" s="5" t="str">
        <f aca="false">IF(ISNUMBER(FIND("C", V38, 1)), SUBSTITUTE(V38, "C", "E"), SUBSTITUTE(V38, "E", "C"))</f>
        <v>C39</v>
      </c>
      <c r="Z38" s="5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2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5" t="s">
        <v>113</v>
      </c>
      <c r="V39" s="5" t="s">
        <v>114</v>
      </c>
      <c r="W39" s="5" t="s">
        <v>115</v>
      </c>
      <c r="X39" s="5" t="str">
        <f aca="false">IF(ISNUMBER(FIND("C", U39, 1)), SUBSTITUTE(U39, "C", "E"), SUBSTITUTE(U39, "E", "C"))</f>
        <v>C37</v>
      </c>
      <c r="Y39" s="5" t="str">
        <f aca="false">IF(ISNUMBER(FIND("C", V39, 1)), SUBSTITUTE(V39, "C", "E"), SUBSTITUTE(V39, "E", "C"))</f>
        <v>C40</v>
      </c>
      <c r="Z39" s="5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2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5" t="s">
        <v>116</v>
      </c>
      <c r="V40" s="5" t="s">
        <v>117</v>
      </c>
      <c r="W40" s="5" t="s">
        <v>118</v>
      </c>
      <c r="X40" s="5" t="str">
        <f aca="false">IF(ISNUMBER(FIND("C", U40, 1)), SUBSTITUTE(U40, "C", "E"), SUBSTITUTE(U40, "E", "C"))</f>
        <v>C38</v>
      </c>
      <c r="Y40" s="5" t="str">
        <f aca="false">IF(ISNUMBER(FIND("C", V40, 1)), SUBSTITUTE(V40, "C", "E"), SUBSTITUTE(V40, "E", "C"))</f>
        <v>E40</v>
      </c>
      <c r="Z40" s="5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2"/>
      <c r="H41" s="21" t="n">
        <v>44896</v>
      </c>
      <c r="I41" s="22" t="n">
        <v>0.666666666666667</v>
      </c>
      <c r="J41" s="23"/>
      <c r="K41" s="43"/>
      <c r="U41" s="5"/>
      <c r="V41" s="5"/>
      <c r="W41" s="5"/>
      <c r="X41" s="5"/>
      <c r="Y41" s="5"/>
      <c r="Z41" s="5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2"/>
      <c r="H42" s="41" t="n">
        <v>44896</v>
      </c>
      <c r="I42" s="42" t="n">
        <v>0.666666666666667</v>
      </c>
      <c r="J42" s="23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4"/>
      <c r="L44" s="25" t="s">
        <v>31</v>
      </c>
      <c r="M44" s="25" t="s">
        <v>32</v>
      </c>
      <c r="N44" s="25" t="s">
        <v>33</v>
      </c>
      <c r="O44" s="25" t="s">
        <v>34</v>
      </c>
      <c r="P44" s="25" t="s">
        <v>35</v>
      </c>
      <c r="Q44" s="25" t="s">
        <v>36</v>
      </c>
      <c r="R44" s="26" t="s">
        <v>37</v>
      </c>
      <c r="U44" s="5"/>
      <c r="V44" s="5"/>
      <c r="W44" s="5"/>
      <c r="X44" s="5"/>
      <c r="Y44" s="5"/>
      <c r="Z44" s="5"/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2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124</v>
      </c>
      <c r="V45" s="5" t="s">
        <v>125</v>
      </c>
      <c r="W45" s="5" t="s">
        <v>126</v>
      </c>
      <c r="X45" s="5" t="str">
        <f aca="false">IF(ISNUMBER(FIND("C", U45, 1)), SUBSTITUTE(U45, "C", "E"), SUBSTITUTE(U45, "E", "C"))</f>
        <v>E45</v>
      </c>
      <c r="Y45" s="5" t="str">
        <f aca="false">IF(ISNUMBER(FIND("C", V45, 1)), SUBSTITUTE(V45, "C", "E"), SUBSTITUTE(V45, "E", "C"))</f>
        <v>E47</v>
      </c>
      <c r="Z45" s="5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2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5" t="s">
        <v>127</v>
      </c>
      <c r="V46" s="5" t="s">
        <v>128</v>
      </c>
      <c r="W46" s="5" t="s">
        <v>129</v>
      </c>
      <c r="X46" s="5" t="str">
        <f aca="false">IF(ISNUMBER(FIND("C", U46, 1)), SUBSTITUTE(U46, "C", "E"), SUBSTITUTE(U46, "E", "C"))</f>
        <v>C45</v>
      </c>
      <c r="Y46" s="5" t="str">
        <f aca="false">IF(ISNUMBER(FIND("C", V46, 1)), SUBSTITUTE(V46, "C", "E"), SUBSTITUTE(V46, "E", "C"))</f>
        <v>C48</v>
      </c>
      <c r="Z46" s="5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2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5" t="s">
        <v>130</v>
      </c>
      <c r="V47" s="5" t="s">
        <v>131</v>
      </c>
      <c r="W47" s="5" t="s">
        <v>132</v>
      </c>
      <c r="X47" s="5" t="str">
        <f aca="false">IF(ISNUMBER(FIND("C", U47, 1)), SUBSTITUTE(U47, "C", "E"), SUBSTITUTE(U47, "E", "C"))</f>
        <v>E46</v>
      </c>
      <c r="Y47" s="5" t="str">
        <f aca="false">IF(ISNUMBER(FIND("C", V47, 1)), SUBSTITUTE(V47, "C", "E"), SUBSTITUTE(V47, "E", "C"))</f>
        <v>C47</v>
      </c>
      <c r="Z47" s="5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2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5" t="s">
        <v>133</v>
      </c>
      <c r="V48" s="5" t="s">
        <v>134</v>
      </c>
      <c r="W48" s="5" t="s">
        <v>135</v>
      </c>
      <c r="X48" s="5" t="str">
        <f aca="false">IF(ISNUMBER(FIND("C", U48, 1)), SUBSTITUTE(U48, "C", "E"), SUBSTITUTE(U48, "E", "C"))</f>
        <v>C46</v>
      </c>
      <c r="Y48" s="5" t="str">
        <f aca="false">IF(ISNUMBER(FIND("C", V48, 1)), SUBSTITUTE(V48, "C", "E"), SUBSTITUTE(V48, "E", "C"))</f>
        <v>E48</v>
      </c>
      <c r="Z48" s="5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2"/>
      <c r="H49" s="21" t="n">
        <v>44896</v>
      </c>
      <c r="I49" s="22" t="n">
        <v>0.5</v>
      </c>
      <c r="J49" s="23"/>
      <c r="K49" s="43"/>
      <c r="U49" s="5"/>
      <c r="V49" s="5"/>
      <c r="W49" s="5"/>
      <c r="X49" s="5"/>
      <c r="Y49" s="5"/>
      <c r="Z49" s="5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2"/>
      <c r="H50" s="41" t="n">
        <v>44896</v>
      </c>
      <c r="I50" s="42" t="n">
        <v>0.5</v>
      </c>
      <c r="J50" s="23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4"/>
      <c r="L52" s="25" t="s">
        <v>31</v>
      </c>
      <c r="M52" s="25" t="s">
        <v>32</v>
      </c>
      <c r="N52" s="25" t="s">
        <v>33</v>
      </c>
      <c r="O52" s="25" t="s">
        <v>34</v>
      </c>
      <c r="P52" s="25" t="s">
        <v>35</v>
      </c>
      <c r="Q52" s="25" t="s">
        <v>36</v>
      </c>
      <c r="R52" s="26" t="s">
        <v>37</v>
      </c>
      <c r="U52" s="5"/>
      <c r="V52" s="5"/>
      <c r="W52" s="5"/>
      <c r="X52" s="5"/>
      <c r="Y52" s="5"/>
      <c r="Z52" s="5"/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2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141</v>
      </c>
      <c r="V53" s="5" t="s">
        <v>142</v>
      </c>
      <c r="W53" s="5" t="s">
        <v>143</v>
      </c>
      <c r="X53" s="5" t="str">
        <f aca="false">IF(ISNUMBER(FIND("C", U53, 1)), SUBSTITUTE(U53, "C", "E"), SUBSTITUTE(U53, "E", "C"))</f>
        <v>E53</v>
      </c>
      <c r="Y53" s="5" t="str">
        <f aca="false">IF(ISNUMBER(FIND("C", V53, 1)), SUBSTITUTE(V53, "C", "E"), SUBSTITUTE(V53, "E", "C"))</f>
        <v>E55</v>
      </c>
      <c r="Z53" s="5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2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5" t="s">
        <v>144</v>
      </c>
      <c r="V54" s="5" t="s">
        <v>145</v>
      </c>
      <c r="W54" s="5" t="s">
        <v>146</v>
      </c>
      <c r="X54" s="5" t="str">
        <f aca="false">IF(ISNUMBER(FIND("C", U54, 1)), SUBSTITUTE(U54, "C", "E"), SUBSTITUTE(U54, "E", "C"))</f>
        <v>C53</v>
      </c>
      <c r="Y54" s="5" t="str">
        <f aca="false">IF(ISNUMBER(FIND("C", V54, 1)), SUBSTITUTE(V54, "C", "E"), SUBSTITUTE(V54, "E", "C"))</f>
        <v>C56</v>
      </c>
      <c r="Z54" s="5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2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5" t="s">
        <v>147</v>
      </c>
      <c r="V55" s="5" t="s">
        <v>148</v>
      </c>
      <c r="W55" s="5" t="s">
        <v>149</v>
      </c>
      <c r="X55" s="5" t="str">
        <f aca="false">IF(ISNUMBER(FIND("C", U55, 1)), SUBSTITUTE(U55, "C", "E"), SUBSTITUTE(U55, "E", "C"))</f>
        <v>E54</v>
      </c>
      <c r="Y55" s="5" t="str">
        <f aca="false">IF(ISNUMBER(FIND("C", V55, 1)), SUBSTITUTE(V55, "C", "E"), SUBSTITUTE(V55, "E", "C"))</f>
        <v>C55</v>
      </c>
      <c r="Z55" s="5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2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5" t="s">
        <v>150</v>
      </c>
      <c r="V56" s="5" t="s">
        <v>151</v>
      </c>
      <c r="W56" s="5" t="s">
        <v>152</v>
      </c>
      <c r="X56" s="5" t="str">
        <f aca="false">IF(ISNUMBER(FIND("C", U56, 1)), SUBSTITUTE(U56, "C", "E"), SUBSTITUTE(U56, "E", "C"))</f>
        <v>C54</v>
      </c>
      <c r="Y56" s="5" t="str">
        <f aca="false">IF(ISNUMBER(FIND("C", V56, 1)), SUBSTITUTE(V56, "C", "E"), SUBSTITUTE(V56, "E", "C"))</f>
        <v>E56</v>
      </c>
      <c r="Z56" s="5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2"/>
      <c r="H57" s="21" t="n">
        <v>44897</v>
      </c>
      <c r="I57" s="22" t="n">
        <v>0.666666666666667</v>
      </c>
      <c r="J57" s="23"/>
      <c r="K57" s="43"/>
      <c r="U57" s="5"/>
      <c r="V57" s="5"/>
      <c r="W57" s="5"/>
      <c r="X57" s="5"/>
      <c r="Y57" s="5"/>
      <c r="Z57" s="5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2"/>
      <c r="H58" s="41" t="n">
        <v>44897</v>
      </c>
      <c r="I58" s="42" t="n">
        <v>0.666666666666667</v>
      </c>
      <c r="J58" s="23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4"/>
      <c r="L60" s="25" t="s">
        <v>31</v>
      </c>
      <c r="M60" s="25" t="s">
        <v>32</v>
      </c>
      <c r="N60" s="25" t="s">
        <v>33</v>
      </c>
      <c r="O60" s="25" t="s">
        <v>34</v>
      </c>
      <c r="P60" s="25" t="s">
        <v>35</v>
      </c>
      <c r="Q60" s="25" t="s">
        <v>36</v>
      </c>
      <c r="R60" s="26" t="s">
        <v>37</v>
      </c>
      <c r="U60" s="5"/>
      <c r="V60" s="5"/>
      <c r="W60" s="5"/>
      <c r="X60" s="5"/>
      <c r="Y60" s="5"/>
      <c r="Z60" s="5"/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2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158</v>
      </c>
      <c r="V61" s="5" t="s">
        <v>159</v>
      </c>
      <c r="W61" s="5" t="s">
        <v>160</v>
      </c>
      <c r="X61" s="5" t="str">
        <f aca="false">IF(ISNUMBER(FIND("C", U61, 1)), SUBSTITUTE(U61, "C", "E"), SUBSTITUTE(U61, "E", "C"))</f>
        <v>E62</v>
      </c>
      <c r="Y61" s="5" t="str">
        <f aca="false">IF(ISNUMBER(FIND("C", V61, 1)), SUBSTITUTE(V61, "C", "E"), SUBSTITUTE(V61, "E", "C"))</f>
        <v>C63</v>
      </c>
      <c r="Z61" s="5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2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5" t="s">
        <v>161</v>
      </c>
      <c r="V62" s="5" t="s">
        <v>162</v>
      </c>
      <c r="W62" s="5" t="s">
        <v>163</v>
      </c>
      <c r="X62" s="5" t="str">
        <f aca="false">IF(ISNUMBER(FIND("C", U62, 1)), SUBSTITUTE(U62, "C", "E"), SUBSTITUTE(U62, "E", "C"))</f>
        <v>C61</v>
      </c>
      <c r="Y62" s="5" t="str">
        <f aca="false">IF(ISNUMBER(FIND("C", V62, 1)), SUBSTITUTE(V62, "C", "E"), SUBSTITUTE(V62, "E", "C"))</f>
        <v>C64</v>
      </c>
      <c r="Z62" s="5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2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5" t="s">
        <v>164</v>
      </c>
      <c r="V63" s="5" t="s">
        <v>165</v>
      </c>
      <c r="W63" s="5" t="s">
        <v>166</v>
      </c>
      <c r="X63" s="5" t="str">
        <f aca="false">IF(ISNUMBER(FIND("C", U63, 1)), SUBSTITUTE(U63, "C", "E"), SUBSTITUTE(U63, "E", "C"))</f>
        <v>E61</v>
      </c>
      <c r="Y63" s="5" t="str">
        <f aca="false">IF(ISNUMBER(FIND("C", V63, 1)), SUBSTITUTE(V63, "C", "E"), SUBSTITUTE(V63, "E", "C"))</f>
        <v>E63</v>
      </c>
      <c r="Z63" s="5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2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5" t="s">
        <v>167</v>
      </c>
      <c r="V64" s="5" t="s">
        <v>168</v>
      </c>
      <c r="W64" s="5" t="s">
        <v>169</v>
      </c>
      <c r="X64" s="5" t="str">
        <f aca="false">IF(ISNUMBER(FIND("C", U64, 1)), SUBSTITUTE(U64, "C", "E"), SUBSTITUTE(U64, "E", "C"))</f>
        <v>C62</v>
      </c>
      <c r="Y64" s="5" t="str">
        <f aca="false">IF(ISNUMBER(FIND("C", V64, 1)), SUBSTITUTE(V64, "C", "E"), SUBSTITUTE(V64, "E", "C"))</f>
        <v>E64</v>
      </c>
      <c r="Z64" s="5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2"/>
      <c r="H65" s="21" t="n">
        <v>44897</v>
      </c>
      <c r="I65" s="22" t="n">
        <v>0.5</v>
      </c>
      <c r="J65" s="23"/>
      <c r="K65" s="43"/>
      <c r="U65" s="5"/>
      <c r="V65" s="5"/>
      <c r="W65" s="5"/>
      <c r="X65" s="5"/>
      <c r="Y65" s="5"/>
      <c r="Z65" s="5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2"/>
      <c r="H66" s="41" t="n">
        <v>44897</v>
      </c>
      <c r="I66" s="42" t="n">
        <v>0.5</v>
      </c>
      <c r="J66" s="23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U67" s="5"/>
      <c r="V67" s="5"/>
      <c r="W67" s="5"/>
      <c r="X67" s="5"/>
      <c r="Y67" s="5"/>
      <c r="Z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4"/>
      <c r="L68" s="25" t="s">
        <v>31</v>
      </c>
      <c r="M68" s="25" t="s">
        <v>32</v>
      </c>
      <c r="N68" s="25" t="s">
        <v>33</v>
      </c>
      <c r="O68" s="25" t="s">
        <v>34</v>
      </c>
      <c r="P68" s="25" t="s">
        <v>35</v>
      </c>
      <c r="Q68" s="25" t="s">
        <v>36</v>
      </c>
      <c r="R68" s="26" t="s">
        <v>37</v>
      </c>
      <c r="U68" s="5"/>
      <c r="V68" s="5"/>
      <c r="W68" s="5"/>
      <c r="X68" s="5"/>
      <c r="Y68" s="5"/>
      <c r="Z68" s="5"/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2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175</v>
      </c>
      <c r="V69" s="5" t="s">
        <v>176</v>
      </c>
      <c r="W69" s="5" t="s">
        <v>177</v>
      </c>
      <c r="X69" s="5" t="str">
        <f aca="false">IF(ISNUMBER(FIND("C", U69, 1)), SUBSTITUTE(U69, "C", "E"), SUBSTITUTE(U69, "E", "C"))</f>
        <v>E69</v>
      </c>
      <c r="Y69" s="5" t="str">
        <f aca="false">IF(ISNUMBER(FIND("C", V69, 1)), SUBSTITUTE(V69, "C", "E"), SUBSTITUTE(V69, "E", "C"))</f>
        <v>E71</v>
      </c>
      <c r="Z69" s="5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2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5" t="s">
        <v>178</v>
      </c>
      <c r="V70" s="5" t="s">
        <v>179</v>
      </c>
      <c r="W70" s="5" t="s">
        <v>180</v>
      </c>
      <c r="X70" s="5" t="str">
        <f aca="false">IF(ISNUMBER(FIND("C", U70, 1)), SUBSTITUTE(U70, "C", "E"), SUBSTITUTE(U70, "E", "C"))</f>
        <v>E70</v>
      </c>
      <c r="Y70" s="5" t="str">
        <f aca="false">IF(ISNUMBER(FIND("C", V70, 1)), SUBSTITUTE(V70, "C", "E"), SUBSTITUTE(V70, "E", "C"))</f>
        <v>C71</v>
      </c>
      <c r="Z70" s="5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2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5" t="s">
        <v>181</v>
      </c>
      <c r="V71" s="5" t="s">
        <v>182</v>
      </c>
      <c r="W71" s="5" t="s">
        <v>183</v>
      </c>
      <c r="X71" s="5" t="str">
        <f aca="false">IF(ISNUMBER(FIND("C", U71, 1)), SUBSTITUTE(U71, "C", "E"), SUBSTITUTE(U71, "E", "C"))</f>
        <v>C70</v>
      </c>
      <c r="Y71" s="5" t="str">
        <f aca="false">IF(ISNUMBER(FIND("C", V71, 1)), SUBSTITUTE(V71, "C", "E"), SUBSTITUTE(V71, "E", "C"))</f>
        <v>E72</v>
      </c>
      <c r="Z71" s="5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2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5" t="s">
        <v>184</v>
      </c>
      <c r="V72" s="5" t="s">
        <v>185</v>
      </c>
      <c r="W72" s="5" t="s">
        <v>186</v>
      </c>
      <c r="X72" s="5" t="str">
        <f aca="false">IF(ISNUMBER(FIND("C", U72, 1)), SUBSTITUTE(U72, "C", "E"), SUBSTITUTE(U72, "E", "C"))</f>
        <v>C69</v>
      </c>
      <c r="Y72" s="5" t="str">
        <f aca="false">IF(ISNUMBER(FIND("C", V72, 1)), SUBSTITUTE(V72, "C", "E"), SUBSTITUTE(V72, "E", "C"))</f>
        <v>C72</v>
      </c>
      <c r="Z72" s="5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2"/>
      <c r="H73" s="21" t="n">
        <v>44897</v>
      </c>
      <c r="I73" s="22" t="n">
        <v>0.5</v>
      </c>
      <c r="J73" s="23"/>
      <c r="K73" s="43"/>
      <c r="U73" s="5"/>
      <c r="V73" s="5"/>
      <c r="W73" s="5"/>
      <c r="X73" s="5"/>
      <c r="Y73" s="5"/>
      <c r="Z73" s="5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2"/>
      <c r="H74" s="41" t="n">
        <v>44897</v>
      </c>
      <c r="I74" s="42" t="n">
        <v>0.5</v>
      </c>
      <c r="J74" s="23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customFormat="false" ht="12.75" hidden="false" customHeight="true" outlineLevel="0" collapsed="false">
      <c r="U75" s="5"/>
      <c r="V75" s="5"/>
      <c r="W75" s="5"/>
      <c r="X75" s="5"/>
      <c r="Y75" s="5"/>
      <c r="Z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4"/>
      <c r="L76" s="25" t="s">
        <v>31</v>
      </c>
      <c r="M76" s="25" t="s">
        <v>32</v>
      </c>
      <c r="N76" s="25" t="s">
        <v>33</v>
      </c>
      <c r="O76" s="25" t="s">
        <v>34</v>
      </c>
      <c r="P76" s="25" t="s">
        <v>35</v>
      </c>
      <c r="Q76" s="25" t="s">
        <v>36</v>
      </c>
      <c r="R76" s="26" t="s">
        <v>37</v>
      </c>
      <c r="U76" s="5"/>
      <c r="V76" s="5"/>
      <c r="W76" s="5"/>
      <c r="X76" s="5"/>
      <c r="Y76" s="5"/>
      <c r="Z76" s="5"/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2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192</v>
      </c>
      <c r="V77" s="5" t="s">
        <v>193</v>
      </c>
      <c r="W77" s="5" t="s">
        <v>194</v>
      </c>
      <c r="X77" s="5" t="str">
        <f aca="false">IF(ISNUMBER(FIND("C", U77, 1)), SUBSTITUTE(U77, "C", "E"), SUBSTITUTE(U77, "E", "C"))</f>
        <v>E77</v>
      </c>
      <c r="Y77" s="5" t="str">
        <f aca="false">IF(ISNUMBER(FIND("C", V77, 1)), SUBSTITUTE(V77, "C", "E"), SUBSTITUTE(V77, "E", "C"))</f>
        <v>E79</v>
      </c>
      <c r="Z77" s="5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2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5" t="s">
        <v>195</v>
      </c>
      <c r="V78" s="5" t="s">
        <v>196</v>
      </c>
      <c r="W78" s="5" t="s">
        <v>197</v>
      </c>
      <c r="X78" s="5" t="str">
        <f aca="false">IF(ISNUMBER(FIND("C", U78, 1)), SUBSTITUTE(U78, "C", "E"), SUBSTITUTE(U78, "E", "C"))</f>
        <v>C77</v>
      </c>
      <c r="Y78" s="5" t="str">
        <f aca="false">IF(ISNUMBER(FIND("C", V78, 1)), SUBSTITUTE(V78, "C", "E"), SUBSTITUTE(V78, "E", "C"))</f>
        <v>C80</v>
      </c>
      <c r="Z78" s="5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2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5" t="s">
        <v>198</v>
      </c>
      <c r="V79" s="5" t="s">
        <v>199</v>
      </c>
      <c r="W79" s="5" t="s">
        <v>200</v>
      </c>
      <c r="X79" s="5" t="str">
        <f aca="false">IF(ISNUMBER(FIND("C", U79, 1)), SUBSTITUTE(U79, "C", "E"), SUBSTITUTE(U79, "E", "C"))</f>
        <v>C78</v>
      </c>
      <c r="Y79" s="5" t="str">
        <f aca="false">IF(ISNUMBER(FIND("C", V79, 1)), SUBSTITUTE(V79, "C", "E"), SUBSTITUTE(V79, "E", "C"))</f>
        <v>E80</v>
      </c>
      <c r="Z79" s="5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2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5" t="s">
        <v>201</v>
      </c>
      <c r="V80" s="5" t="s">
        <v>202</v>
      </c>
      <c r="W80" s="5" t="s">
        <v>203</v>
      </c>
      <c r="X80" s="5" t="str">
        <f aca="false">IF(ISNUMBER(FIND("C", U80, 1)), SUBSTITUTE(U80, "C", "E"), SUBSTITUTE(U80, "E", "C"))</f>
        <v>E78</v>
      </c>
      <c r="Y80" s="5" t="str">
        <f aca="false">IF(ISNUMBER(FIND("C", V80, 1)), SUBSTITUTE(V80, "C", "E"), SUBSTITUTE(V80, "E", "C"))</f>
        <v>C79</v>
      </c>
      <c r="Z80" s="5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2"/>
      <c r="H81" s="21" t="n">
        <v>44897</v>
      </c>
      <c r="I81" s="22" t="n">
        <v>0.5</v>
      </c>
      <c r="J81" s="23"/>
      <c r="K81" s="43"/>
      <c r="U81" s="5"/>
      <c r="V81" s="5"/>
      <c r="W81" s="5"/>
      <c r="X81" s="5"/>
      <c r="Y81" s="5"/>
      <c r="Z81" s="5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2"/>
      <c r="H82" s="41" t="n">
        <v>44897</v>
      </c>
      <c r="I82" s="42" t="n">
        <v>0.5</v>
      </c>
      <c r="J82" s="23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customFormat="false" ht="12.75" hidden="false" customHeight="true" outlineLevel="0" collapsed="false">
      <c r="U83" s="5"/>
      <c r="V83" s="5"/>
      <c r="W83" s="5"/>
      <c r="X83" s="5"/>
      <c r="Y83" s="5"/>
      <c r="Z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4"/>
      <c r="L84" s="25" t="s">
        <v>31</v>
      </c>
      <c r="M84" s="25" t="s">
        <v>32</v>
      </c>
      <c r="N84" s="25" t="s">
        <v>33</v>
      </c>
      <c r="O84" s="25" t="s">
        <v>34</v>
      </c>
      <c r="P84" s="25" t="s">
        <v>35</v>
      </c>
      <c r="Q84" s="25" t="s">
        <v>36</v>
      </c>
      <c r="R84" s="26" t="s">
        <v>37</v>
      </c>
      <c r="U84" s="5"/>
      <c r="V84" s="5"/>
      <c r="W84" s="5"/>
      <c r="X84" s="5"/>
      <c r="Y84" s="5"/>
      <c r="Z84" s="5"/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2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209</v>
      </c>
      <c r="V85" s="5" t="s">
        <v>210</v>
      </c>
      <c r="W85" s="5" t="s">
        <v>211</v>
      </c>
      <c r="X85" s="5" t="str">
        <f aca="false">IF(ISNUMBER(FIND("C", U85, 1)), SUBSTITUTE(U85, "C", "E"), SUBSTITUTE(U85, "E", "C"))</f>
        <v>C86</v>
      </c>
      <c r="Y85" s="5" t="str">
        <f aca="false">IF(ISNUMBER(FIND("C", V85, 1)), SUBSTITUTE(V85, "C", "E"), SUBSTITUTE(V85, "E", "C"))</f>
        <v>E88</v>
      </c>
      <c r="Z85" s="5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2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5" t="s">
        <v>212</v>
      </c>
      <c r="V86" s="5" t="s">
        <v>213</v>
      </c>
      <c r="W86" s="5" t="s">
        <v>214</v>
      </c>
      <c r="X86" s="5" t="str">
        <f aca="false">IF(ISNUMBER(FIND("C", U86, 1)), SUBSTITUTE(U86, "C", "E"), SUBSTITUTE(U86, "E", "C"))</f>
        <v>E85</v>
      </c>
      <c r="Y86" s="5" t="str">
        <f aca="false">IF(ISNUMBER(FIND("C", V86, 1)), SUBSTITUTE(V86, "C", "E"), SUBSTITUTE(V86, "E", "C"))</f>
        <v>E87</v>
      </c>
      <c r="Z86" s="5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2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5" t="s">
        <v>215</v>
      </c>
      <c r="V87" s="5" t="s">
        <v>216</v>
      </c>
      <c r="W87" s="5" t="s">
        <v>217</v>
      </c>
      <c r="X87" s="5" t="str">
        <f aca="false">IF(ISNUMBER(FIND("C", U87, 1)), SUBSTITUTE(U87, "C", "E"), SUBSTITUTE(U87, "E", "C"))</f>
        <v>C85</v>
      </c>
      <c r="Y87" s="5" t="str">
        <f aca="false">IF(ISNUMBER(FIND("C", V87, 1)), SUBSTITUTE(V87, "C", "E"), SUBSTITUTE(V87, "E", "C"))</f>
        <v>C88</v>
      </c>
      <c r="Z87" s="5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2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5" t="s">
        <v>218</v>
      </c>
      <c r="V88" s="5" t="s">
        <v>219</v>
      </c>
      <c r="W88" s="5" t="s">
        <v>220</v>
      </c>
      <c r="X88" s="5" t="str">
        <f aca="false">IF(ISNUMBER(FIND("C", U88, 1)), SUBSTITUTE(U88, "C", "E"), SUBSTITUTE(U88, "E", "C"))</f>
        <v>E86</v>
      </c>
      <c r="Y88" s="5" t="str">
        <f aca="false">IF(ISNUMBER(FIND("C", V88, 1)), SUBSTITUTE(V88, "C", "E"), SUBSTITUTE(V88, "E", "C"))</f>
        <v>C87</v>
      </c>
      <c r="Z88" s="5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2"/>
      <c r="H89" s="21" t="n">
        <v>44897</v>
      </c>
      <c r="I89" s="22" t="n">
        <v>0.5</v>
      </c>
      <c r="J89" s="23"/>
      <c r="K89" s="43"/>
      <c r="U89" s="5"/>
      <c r="V89" s="5"/>
      <c r="W89" s="5"/>
      <c r="X89" s="5"/>
      <c r="Y89" s="5"/>
      <c r="Z89" s="5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2"/>
      <c r="H90" s="41" t="n">
        <v>44897</v>
      </c>
      <c r="I90" s="42" t="n">
        <v>0.5</v>
      </c>
      <c r="J90" s="23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customFormat="false" ht="12.75" hidden="false" customHeight="true" outlineLevel="0" collapsed="false">
      <c r="U91" s="5"/>
      <c r="V91" s="5"/>
      <c r="W91" s="5"/>
      <c r="X91" s="5"/>
      <c r="Y91" s="5"/>
      <c r="Z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4"/>
      <c r="L92" s="25" t="s">
        <v>31</v>
      </c>
      <c r="M92" s="25" t="s">
        <v>32</v>
      </c>
      <c r="N92" s="25" t="s">
        <v>33</v>
      </c>
      <c r="O92" s="25" t="s">
        <v>34</v>
      </c>
      <c r="P92" s="25" t="s">
        <v>35</v>
      </c>
      <c r="Q92" s="25" t="s">
        <v>36</v>
      </c>
      <c r="R92" s="26" t="s">
        <v>37</v>
      </c>
      <c r="U92" s="5"/>
      <c r="V92" s="5"/>
      <c r="W92" s="5"/>
      <c r="X92" s="5"/>
      <c r="Y92" s="5"/>
      <c r="Z92" s="5"/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2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226</v>
      </c>
      <c r="V93" s="5" t="s">
        <v>227</v>
      </c>
      <c r="W93" s="5" t="s">
        <v>228</v>
      </c>
      <c r="X93" s="5" t="str">
        <f aca="false">IF(ISNUMBER(FIND("C", U93, 1)), SUBSTITUTE(U93, "C", "E"), SUBSTITUTE(U93, "E", "C"))</f>
        <v>C93</v>
      </c>
      <c r="Y93" s="5" t="str">
        <f aca="false">IF(ISNUMBER(FIND("C", V93, 1)), SUBSTITUTE(V93, "C", "E"), SUBSTITUTE(V93, "E", "C"))</f>
        <v>C96</v>
      </c>
      <c r="Z93" s="5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2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5" t="s">
        <v>229</v>
      </c>
      <c r="V94" s="5" t="s">
        <v>230</v>
      </c>
      <c r="W94" s="5" t="s">
        <v>231</v>
      </c>
      <c r="X94" s="5" t="str">
        <f aca="false">IF(ISNUMBER(FIND("C", U94, 1)), SUBSTITUTE(U94, "C", "E"), SUBSTITUTE(U94, "E", "C"))</f>
        <v>E94</v>
      </c>
      <c r="Y94" s="5" t="str">
        <f aca="false">IF(ISNUMBER(FIND("C", V94, 1)), SUBSTITUTE(V94, "C", "E"), SUBSTITUTE(V94, "E", "C"))</f>
        <v>C95</v>
      </c>
      <c r="Z94" s="5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2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5" t="s">
        <v>232</v>
      </c>
      <c r="V95" s="5" t="s">
        <v>233</v>
      </c>
      <c r="W95" s="5" t="s">
        <v>234</v>
      </c>
      <c r="X95" s="5" t="str">
        <f aca="false">IF(ISNUMBER(FIND("C", U95, 1)), SUBSTITUTE(U95, "C", "E"), SUBSTITUTE(U95, "E", "C"))</f>
        <v>E93</v>
      </c>
      <c r="Y95" s="5" t="str">
        <f aca="false">IF(ISNUMBER(FIND("C", V95, 1)), SUBSTITUTE(V95, "C", "E"), SUBSTITUTE(V95, "E", "C"))</f>
        <v>E95</v>
      </c>
      <c r="Z95" s="5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2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5" t="s">
        <v>235</v>
      </c>
      <c r="V96" s="5" t="s">
        <v>236</v>
      </c>
      <c r="W96" s="5" t="s">
        <v>237</v>
      </c>
      <c r="X96" s="5" t="str">
        <f aca="false">IF(ISNUMBER(FIND("C", U96, 1)), SUBSTITUTE(U96, "C", "E"), SUBSTITUTE(U96, "E", "C"))</f>
        <v>C94</v>
      </c>
      <c r="Y96" s="5" t="str">
        <f aca="false">IF(ISNUMBER(FIND("C", V96, 1)), SUBSTITUTE(V96, "C", "E"), SUBSTITUTE(V96, "E", "C"))</f>
        <v>E96</v>
      </c>
      <c r="Z96" s="5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2"/>
      <c r="H97" s="21" t="n">
        <v>44897</v>
      </c>
      <c r="I97" s="22" t="n">
        <v>0.5</v>
      </c>
      <c r="J97" s="23"/>
      <c r="K97" s="43"/>
      <c r="U97" s="5"/>
      <c r="V97" s="5"/>
      <c r="W97" s="5"/>
      <c r="X97" s="5"/>
      <c r="Y97" s="5"/>
      <c r="Z97" s="5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2"/>
      <c r="H98" s="41" t="n">
        <v>44897</v>
      </c>
      <c r="I98" s="42" t="n">
        <v>0.5</v>
      </c>
      <c r="J98" s="23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customFormat="false" ht="12.75" hidden="false" customHeight="true" outlineLevel="0" collapsed="false">
      <c r="U99" s="5"/>
      <c r="V99" s="5"/>
      <c r="W99" s="5"/>
      <c r="X99" s="5"/>
      <c r="Y99" s="5"/>
      <c r="Z99" s="5"/>
    </row>
    <row r="100" customFormat="false" ht="12.75" hidden="false" customHeight="true" outlineLevel="0" collapsed="false">
      <c r="U100" s="5"/>
      <c r="V100" s="5"/>
      <c r="W100" s="5"/>
      <c r="X100" s="5"/>
      <c r="Y100" s="5"/>
      <c r="Z100" s="5"/>
    </row>
    <row r="101" customFormat="false" ht="12.75" hidden="false" customHeight="true" outlineLevel="0" collapsed="false">
      <c r="U101" s="5"/>
      <c r="V101" s="5"/>
      <c r="W101" s="5"/>
      <c r="X101" s="5"/>
      <c r="Y101" s="5"/>
      <c r="Z101" s="5"/>
    </row>
    <row r="102" customFormat="false" ht="12.75" hidden="false" customHeight="true" outlineLevel="0" collapsed="false">
      <c r="H102" s="48"/>
      <c r="I102" s="48"/>
      <c r="J102" s="48"/>
      <c r="U102" s="5"/>
      <c r="V102" s="5"/>
      <c r="W102" s="5"/>
      <c r="X102" s="5"/>
      <c r="Y102" s="5"/>
      <c r="Z102" s="5"/>
    </row>
    <row r="103" customFormat="false" ht="12.75" hidden="false" customHeight="true" outlineLevel="0" collapsed="false">
      <c r="H103" s="48"/>
      <c r="I103" s="48"/>
      <c r="J103" s="48"/>
      <c r="U103" s="5"/>
      <c r="V103" s="5"/>
      <c r="W103" s="5"/>
      <c r="X103" s="5"/>
      <c r="Y103" s="5"/>
      <c r="Z103" s="5"/>
    </row>
    <row r="104" customFormat="false" ht="12.75" hidden="false" customHeight="true" outlineLevel="0" collapsed="false">
      <c r="H104" s="48"/>
      <c r="I104" s="48"/>
      <c r="J104" s="48"/>
      <c r="U104" s="5"/>
      <c r="V104" s="5"/>
      <c r="W104" s="5"/>
      <c r="X104" s="5"/>
      <c r="Y104" s="5"/>
      <c r="Z104" s="5"/>
    </row>
    <row r="105" customFormat="false" ht="12.75" hidden="false" customHeight="true" outlineLevel="0" collapsed="false">
      <c r="H105" s="48"/>
      <c r="I105" s="48"/>
      <c r="J105" s="48"/>
      <c r="U105" s="5"/>
      <c r="V105" s="5"/>
      <c r="W105" s="5"/>
      <c r="X105" s="5"/>
      <c r="Y105" s="5"/>
      <c r="Z105" s="5"/>
    </row>
    <row r="106" customFormat="false" ht="12.75" hidden="false" customHeight="true" outlineLevel="0" collapsed="false">
      <c r="H106" s="48"/>
      <c r="I106" s="48"/>
      <c r="J106" s="48"/>
      <c r="U106" s="5"/>
      <c r="V106" s="5"/>
      <c r="W106" s="5"/>
      <c r="X106" s="5"/>
      <c r="Y106" s="5"/>
      <c r="Z106" s="5"/>
    </row>
    <row r="107" customFormat="false" ht="12.75" hidden="false" customHeight="true" outlineLevel="0" collapsed="false">
      <c r="H107" s="48"/>
      <c r="I107" s="48"/>
      <c r="J107" s="48"/>
      <c r="U107" s="5"/>
      <c r="V107" s="5"/>
      <c r="W107" s="5"/>
      <c r="X107" s="5"/>
      <c r="Y107" s="5"/>
      <c r="Z107" s="5"/>
    </row>
    <row r="108" customFormat="false" ht="12.75" hidden="false" customHeight="true" outlineLevel="0" collapsed="false">
      <c r="H108" s="48"/>
      <c r="I108" s="48"/>
      <c r="J108" s="48"/>
      <c r="U108" s="5"/>
      <c r="V108" s="5"/>
      <c r="W108" s="5"/>
      <c r="X108" s="5"/>
      <c r="Y108" s="5"/>
      <c r="Z108" s="5"/>
    </row>
    <row r="109" customFormat="false" ht="12.75" hidden="false" customHeight="true" outlineLevel="0" collapsed="false">
      <c r="H109" s="48"/>
      <c r="I109" s="48"/>
      <c r="J109" s="48"/>
      <c r="U109" s="5"/>
      <c r="V109" s="5"/>
      <c r="W109" s="5"/>
      <c r="X109" s="5"/>
      <c r="Y109" s="5"/>
      <c r="Z109" s="5"/>
    </row>
    <row r="110" customFormat="false" ht="12.75" hidden="false" customHeight="true" outlineLevel="0" collapsed="false">
      <c r="H110" s="48"/>
      <c r="I110" s="48"/>
      <c r="J110" s="48"/>
      <c r="U110" s="5"/>
      <c r="V110" s="5"/>
      <c r="W110" s="5"/>
      <c r="X110" s="5"/>
      <c r="Y110" s="5"/>
      <c r="Z110" s="5"/>
    </row>
    <row r="111" customFormat="false" ht="12.75" hidden="false" customHeight="true" outlineLevel="0" collapsed="false">
      <c r="H111" s="48"/>
      <c r="I111" s="48"/>
      <c r="J111" s="48"/>
      <c r="U111" s="5"/>
      <c r="V111" s="5"/>
      <c r="W111" s="5"/>
      <c r="X111" s="5"/>
      <c r="Y111" s="5"/>
      <c r="Z111" s="5"/>
    </row>
    <row r="112" customFormat="false" ht="12.75" hidden="false" customHeight="true" outlineLevel="0" collapsed="false">
      <c r="H112" s="48"/>
      <c r="I112" s="48"/>
      <c r="J112" s="48"/>
      <c r="U112" s="5"/>
      <c r="V112" s="5"/>
      <c r="W112" s="5"/>
      <c r="X112" s="5"/>
      <c r="Y112" s="5"/>
      <c r="Z112" s="5"/>
    </row>
    <row r="113" customFormat="false" ht="12.75" hidden="false" customHeight="true" outlineLevel="0" collapsed="false">
      <c r="H113" s="48"/>
      <c r="I113" s="48"/>
      <c r="J113" s="48"/>
      <c r="U113" s="5"/>
      <c r="V113" s="5"/>
      <c r="W113" s="5"/>
      <c r="X113" s="5"/>
      <c r="Y113" s="5"/>
      <c r="Z113" s="5"/>
    </row>
    <row r="114" customFormat="false" ht="12.75" hidden="false" customHeight="true" outlineLevel="0" collapsed="false">
      <c r="H114" s="48"/>
      <c r="I114" s="48"/>
      <c r="J114" s="48"/>
      <c r="U114" s="5"/>
      <c r="V114" s="5"/>
      <c r="W114" s="5"/>
      <c r="X114" s="5"/>
      <c r="Y114" s="5"/>
      <c r="Z114" s="5"/>
    </row>
    <row r="115" customFormat="false" ht="12.75" hidden="false" customHeight="true" outlineLevel="0" collapsed="false">
      <c r="H115" s="48"/>
      <c r="I115" s="48"/>
      <c r="J115" s="48"/>
      <c r="U115" s="5"/>
      <c r="V115" s="5"/>
      <c r="W115" s="5"/>
      <c r="X115" s="5"/>
      <c r="Y115" s="5"/>
      <c r="Z115" s="5"/>
    </row>
    <row r="116" customFormat="false" ht="12.75" hidden="false" customHeight="true" outlineLevel="0" collapsed="false">
      <c r="H116" s="48"/>
      <c r="I116" s="48"/>
      <c r="J116" s="48"/>
      <c r="U116" s="5"/>
      <c r="V116" s="5"/>
      <c r="W116" s="5"/>
      <c r="X116" s="5"/>
      <c r="Y116" s="5"/>
      <c r="Z116" s="5"/>
    </row>
    <row r="117" customFormat="false" ht="12.75" hidden="false" customHeight="true" outlineLevel="0" collapsed="false">
      <c r="H117" s="48"/>
      <c r="I117" s="48"/>
      <c r="J117" s="48"/>
      <c r="U117" s="5"/>
      <c r="V117" s="5"/>
      <c r="W117" s="5"/>
      <c r="X117" s="5"/>
      <c r="Y117" s="5"/>
      <c r="Z117" s="5"/>
    </row>
    <row r="118" customFormat="false" ht="12.75" hidden="false" customHeight="true" outlineLevel="0" collapsed="false">
      <c r="H118" s="48"/>
      <c r="I118" s="48"/>
      <c r="J118" s="48"/>
      <c r="U118" s="5"/>
      <c r="V118" s="5"/>
      <c r="W118" s="5"/>
      <c r="X118" s="5"/>
      <c r="Y118" s="5"/>
      <c r="Z118" s="5"/>
    </row>
    <row r="119" customFormat="false" ht="12.75" hidden="false" customHeight="true" outlineLevel="0" collapsed="false">
      <c r="H119" s="48"/>
      <c r="I119" s="48"/>
      <c r="J119" s="48"/>
      <c r="U119" s="5"/>
      <c r="V119" s="5"/>
      <c r="W119" s="5"/>
      <c r="X119" s="5"/>
      <c r="Y119" s="5"/>
      <c r="Z119" s="5"/>
    </row>
    <row r="120" customFormat="false" ht="12.75" hidden="false" customHeight="true" outlineLevel="0" collapsed="false">
      <c r="H120" s="48"/>
      <c r="I120" s="48"/>
      <c r="J120" s="48"/>
      <c r="U120" s="5"/>
      <c r="V120" s="5"/>
      <c r="W120" s="5"/>
      <c r="X120" s="5"/>
      <c r="Y120" s="5"/>
      <c r="Z120" s="5"/>
    </row>
    <row r="121" customFormat="false" ht="12.75" hidden="false" customHeight="true" outlineLevel="0" collapsed="false">
      <c r="H121" s="48"/>
      <c r="I121" s="48"/>
      <c r="J121" s="48"/>
      <c r="U121" s="5"/>
      <c r="V121" s="5"/>
      <c r="W121" s="5"/>
      <c r="X121" s="5"/>
      <c r="Y121" s="5"/>
      <c r="Z121" s="5"/>
    </row>
    <row r="122" customFormat="false" ht="12.75" hidden="false" customHeight="true" outlineLevel="0" collapsed="false">
      <c r="H122" s="48"/>
      <c r="I122" s="48"/>
      <c r="J122" s="48"/>
      <c r="U122" s="5"/>
      <c r="V122" s="5"/>
      <c r="W122" s="5"/>
      <c r="X122" s="5"/>
      <c r="Y122" s="5"/>
      <c r="Z122" s="5"/>
    </row>
    <row r="123" customFormat="false" ht="12.75" hidden="false" customHeight="true" outlineLevel="0" collapsed="false">
      <c r="H123" s="48"/>
      <c r="I123" s="48"/>
      <c r="J123" s="48"/>
      <c r="U123" s="5"/>
      <c r="V123" s="5"/>
      <c r="W123" s="5"/>
      <c r="X123" s="5"/>
      <c r="Y123" s="5"/>
      <c r="Z123" s="5"/>
    </row>
    <row r="124" customFormat="false" ht="12.75" hidden="false" customHeight="true" outlineLevel="0" collapsed="false">
      <c r="H124" s="48"/>
      <c r="I124" s="48"/>
      <c r="J124" s="48"/>
      <c r="U124" s="5"/>
      <c r="V124" s="5"/>
      <c r="W124" s="5"/>
      <c r="X124" s="5"/>
      <c r="Y124" s="5"/>
      <c r="Z124" s="5"/>
    </row>
    <row r="125" customFormat="false" ht="12.75" hidden="false" customHeight="true" outlineLevel="0" collapsed="false">
      <c r="H125" s="48"/>
      <c r="I125" s="48"/>
      <c r="J125" s="48"/>
      <c r="U125" s="5"/>
      <c r="V125" s="5"/>
      <c r="W125" s="5"/>
      <c r="X125" s="5"/>
      <c r="Y125" s="5"/>
      <c r="Z125" s="5"/>
    </row>
    <row r="126" customFormat="false" ht="12.75" hidden="false" customHeight="true" outlineLevel="0" collapsed="false">
      <c r="H126" s="48"/>
      <c r="I126" s="48"/>
      <c r="J126" s="48"/>
      <c r="U126" s="5"/>
      <c r="V126" s="5"/>
      <c r="W126" s="5"/>
      <c r="X126" s="5"/>
      <c r="Y126" s="5"/>
      <c r="Z126" s="5"/>
    </row>
    <row r="127" customFormat="false" ht="12.75" hidden="false" customHeight="true" outlineLevel="0" collapsed="false">
      <c r="H127" s="48"/>
      <c r="I127" s="48"/>
      <c r="J127" s="48"/>
      <c r="U127" s="5"/>
      <c r="V127" s="5"/>
      <c r="W127" s="5"/>
      <c r="X127" s="5"/>
      <c r="Y127" s="5"/>
      <c r="Z127" s="5"/>
    </row>
    <row r="128" customFormat="false" ht="12.75" hidden="false" customHeight="true" outlineLevel="0" collapsed="false">
      <c r="H128" s="48"/>
      <c r="I128" s="48"/>
      <c r="J128" s="48"/>
      <c r="U128" s="5"/>
      <c r="V128" s="5"/>
      <c r="W128" s="5"/>
      <c r="X128" s="5"/>
      <c r="Y128" s="5"/>
      <c r="Z128" s="5"/>
    </row>
    <row r="129" customFormat="false" ht="12.75" hidden="false" customHeight="true" outlineLevel="0" collapsed="false">
      <c r="H129" s="48"/>
      <c r="I129" s="48"/>
      <c r="J129" s="48"/>
      <c r="U129" s="5"/>
      <c r="V129" s="5"/>
      <c r="W129" s="5"/>
      <c r="X129" s="5"/>
      <c r="Y129" s="5"/>
      <c r="Z129" s="5"/>
    </row>
    <row r="130" customFormat="false" ht="12.75" hidden="false" customHeight="true" outlineLevel="0" collapsed="false">
      <c r="H130" s="48"/>
      <c r="I130" s="48"/>
      <c r="J130" s="48"/>
      <c r="U130" s="5"/>
      <c r="V130" s="5"/>
      <c r="W130" s="5"/>
      <c r="X130" s="5"/>
      <c r="Y130" s="5"/>
      <c r="Z130" s="5"/>
    </row>
    <row r="131" customFormat="false" ht="12.75" hidden="false" customHeight="true" outlineLevel="0" collapsed="false">
      <c r="H131" s="48"/>
      <c r="I131" s="48"/>
      <c r="J131" s="48"/>
      <c r="U131" s="5"/>
      <c r="V131" s="5"/>
      <c r="W131" s="5"/>
      <c r="X131" s="5"/>
      <c r="Y131" s="5"/>
      <c r="Z131" s="5"/>
    </row>
    <row r="132" customFormat="false" ht="12.75" hidden="false" customHeight="true" outlineLevel="0" collapsed="false">
      <c r="H132" s="48"/>
      <c r="I132" s="48"/>
      <c r="J132" s="48"/>
      <c r="U132" s="5"/>
      <c r="V132" s="5"/>
      <c r="W132" s="5"/>
      <c r="X132" s="5"/>
      <c r="Y132" s="5"/>
      <c r="Z132" s="5"/>
    </row>
    <row r="133" customFormat="false" ht="12.75" hidden="false" customHeight="true" outlineLevel="0" collapsed="false">
      <c r="H133" s="48"/>
      <c r="I133" s="48"/>
      <c r="J133" s="48"/>
      <c r="U133" s="5"/>
      <c r="V133" s="5"/>
      <c r="W133" s="5"/>
      <c r="X133" s="5"/>
      <c r="Y133" s="5"/>
      <c r="Z133" s="5"/>
    </row>
    <row r="134" customFormat="false" ht="12.75" hidden="false" customHeight="true" outlineLevel="0" collapsed="false">
      <c r="H134" s="48"/>
      <c r="I134" s="48"/>
      <c r="J134" s="48"/>
      <c r="U134" s="5"/>
      <c r="V134" s="5"/>
      <c r="W134" s="5"/>
      <c r="X134" s="5"/>
      <c r="Y134" s="5"/>
      <c r="Z134" s="5"/>
    </row>
    <row r="135" customFormat="false" ht="12.75" hidden="false" customHeight="true" outlineLevel="0" collapsed="false">
      <c r="H135" s="48"/>
      <c r="I135" s="48"/>
      <c r="J135" s="48"/>
      <c r="U135" s="5"/>
      <c r="V135" s="5"/>
      <c r="W135" s="5"/>
      <c r="X135" s="5"/>
      <c r="Y135" s="5"/>
      <c r="Z135" s="5"/>
    </row>
    <row r="136" customFormat="false" ht="12.75" hidden="false" customHeight="true" outlineLevel="0" collapsed="false">
      <c r="H136" s="48"/>
      <c r="I136" s="48"/>
      <c r="J136" s="48"/>
      <c r="U136" s="5"/>
      <c r="V136" s="5"/>
      <c r="W136" s="5"/>
      <c r="X136" s="5"/>
      <c r="Y136" s="5"/>
      <c r="Z136" s="5"/>
    </row>
    <row r="137" customFormat="false" ht="12.75" hidden="false" customHeight="true" outlineLevel="0" collapsed="false">
      <c r="H137" s="48"/>
      <c r="I137" s="48"/>
      <c r="J137" s="48"/>
      <c r="U137" s="5"/>
      <c r="V137" s="5"/>
      <c r="W137" s="5"/>
      <c r="X137" s="5"/>
      <c r="Y137" s="5"/>
      <c r="Z137" s="5"/>
    </row>
    <row r="138" customFormat="false" ht="12.75" hidden="false" customHeight="true" outlineLevel="0" collapsed="false">
      <c r="H138" s="48"/>
      <c r="I138" s="48"/>
      <c r="J138" s="48"/>
      <c r="U138" s="5"/>
      <c r="V138" s="5"/>
      <c r="W138" s="5"/>
      <c r="X138" s="5"/>
      <c r="Y138" s="5"/>
      <c r="Z138" s="5"/>
    </row>
    <row r="139" customFormat="false" ht="12.75" hidden="false" customHeight="true" outlineLevel="0" collapsed="false">
      <c r="H139" s="48"/>
      <c r="I139" s="48"/>
      <c r="J139" s="48"/>
      <c r="U139" s="5"/>
      <c r="V139" s="5"/>
      <c r="W139" s="5"/>
      <c r="X139" s="5"/>
      <c r="Y139" s="5"/>
      <c r="Z139" s="5"/>
    </row>
    <row r="140" customFormat="false" ht="12.75" hidden="false" customHeight="true" outlineLevel="0" collapsed="false">
      <c r="H140" s="48"/>
      <c r="I140" s="48"/>
      <c r="J140" s="48"/>
      <c r="U140" s="5"/>
      <c r="V140" s="5"/>
      <c r="W140" s="5"/>
      <c r="X140" s="5"/>
      <c r="Y140" s="5"/>
      <c r="Z140" s="5"/>
    </row>
    <row r="141" customFormat="false" ht="12.75" hidden="false" customHeight="true" outlineLevel="0" collapsed="false">
      <c r="H141" s="48"/>
      <c r="I141" s="48"/>
      <c r="J141" s="48"/>
      <c r="U141" s="5"/>
      <c r="V141" s="5"/>
      <c r="W141" s="5"/>
      <c r="X141" s="5"/>
      <c r="Y141" s="5"/>
      <c r="Z141" s="5"/>
    </row>
    <row r="142" customFormat="false" ht="12.75" hidden="false" customHeight="true" outlineLevel="0" collapsed="false">
      <c r="H142" s="48"/>
      <c r="I142" s="48"/>
      <c r="J142" s="48"/>
      <c r="U142" s="5"/>
      <c r="V142" s="5"/>
      <c r="W142" s="5"/>
      <c r="X142" s="5"/>
      <c r="Y142" s="5"/>
      <c r="Z142" s="5"/>
    </row>
    <row r="143" customFormat="false" ht="12.75" hidden="false" customHeight="true" outlineLevel="0" collapsed="false">
      <c r="H143" s="48"/>
      <c r="I143" s="48"/>
      <c r="J143" s="48"/>
      <c r="U143" s="5"/>
      <c r="V143" s="5"/>
      <c r="W143" s="5"/>
      <c r="X143" s="5"/>
      <c r="Y143" s="5"/>
      <c r="Z143" s="5"/>
    </row>
    <row r="144" customFormat="false" ht="12.75" hidden="false" customHeight="true" outlineLevel="0" collapsed="false">
      <c r="H144" s="48"/>
      <c r="I144" s="48"/>
      <c r="J144" s="48"/>
      <c r="U144" s="5"/>
      <c r="V144" s="5"/>
      <c r="W144" s="5"/>
      <c r="X144" s="5"/>
      <c r="Y144" s="5"/>
      <c r="Z144" s="5"/>
    </row>
    <row r="145" customFormat="false" ht="12.75" hidden="false" customHeight="true" outlineLevel="0" collapsed="false">
      <c r="H145" s="48"/>
      <c r="I145" s="48"/>
      <c r="J145" s="48"/>
      <c r="U145" s="5"/>
      <c r="V145" s="5"/>
      <c r="W145" s="5"/>
      <c r="X145" s="5"/>
      <c r="Y145" s="5"/>
      <c r="Z145" s="5"/>
    </row>
    <row r="146" customFormat="false" ht="12.75" hidden="false" customHeight="true" outlineLevel="0" collapsed="false">
      <c r="H146" s="48"/>
      <c r="I146" s="48"/>
      <c r="J146" s="48"/>
      <c r="U146" s="5"/>
      <c r="V146" s="5"/>
      <c r="W146" s="5"/>
      <c r="X146" s="5"/>
      <c r="Y146" s="5"/>
      <c r="Z146" s="5"/>
    </row>
    <row r="147" customFormat="false" ht="12.75" hidden="false" customHeight="true" outlineLevel="0" collapsed="false">
      <c r="H147" s="48"/>
      <c r="I147" s="48"/>
      <c r="J147" s="48"/>
      <c r="U147" s="5"/>
      <c r="V147" s="5"/>
      <c r="W147" s="5"/>
      <c r="X147" s="5"/>
      <c r="Y147" s="5"/>
      <c r="Z147" s="5"/>
    </row>
    <row r="148" customFormat="false" ht="12.75" hidden="false" customHeight="true" outlineLevel="0" collapsed="false">
      <c r="H148" s="48"/>
      <c r="I148" s="48"/>
      <c r="J148" s="48"/>
      <c r="U148" s="5"/>
      <c r="V148" s="5"/>
      <c r="W148" s="5"/>
      <c r="X148" s="5"/>
      <c r="Y148" s="5"/>
      <c r="Z148" s="5"/>
    </row>
    <row r="149" customFormat="false" ht="12.75" hidden="false" customHeight="true" outlineLevel="0" collapsed="false">
      <c r="H149" s="48"/>
      <c r="I149" s="48"/>
      <c r="J149" s="48"/>
      <c r="U149" s="5"/>
      <c r="V149" s="5"/>
      <c r="W149" s="5"/>
      <c r="X149" s="5"/>
      <c r="Y149" s="5"/>
      <c r="Z149" s="5"/>
    </row>
    <row r="150" customFormat="false" ht="12.75" hidden="false" customHeight="true" outlineLevel="0" collapsed="false">
      <c r="H150" s="48"/>
      <c r="I150" s="48"/>
      <c r="J150" s="48"/>
      <c r="U150" s="5"/>
      <c r="V150" s="5"/>
      <c r="W150" s="5"/>
      <c r="X150" s="5"/>
      <c r="Y150" s="5"/>
      <c r="Z150" s="5"/>
    </row>
    <row r="151" customFormat="false" ht="12.75" hidden="false" customHeight="true" outlineLevel="0" collapsed="false">
      <c r="H151" s="48"/>
      <c r="I151" s="48"/>
      <c r="J151" s="48"/>
      <c r="U151" s="5"/>
      <c r="V151" s="5"/>
      <c r="W151" s="5"/>
      <c r="X151" s="5"/>
      <c r="Y151" s="5"/>
      <c r="Z151" s="5"/>
    </row>
    <row r="152" customFormat="false" ht="12.75" hidden="false" customHeight="true" outlineLevel="0" collapsed="false">
      <c r="H152" s="48"/>
      <c r="I152" s="48"/>
      <c r="J152" s="48"/>
      <c r="U152" s="5"/>
      <c r="V152" s="5"/>
      <c r="W152" s="5"/>
      <c r="X152" s="5"/>
      <c r="Y152" s="5"/>
      <c r="Z152" s="5"/>
    </row>
    <row r="153" customFormat="false" ht="12.75" hidden="false" customHeight="true" outlineLevel="0" collapsed="false">
      <c r="H153" s="48"/>
      <c r="I153" s="48"/>
      <c r="J153" s="48"/>
      <c r="U153" s="5"/>
      <c r="V153" s="5"/>
      <c r="W153" s="5"/>
      <c r="X153" s="5"/>
      <c r="Y153" s="5"/>
      <c r="Z153" s="5"/>
    </row>
    <row r="154" customFormat="false" ht="12.75" hidden="false" customHeight="true" outlineLevel="0" collapsed="false">
      <c r="H154" s="48"/>
      <c r="I154" s="48"/>
      <c r="J154" s="48"/>
      <c r="U154" s="5"/>
      <c r="V154" s="5"/>
      <c r="W154" s="5"/>
      <c r="X154" s="5"/>
      <c r="Y154" s="5"/>
      <c r="Z154" s="5"/>
    </row>
    <row r="155" customFormat="false" ht="12.75" hidden="false" customHeight="true" outlineLevel="0" collapsed="false">
      <c r="H155" s="48"/>
      <c r="I155" s="48"/>
      <c r="J155" s="48"/>
      <c r="U155" s="5"/>
      <c r="V155" s="5"/>
      <c r="W155" s="5"/>
      <c r="X155" s="5"/>
      <c r="Y155" s="5"/>
      <c r="Z155" s="5"/>
    </row>
    <row r="156" customFormat="false" ht="12.75" hidden="false" customHeight="true" outlineLevel="0" collapsed="false">
      <c r="H156" s="48"/>
      <c r="I156" s="48"/>
      <c r="J156" s="48"/>
      <c r="U156" s="5"/>
      <c r="V156" s="5"/>
      <c r="W156" s="5"/>
      <c r="X156" s="5"/>
      <c r="Y156" s="5"/>
      <c r="Z156" s="5"/>
    </row>
    <row r="157" customFormat="false" ht="12.75" hidden="false" customHeight="true" outlineLevel="0" collapsed="false">
      <c r="H157" s="48"/>
      <c r="I157" s="48"/>
      <c r="J157" s="48"/>
      <c r="U157" s="5"/>
      <c r="V157" s="5"/>
      <c r="W157" s="5"/>
      <c r="X157" s="5"/>
      <c r="Y157" s="5"/>
      <c r="Z157" s="5"/>
    </row>
    <row r="158" customFormat="false" ht="12.75" hidden="false" customHeight="true" outlineLevel="0" collapsed="false">
      <c r="H158" s="48"/>
      <c r="I158" s="48"/>
      <c r="J158" s="48"/>
      <c r="U158" s="5"/>
      <c r="V158" s="5"/>
      <c r="W158" s="5"/>
      <c r="X158" s="5"/>
      <c r="Y158" s="5"/>
      <c r="Z158" s="5"/>
    </row>
    <row r="159" customFormat="false" ht="12.75" hidden="false" customHeight="true" outlineLevel="0" collapsed="false">
      <c r="H159" s="48"/>
      <c r="I159" s="48"/>
      <c r="J159" s="48"/>
      <c r="U159" s="5"/>
      <c r="V159" s="5"/>
      <c r="W159" s="5"/>
      <c r="X159" s="5"/>
      <c r="Y159" s="5"/>
      <c r="Z159" s="5"/>
    </row>
    <row r="160" customFormat="false" ht="12.75" hidden="false" customHeight="true" outlineLevel="0" collapsed="false">
      <c r="H160" s="48"/>
      <c r="I160" s="48"/>
      <c r="J160" s="48"/>
      <c r="U160" s="5"/>
      <c r="V160" s="5"/>
      <c r="W160" s="5"/>
      <c r="X160" s="5"/>
      <c r="Y160" s="5"/>
      <c r="Z160" s="5"/>
    </row>
    <row r="161" customFormat="false" ht="12.75" hidden="false" customHeight="true" outlineLevel="0" collapsed="false">
      <c r="H161" s="48"/>
      <c r="I161" s="48"/>
      <c r="J161" s="48"/>
      <c r="U161" s="5"/>
      <c r="V161" s="5"/>
      <c r="W161" s="5"/>
      <c r="X161" s="5"/>
      <c r="Y161" s="5"/>
      <c r="Z161" s="5"/>
    </row>
    <row r="162" customFormat="false" ht="12.75" hidden="false" customHeight="true" outlineLevel="0" collapsed="false">
      <c r="H162" s="48"/>
      <c r="I162" s="48"/>
      <c r="J162" s="48"/>
      <c r="U162" s="5"/>
      <c r="V162" s="5"/>
      <c r="W162" s="5"/>
      <c r="X162" s="5"/>
      <c r="Y162" s="5"/>
      <c r="Z162" s="5"/>
    </row>
    <row r="163" customFormat="false" ht="12.75" hidden="false" customHeight="true" outlineLevel="0" collapsed="false">
      <c r="H163" s="48"/>
      <c r="I163" s="48"/>
      <c r="J163" s="48"/>
      <c r="U163" s="5"/>
      <c r="V163" s="5"/>
      <c r="W163" s="5"/>
      <c r="X163" s="5"/>
      <c r="Y163" s="5"/>
      <c r="Z163" s="5"/>
    </row>
    <row r="164" customFormat="false" ht="12.75" hidden="false" customHeight="true" outlineLevel="0" collapsed="false">
      <c r="H164" s="48"/>
      <c r="I164" s="48"/>
      <c r="J164" s="48"/>
      <c r="U164" s="5"/>
      <c r="V164" s="5"/>
      <c r="W164" s="5"/>
      <c r="X164" s="5"/>
      <c r="Y164" s="5"/>
      <c r="Z164" s="5"/>
    </row>
    <row r="165" customFormat="false" ht="12.75" hidden="false" customHeight="true" outlineLevel="0" collapsed="false">
      <c r="H165" s="48"/>
      <c r="I165" s="48"/>
      <c r="J165" s="48"/>
      <c r="U165" s="5"/>
      <c r="V165" s="5"/>
      <c r="W165" s="5"/>
      <c r="X165" s="5"/>
      <c r="Y165" s="5"/>
      <c r="Z165" s="5"/>
    </row>
    <row r="166" customFormat="false" ht="12.75" hidden="false" customHeight="true" outlineLevel="0" collapsed="false">
      <c r="H166" s="48"/>
      <c r="I166" s="48"/>
      <c r="J166" s="48"/>
      <c r="U166" s="5"/>
      <c r="V166" s="5"/>
      <c r="W166" s="5"/>
      <c r="X166" s="5"/>
      <c r="Y166" s="5"/>
      <c r="Z166" s="5"/>
    </row>
    <row r="167" customFormat="false" ht="12.75" hidden="false" customHeight="true" outlineLevel="0" collapsed="false">
      <c r="H167" s="48"/>
      <c r="I167" s="48"/>
      <c r="J167" s="48"/>
      <c r="U167" s="5"/>
      <c r="V167" s="5"/>
      <c r="W167" s="5"/>
      <c r="X167" s="5"/>
      <c r="Y167" s="5"/>
      <c r="Z167" s="5"/>
    </row>
    <row r="168" customFormat="false" ht="12.75" hidden="false" customHeight="true" outlineLevel="0" collapsed="false">
      <c r="H168" s="48"/>
      <c r="I168" s="48"/>
      <c r="J168" s="48"/>
      <c r="U168" s="5"/>
      <c r="V168" s="5"/>
      <c r="W168" s="5"/>
      <c r="X168" s="5"/>
      <c r="Y168" s="5"/>
      <c r="Z168" s="5"/>
    </row>
    <row r="169" customFormat="false" ht="12.75" hidden="false" customHeight="true" outlineLevel="0" collapsed="false">
      <c r="H169" s="48"/>
      <c r="I169" s="48"/>
      <c r="J169" s="48"/>
      <c r="U169" s="5"/>
      <c r="V169" s="5"/>
      <c r="W169" s="5"/>
      <c r="X169" s="5"/>
      <c r="Y169" s="5"/>
      <c r="Z169" s="5"/>
    </row>
    <row r="170" customFormat="false" ht="12.75" hidden="false" customHeight="true" outlineLevel="0" collapsed="false">
      <c r="H170" s="48"/>
      <c r="I170" s="48"/>
      <c r="J170" s="48"/>
      <c r="U170" s="5"/>
      <c r="V170" s="5"/>
      <c r="W170" s="5"/>
      <c r="X170" s="5"/>
      <c r="Y170" s="5"/>
      <c r="Z170" s="5"/>
    </row>
    <row r="171" customFormat="false" ht="12.75" hidden="false" customHeight="true" outlineLevel="0" collapsed="false">
      <c r="H171" s="48"/>
      <c r="I171" s="48"/>
      <c r="J171" s="48"/>
      <c r="U171" s="5"/>
      <c r="V171" s="5"/>
      <c r="W171" s="5"/>
      <c r="X171" s="5"/>
      <c r="Y171" s="5"/>
      <c r="Z171" s="5"/>
    </row>
    <row r="172" customFormat="false" ht="12.75" hidden="false" customHeight="true" outlineLevel="0" collapsed="false">
      <c r="H172" s="48"/>
      <c r="I172" s="48"/>
      <c r="J172" s="48"/>
      <c r="U172" s="5"/>
      <c r="V172" s="5"/>
      <c r="W172" s="5"/>
      <c r="X172" s="5"/>
      <c r="Y172" s="5"/>
      <c r="Z172" s="5"/>
    </row>
    <row r="173" customFormat="false" ht="12.75" hidden="false" customHeight="true" outlineLevel="0" collapsed="false">
      <c r="H173" s="48"/>
      <c r="I173" s="48"/>
      <c r="J173" s="48"/>
      <c r="U173" s="5"/>
      <c r="V173" s="5"/>
      <c r="W173" s="5"/>
      <c r="X173" s="5"/>
      <c r="Y173" s="5"/>
      <c r="Z173" s="5"/>
    </row>
    <row r="174" customFormat="false" ht="12.75" hidden="false" customHeight="true" outlineLevel="0" collapsed="false">
      <c r="H174" s="48"/>
      <c r="I174" s="48"/>
      <c r="J174" s="48"/>
      <c r="U174" s="5"/>
      <c r="V174" s="5"/>
      <c r="W174" s="5"/>
      <c r="X174" s="5"/>
      <c r="Y174" s="5"/>
      <c r="Z174" s="5"/>
    </row>
    <row r="175" customFormat="false" ht="12.75" hidden="false" customHeight="true" outlineLevel="0" collapsed="false">
      <c r="H175" s="48"/>
      <c r="I175" s="48"/>
      <c r="J175" s="48"/>
      <c r="U175" s="5"/>
      <c r="V175" s="5"/>
      <c r="W175" s="5"/>
      <c r="X175" s="5"/>
      <c r="Y175" s="5"/>
      <c r="Z175" s="5"/>
    </row>
    <row r="176" customFormat="false" ht="12.75" hidden="false" customHeight="true" outlineLevel="0" collapsed="false">
      <c r="H176" s="48"/>
      <c r="I176" s="48"/>
      <c r="J176" s="48"/>
      <c r="U176" s="5"/>
      <c r="V176" s="5"/>
      <c r="W176" s="5"/>
      <c r="X176" s="5"/>
      <c r="Y176" s="5"/>
      <c r="Z176" s="5"/>
    </row>
    <row r="177" customFormat="false" ht="12.75" hidden="false" customHeight="true" outlineLevel="0" collapsed="false">
      <c r="H177" s="48"/>
      <c r="I177" s="48"/>
      <c r="J177" s="48"/>
      <c r="U177" s="5"/>
      <c r="V177" s="5"/>
      <c r="W177" s="5"/>
      <c r="X177" s="5"/>
      <c r="Y177" s="5"/>
      <c r="Z177" s="5"/>
    </row>
    <row r="178" customFormat="false" ht="12.75" hidden="false" customHeight="true" outlineLevel="0" collapsed="false">
      <c r="H178" s="48"/>
      <c r="I178" s="48"/>
      <c r="J178" s="48"/>
      <c r="U178" s="5"/>
      <c r="V178" s="5"/>
      <c r="W178" s="5"/>
      <c r="X178" s="5"/>
      <c r="Y178" s="5"/>
      <c r="Z178" s="5"/>
    </row>
    <row r="179" customFormat="false" ht="12.75" hidden="false" customHeight="true" outlineLevel="0" collapsed="false">
      <c r="H179" s="48"/>
      <c r="I179" s="48"/>
      <c r="J179" s="48"/>
      <c r="U179" s="5"/>
      <c r="V179" s="5"/>
      <c r="W179" s="5"/>
      <c r="X179" s="5"/>
      <c r="Y179" s="5"/>
      <c r="Z179" s="5"/>
    </row>
    <row r="180" customFormat="false" ht="12.75" hidden="false" customHeight="true" outlineLevel="0" collapsed="false">
      <c r="H180" s="48"/>
      <c r="I180" s="48"/>
      <c r="J180" s="48"/>
      <c r="U180" s="5"/>
      <c r="V180" s="5"/>
      <c r="W180" s="5"/>
      <c r="X180" s="5"/>
      <c r="Y180" s="5"/>
      <c r="Z180" s="5"/>
    </row>
    <row r="181" customFormat="false" ht="12.75" hidden="false" customHeight="true" outlineLevel="0" collapsed="false">
      <c r="H181" s="48"/>
      <c r="I181" s="48"/>
      <c r="J181" s="48"/>
      <c r="U181" s="5"/>
      <c r="V181" s="5"/>
      <c r="W181" s="5"/>
      <c r="X181" s="5"/>
      <c r="Y181" s="5"/>
      <c r="Z181" s="5"/>
    </row>
    <row r="182" customFormat="false" ht="12.75" hidden="false" customHeight="true" outlineLevel="0" collapsed="false">
      <c r="H182" s="48"/>
      <c r="I182" s="48"/>
      <c r="J182" s="48"/>
      <c r="U182" s="5"/>
      <c r="V182" s="5"/>
      <c r="W182" s="5"/>
      <c r="X182" s="5"/>
      <c r="Y182" s="5"/>
      <c r="Z182" s="5"/>
    </row>
    <row r="183" customFormat="false" ht="12.75" hidden="false" customHeight="true" outlineLevel="0" collapsed="false">
      <c r="H183" s="48"/>
      <c r="I183" s="48"/>
      <c r="J183" s="48"/>
      <c r="U183" s="5"/>
      <c r="V183" s="5"/>
      <c r="W183" s="5"/>
      <c r="X183" s="5"/>
      <c r="Y183" s="5"/>
      <c r="Z183" s="5"/>
    </row>
    <row r="184" customFormat="false" ht="12.75" hidden="false" customHeight="true" outlineLevel="0" collapsed="false">
      <c r="H184" s="48"/>
      <c r="I184" s="48"/>
      <c r="J184" s="48"/>
      <c r="U184" s="5"/>
      <c r="V184" s="5"/>
      <c r="W184" s="5"/>
      <c r="X184" s="5"/>
      <c r="Y184" s="5"/>
      <c r="Z184" s="5"/>
    </row>
    <row r="185" customFormat="false" ht="12.75" hidden="false" customHeight="true" outlineLevel="0" collapsed="false">
      <c r="H185" s="48"/>
      <c r="I185" s="48"/>
      <c r="J185" s="48"/>
      <c r="U185" s="5"/>
      <c r="V185" s="5"/>
      <c r="W185" s="5"/>
      <c r="X185" s="5"/>
      <c r="Y185" s="5"/>
      <c r="Z185" s="5"/>
    </row>
    <row r="186" customFormat="false" ht="12.75" hidden="false" customHeight="true" outlineLevel="0" collapsed="false">
      <c r="H186" s="48"/>
      <c r="I186" s="48"/>
      <c r="J186" s="48"/>
      <c r="U186" s="5"/>
      <c r="V186" s="5"/>
      <c r="W186" s="5"/>
      <c r="X186" s="5"/>
      <c r="Y186" s="5"/>
      <c r="Z186" s="5"/>
    </row>
    <row r="187" customFormat="false" ht="12.75" hidden="false" customHeight="true" outlineLevel="0" collapsed="false">
      <c r="H187" s="48"/>
      <c r="I187" s="48"/>
      <c r="J187" s="48"/>
      <c r="U187" s="5"/>
      <c r="V187" s="5"/>
      <c r="W187" s="5"/>
      <c r="X187" s="5"/>
      <c r="Y187" s="5"/>
      <c r="Z187" s="5"/>
    </row>
    <row r="188" customFormat="false" ht="12.75" hidden="false" customHeight="true" outlineLevel="0" collapsed="false">
      <c r="H188" s="48"/>
      <c r="I188" s="48"/>
      <c r="J188" s="48"/>
      <c r="U188" s="5"/>
      <c r="V188" s="5"/>
      <c r="W188" s="5"/>
      <c r="X188" s="5"/>
      <c r="Y188" s="5"/>
      <c r="Z188" s="5"/>
    </row>
    <row r="189" customFormat="false" ht="12.75" hidden="false" customHeight="true" outlineLevel="0" collapsed="false">
      <c r="H189" s="48"/>
      <c r="I189" s="48"/>
      <c r="J189" s="48"/>
      <c r="U189" s="5"/>
      <c r="V189" s="5"/>
      <c r="W189" s="5"/>
      <c r="X189" s="5"/>
      <c r="Y189" s="5"/>
      <c r="Z189" s="5"/>
    </row>
    <row r="190" customFormat="false" ht="12.75" hidden="false" customHeight="true" outlineLevel="0" collapsed="false">
      <c r="H190" s="48"/>
      <c r="I190" s="48"/>
      <c r="J190" s="48"/>
      <c r="U190" s="5"/>
      <c r="V190" s="5"/>
      <c r="W190" s="5"/>
      <c r="X190" s="5"/>
      <c r="Y190" s="5"/>
      <c r="Z190" s="5"/>
    </row>
    <row r="191" customFormat="false" ht="12.75" hidden="false" customHeight="true" outlineLevel="0" collapsed="false">
      <c r="H191" s="48"/>
      <c r="I191" s="48"/>
      <c r="J191" s="48"/>
      <c r="U191" s="5"/>
      <c r="V191" s="5"/>
      <c r="W191" s="5"/>
      <c r="X191" s="5"/>
      <c r="Y191" s="5"/>
      <c r="Z191" s="5"/>
    </row>
    <row r="192" customFormat="false" ht="12.75" hidden="false" customHeight="true" outlineLevel="0" collapsed="false">
      <c r="H192" s="48"/>
      <c r="I192" s="48"/>
      <c r="J192" s="48"/>
      <c r="U192" s="5"/>
      <c r="V192" s="5"/>
      <c r="W192" s="5"/>
      <c r="X192" s="5"/>
      <c r="Y192" s="5"/>
      <c r="Z192" s="5"/>
    </row>
    <row r="193" customFormat="false" ht="12.75" hidden="false" customHeight="true" outlineLevel="0" collapsed="false">
      <c r="H193" s="48"/>
      <c r="I193" s="48"/>
      <c r="J193" s="48"/>
      <c r="U193" s="5"/>
      <c r="V193" s="5"/>
      <c r="W193" s="5"/>
      <c r="X193" s="5"/>
      <c r="Y193" s="5"/>
      <c r="Z193" s="5"/>
    </row>
    <row r="194" customFormat="false" ht="12.75" hidden="false" customHeight="true" outlineLevel="0" collapsed="false">
      <c r="H194" s="48"/>
      <c r="I194" s="48"/>
      <c r="J194" s="48"/>
      <c r="U194" s="5"/>
      <c r="V194" s="5"/>
      <c r="W194" s="5"/>
      <c r="X194" s="5"/>
      <c r="Y194" s="5"/>
      <c r="Z194" s="5"/>
    </row>
    <row r="195" customFormat="false" ht="12.75" hidden="false" customHeight="true" outlineLevel="0" collapsed="false">
      <c r="H195" s="48"/>
      <c r="I195" s="48"/>
      <c r="J195" s="48"/>
      <c r="U195" s="5"/>
      <c r="V195" s="5"/>
      <c r="W195" s="5"/>
      <c r="X195" s="5"/>
      <c r="Y195" s="5"/>
      <c r="Z195" s="5"/>
    </row>
    <row r="196" customFormat="false" ht="12.75" hidden="false" customHeight="true" outlineLevel="0" collapsed="false">
      <c r="H196" s="48"/>
      <c r="I196" s="48"/>
      <c r="J196" s="48"/>
      <c r="U196" s="5"/>
      <c r="V196" s="5"/>
      <c r="W196" s="5"/>
      <c r="X196" s="5"/>
      <c r="Y196" s="5"/>
      <c r="Z196" s="5"/>
    </row>
    <row r="197" customFormat="false" ht="12.75" hidden="false" customHeight="true" outlineLevel="0" collapsed="false">
      <c r="H197" s="48"/>
      <c r="I197" s="48"/>
      <c r="J197" s="48"/>
      <c r="U197" s="5"/>
      <c r="V197" s="5"/>
      <c r="W197" s="5"/>
      <c r="X197" s="5"/>
      <c r="Y197" s="5"/>
      <c r="Z197" s="5"/>
    </row>
    <row r="198" customFormat="false" ht="12.75" hidden="false" customHeight="true" outlineLevel="0" collapsed="false">
      <c r="H198" s="48"/>
      <c r="I198" s="48"/>
      <c r="J198" s="48"/>
      <c r="U198" s="5"/>
      <c r="V198" s="5"/>
      <c r="W198" s="5"/>
      <c r="X198" s="5"/>
      <c r="Y198" s="5"/>
      <c r="Z198" s="5"/>
    </row>
    <row r="199" customFormat="false" ht="12.75" hidden="false" customHeight="true" outlineLevel="0" collapsed="false">
      <c r="H199" s="48"/>
      <c r="I199" s="48"/>
      <c r="J199" s="48"/>
      <c r="U199" s="5"/>
      <c r="V199" s="5"/>
      <c r="W199" s="5"/>
      <c r="X199" s="5"/>
      <c r="Y199" s="5"/>
      <c r="Z199" s="5"/>
    </row>
    <row r="200" customFormat="false" ht="12.75" hidden="false" customHeight="true" outlineLevel="0" collapsed="false">
      <c r="H200" s="48"/>
      <c r="I200" s="48"/>
      <c r="J200" s="48"/>
      <c r="U200" s="5"/>
      <c r="V200" s="5"/>
      <c r="W200" s="5"/>
      <c r="X200" s="5"/>
      <c r="Y200" s="5"/>
      <c r="Z200" s="5"/>
    </row>
    <row r="201" customFormat="false" ht="12.75" hidden="false" customHeight="true" outlineLevel="0" collapsed="false">
      <c r="H201" s="48"/>
      <c r="I201" s="48"/>
      <c r="J201" s="48"/>
      <c r="U201" s="5"/>
      <c r="V201" s="5"/>
      <c r="W201" s="5"/>
      <c r="X201" s="5"/>
      <c r="Y201" s="5"/>
      <c r="Z201" s="5"/>
    </row>
    <row r="202" customFormat="false" ht="12.75" hidden="false" customHeight="true" outlineLevel="0" collapsed="false">
      <c r="H202" s="48"/>
      <c r="I202" s="48"/>
      <c r="J202" s="48"/>
      <c r="U202" s="5"/>
      <c r="V202" s="5"/>
      <c r="W202" s="5"/>
      <c r="X202" s="5"/>
      <c r="Y202" s="5"/>
      <c r="Z202" s="5"/>
    </row>
    <row r="203" customFormat="false" ht="12.75" hidden="false" customHeight="true" outlineLevel="0" collapsed="false">
      <c r="H203" s="48"/>
      <c r="I203" s="48"/>
      <c r="J203" s="48"/>
      <c r="U203" s="5"/>
      <c r="V203" s="5"/>
      <c r="W203" s="5"/>
      <c r="X203" s="5"/>
      <c r="Y203" s="5"/>
      <c r="Z203" s="5"/>
    </row>
    <row r="204" customFormat="false" ht="12.75" hidden="false" customHeight="true" outlineLevel="0" collapsed="false">
      <c r="H204" s="48"/>
      <c r="I204" s="48"/>
      <c r="J204" s="48"/>
      <c r="U204" s="5"/>
      <c r="V204" s="5"/>
      <c r="W204" s="5"/>
      <c r="X204" s="5"/>
      <c r="Y204" s="5"/>
      <c r="Z204" s="5"/>
    </row>
    <row r="205" customFormat="false" ht="12.75" hidden="false" customHeight="true" outlineLevel="0" collapsed="false">
      <c r="H205" s="48"/>
      <c r="I205" s="48"/>
      <c r="J205" s="48"/>
      <c r="U205" s="5"/>
      <c r="V205" s="5"/>
      <c r="W205" s="5"/>
      <c r="X205" s="5"/>
      <c r="Y205" s="5"/>
      <c r="Z205" s="5"/>
    </row>
    <row r="206" customFormat="false" ht="12.75" hidden="false" customHeight="true" outlineLevel="0" collapsed="false">
      <c r="H206" s="48"/>
      <c r="I206" s="48"/>
      <c r="J206" s="48"/>
      <c r="U206" s="5"/>
      <c r="V206" s="5"/>
      <c r="W206" s="5"/>
      <c r="X206" s="5"/>
      <c r="Y206" s="5"/>
      <c r="Z206" s="5"/>
    </row>
    <row r="207" customFormat="false" ht="12.75" hidden="false" customHeight="true" outlineLevel="0" collapsed="false">
      <c r="H207" s="48"/>
      <c r="I207" s="48"/>
      <c r="J207" s="48"/>
      <c r="U207" s="5"/>
      <c r="V207" s="5"/>
      <c r="W207" s="5"/>
      <c r="X207" s="5"/>
      <c r="Y207" s="5"/>
      <c r="Z207" s="5"/>
    </row>
    <row r="208" customFormat="false" ht="12.75" hidden="false" customHeight="true" outlineLevel="0" collapsed="false">
      <c r="H208" s="48"/>
      <c r="I208" s="48"/>
      <c r="J208" s="48"/>
      <c r="U208" s="5"/>
      <c r="V208" s="5"/>
      <c r="W208" s="5"/>
      <c r="X208" s="5"/>
      <c r="Y208" s="5"/>
      <c r="Z208" s="5"/>
    </row>
    <row r="209" customFormat="false" ht="12.75" hidden="false" customHeight="true" outlineLevel="0" collapsed="false">
      <c r="H209" s="48"/>
      <c r="I209" s="48"/>
      <c r="J209" s="48"/>
      <c r="U209" s="5"/>
      <c r="V209" s="5"/>
      <c r="W209" s="5"/>
      <c r="X209" s="5"/>
      <c r="Y209" s="5"/>
      <c r="Z209" s="5"/>
    </row>
    <row r="210" customFormat="false" ht="12.75" hidden="false" customHeight="true" outlineLevel="0" collapsed="false">
      <c r="H210" s="48"/>
      <c r="I210" s="48"/>
      <c r="J210" s="48"/>
      <c r="U210" s="5"/>
      <c r="V210" s="5"/>
      <c r="W210" s="5"/>
      <c r="X210" s="5"/>
      <c r="Y210" s="5"/>
      <c r="Z210" s="5"/>
    </row>
    <row r="211" customFormat="false" ht="12.75" hidden="false" customHeight="true" outlineLevel="0" collapsed="false">
      <c r="H211" s="48"/>
      <c r="I211" s="48"/>
      <c r="J211" s="48"/>
      <c r="U211" s="5"/>
      <c r="V211" s="5"/>
      <c r="W211" s="5"/>
      <c r="X211" s="5"/>
      <c r="Y211" s="5"/>
      <c r="Z211" s="5"/>
    </row>
    <row r="212" customFormat="false" ht="12.75" hidden="false" customHeight="true" outlineLevel="0" collapsed="false">
      <c r="H212" s="48"/>
      <c r="I212" s="48"/>
      <c r="J212" s="48"/>
      <c r="U212" s="5"/>
      <c r="V212" s="5"/>
      <c r="W212" s="5"/>
      <c r="X212" s="5"/>
      <c r="Y212" s="5"/>
      <c r="Z212" s="5"/>
    </row>
    <row r="213" customFormat="false" ht="12.75" hidden="false" customHeight="true" outlineLevel="0" collapsed="false">
      <c r="H213" s="48"/>
      <c r="I213" s="48"/>
      <c r="J213" s="48"/>
      <c r="U213" s="5"/>
      <c r="V213" s="5"/>
      <c r="W213" s="5"/>
      <c r="X213" s="5"/>
      <c r="Y213" s="5"/>
      <c r="Z213" s="5"/>
    </row>
    <row r="214" customFormat="false" ht="12.75" hidden="false" customHeight="true" outlineLevel="0" collapsed="false">
      <c r="H214" s="48"/>
      <c r="I214" s="48"/>
      <c r="J214" s="48"/>
      <c r="U214" s="5"/>
      <c r="V214" s="5"/>
      <c r="W214" s="5"/>
      <c r="X214" s="5"/>
      <c r="Y214" s="5"/>
      <c r="Z214" s="5"/>
    </row>
    <row r="215" customFormat="false" ht="12.75" hidden="false" customHeight="true" outlineLevel="0" collapsed="false">
      <c r="H215" s="48"/>
      <c r="I215" s="48"/>
      <c r="J215" s="48"/>
      <c r="U215" s="5"/>
      <c r="V215" s="5"/>
      <c r="W215" s="5"/>
      <c r="X215" s="5"/>
      <c r="Y215" s="5"/>
      <c r="Z215" s="5"/>
    </row>
    <row r="216" customFormat="false" ht="12.75" hidden="false" customHeight="true" outlineLevel="0" collapsed="false">
      <c r="H216" s="48"/>
      <c r="I216" s="48"/>
      <c r="J216" s="48"/>
      <c r="U216" s="5"/>
      <c r="V216" s="5"/>
      <c r="W216" s="5"/>
      <c r="X216" s="5"/>
      <c r="Y216" s="5"/>
      <c r="Z216" s="5"/>
    </row>
    <row r="217" customFormat="false" ht="12.75" hidden="false" customHeight="true" outlineLevel="0" collapsed="false">
      <c r="H217" s="48"/>
      <c r="I217" s="48"/>
      <c r="J217" s="48"/>
      <c r="U217" s="5"/>
      <c r="V217" s="5"/>
      <c r="W217" s="5"/>
      <c r="X217" s="5"/>
      <c r="Y217" s="5"/>
      <c r="Z217" s="5"/>
    </row>
    <row r="218" customFormat="false" ht="12.75" hidden="false" customHeight="true" outlineLevel="0" collapsed="false">
      <c r="H218" s="48"/>
      <c r="I218" s="48"/>
      <c r="J218" s="48"/>
      <c r="U218" s="5"/>
      <c r="V218" s="5"/>
      <c r="W218" s="5"/>
      <c r="X218" s="5"/>
      <c r="Y218" s="5"/>
      <c r="Z218" s="5"/>
    </row>
    <row r="219" customFormat="false" ht="12.75" hidden="false" customHeight="true" outlineLevel="0" collapsed="false">
      <c r="H219" s="48"/>
      <c r="I219" s="48"/>
      <c r="J219" s="48"/>
      <c r="U219" s="5"/>
      <c r="V219" s="5"/>
      <c r="W219" s="5"/>
      <c r="X219" s="5"/>
      <c r="Y219" s="5"/>
      <c r="Z219" s="5"/>
    </row>
    <row r="220" customFormat="false" ht="12.75" hidden="false" customHeight="true" outlineLevel="0" collapsed="false">
      <c r="H220" s="48"/>
      <c r="I220" s="48"/>
      <c r="J220" s="48"/>
      <c r="U220" s="5"/>
      <c r="V220" s="5"/>
      <c r="W220" s="5"/>
      <c r="X220" s="5"/>
      <c r="Y220" s="5"/>
      <c r="Z220" s="5"/>
    </row>
    <row r="221" customFormat="false" ht="12.75" hidden="false" customHeight="true" outlineLevel="0" collapsed="false">
      <c r="H221" s="48"/>
      <c r="I221" s="48"/>
      <c r="J221" s="48"/>
      <c r="U221" s="5"/>
      <c r="V221" s="5"/>
      <c r="W221" s="5"/>
      <c r="X221" s="5"/>
      <c r="Y221" s="5"/>
      <c r="Z221" s="5"/>
    </row>
    <row r="222" customFormat="false" ht="12.75" hidden="false" customHeight="true" outlineLevel="0" collapsed="false">
      <c r="H222" s="48"/>
      <c r="I222" s="48"/>
      <c r="J222" s="48"/>
      <c r="U222" s="5"/>
      <c r="V222" s="5"/>
      <c r="W222" s="5"/>
      <c r="X222" s="5"/>
      <c r="Y222" s="5"/>
      <c r="Z222" s="5"/>
    </row>
    <row r="223" customFormat="false" ht="12.75" hidden="false" customHeight="true" outlineLevel="0" collapsed="false">
      <c r="H223" s="48"/>
      <c r="I223" s="48"/>
      <c r="J223" s="48"/>
      <c r="U223" s="5"/>
      <c r="V223" s="5"/>
      <c r="W223" s="5"/>
      <c r="X223" s="5"/>
      <c r="Y223" s="5"/>
      <c r="Z223" s="5"/>
    </row>
    <row r="224" customFormat="false" ht="12.75" hidden="false" customHeight="true" outlineLevel="0" collapsed="false">
      <c r="H224" s="48"/>
      <c r="I224" s="48"/>
      <c r="J224" s="48"/>
      <c r="U224" s="5"/>
      <c r="V224" s="5"/>
      <c r="W224" s="5"/>
      <c r="X224" s="5"/>
      <c r="Y224" s="5"/>
      <c r="Z224" s="5"/>
    </row>
    <row r="225" customFormat="false" ht="12.75" hidden="false" customHeight="true" outlineLevel="0" collapsed="false">
      <c r="H225" s="48"/>
      <c r="I225" s="48"/>
      <c r="J225" s="48"/>
      <c r="U225" s="5"/>
      <c r="V225" s="5"/>
      <c r="W225" s="5"/>
      <c r="X225" s="5"/>
      <c r="Y225" s="5"/>
      <c r="Z225" s="5"/>
    </row>
    <row r="226" customFormat="false" ht="12.75" hidden="false" customHeight="true" outlineLevel="0" collapsed="false">
      <c r="H226" s="48"/>
      <c r="I226" s="48"/>
      <c r="J226" s="48"/>
      <c r="U226" s="5"/>
      <c r="V226" s="5"/>
      <c r="W226" s="5"/>
      <c r="X226" s="5"/>
      <c r="Y226" s="5"/>
      <c r="Z226" s="5"/>
    </row>
    <row r="227" customFormat="false" ht="12.75" hidden="false" customHeight="true" outlineLevel="0" collapsed="false">
      <c r="H227" s="48"/>
      <c r="I227" s="48"/>
      <c r="J227" s="48"/>
      <c r="U227" s="5"/>
      <c r="V227" s="5"/>
      <c r="W227" s="5"/>
      <c r="X227" s="5"/>
      <c r="Y227" s="5"/>
      <c r="Z227" s="5"/>
    </row>
    <row r="228" customFormat="false" ht="12.75" hidden="false" customHeight="true" outlineLevel="0" collapsed="false">
      <c r="H228" s="48"/>
      <c r="I228" s="48"/>
      <c r="J228" s="48"/>
      <c r="U228" s="5"/>
      <c r="V228" s="5"/>
      <c r="W228" s="5"/>
      <c r="X228" s="5"/>
      <c r="Y228" s="5"/>
      <c r="Z228" s="5"/>
    </row>
    <row r="229" customFormat="false" ht="12.75" hidden="false" customHeight="true" outlineLevel="0" collapsed="false">
      <c r="H229" s="48"/>
      <c r="I229" s="48"/>
      <c r="J229" s="48"/>
      <c r="U229" s="5"/>
      <c r="V229" s="5"/>
      <c r="W229" s="5"/>
      <c r="X229" s="5"/>
      <c r="Y229" s="5"/>
      <c r="Z229" s="5"/>
    </row>
    <row r="230" customFormat="false" ht="12.75" hidden="false" customHeight="true" outlineLevel="0" collapsed="false">
      <c r="H230" s="48"/>
      <c r="I230" s="48"/>
      <c r="J230" s="48"/>
      <c r="U230" s="5"/>
      <c r="V230" s="5"/>
      <c r="W230" s="5"/>
      <c r="X230" s="5"/>
      <c r="Y230" s="5"/>
      <c r="Z230" s="5"/>
    </row>
    <row r="231" customFormat="false" ht="12.75" hidden="false" customHeight="true" outlineLevel="0" collapsed="false">
      <c r="H231" s="48"/>
      <c r="I231" s="48"/>
      <c r="J231" s="48"/>
      <c r="U231" s="5"/>
      <c r="V231" s="5"/>
      <c r="W231" s="5"/>
      <c r="X231" s="5"/>
      <c r="Y231" s="5"/>
      <c r="Z231" s="5"/>
    </row>
    <row r="232" customFormat="false" ht="12.75" hidden="false" customHeight="true" outlineLevel="0" collapsed="false">
      <c r="H232" s="48"/>
      <c r="I232" s="48"/>
      <c r="J232" s="48"/>
      <c r="U232" s="5"/>
      <c r="V232" s="5"/>
      <c r="W232" s="5"/>
      <c r="X232" s="5"/>
      <c r="Y232" s="5"/>
      <c r="Z232" s="5"/>
    </row>
    <row r="233" customFormat="false" ht="12.75" hidden="false" customHeight="true" outlineLevel="0" collapsed="false">
      <c r="H233" s="48"/>
      <c r="I233" s="48"/>
      <c r="J233" s="48"/>
      <c r="U233" s="5"/>
      <c r="V233" s="5"/>
      <c r="W233" s="5"/>
      <c r="X233" s="5"/>
      <c r="Y233" s="5"/>
      <c r="Z233" s="5"/>
    </row>
    <row r="234" customFormat="false" ht="12.75" hidden="false" customHeight="true" outlineLevel="0" collapsed="false">
      <c r="H234" s="48"/>
      <c r="I234" s="48"/>
      <c r="J234" s="48"/>
      <c r="U234" s="5"/>
      <c r="V234" s="5"/>
      <c r="W234" s="5"/>
      <c r="X234" s="5"/>
      <c r="Y234" s="5"/>
      <c r="Z234" s="5"/>
    </row>
    <row r="235" customFormat="false" ht="12.75" hidden="false" customHeight="true" outlineLevel="0" collapsed="false">
      <c r="H235" s="48"/>
      <c r="I235" s="48"/>
      <c r="J235" s="48"/>
      <c r="U235" s="5"/>
      <c r="V235" s="5"/>
      <c r="W235" s="5"/>
      <c r="X235" s="5"/>
      <c r="Y235" s="5"/>
      <c r="Z235" s="5"/>
    </row>
    <row r="236" customFormat="false" ht="12.75" hidden="false" customHeight="true" outlineLevel="0" collapsed="false">
      <c r="H236" s="48"/>
      <c r="I236" s="48"/>
      <c r="J236" s="48"/>
      <c r="U236" s="5"/>
      <c r="V236" s="5"/>
      <c r="W236" s="5"/>
      <c r="X236" s="5"/>
      <c r="Y236" s="5"/>
      <c r="Z236" s="5"/>
    </row>
    <row r="237" customFormat="false" ht="12.75" hidden="false" customHeight="true" outlineLevel="0" collapsed="false">
      <c r="H237" s="48"/>
      <c r="I237" s="48"/>
      <c r="J237" s="48"/>
      <c r="U237" s="5"/>
      <c r="V237" s="5"/>
      <c r="W237" s="5"/>
      <c r="X237" s="5"/>
      <c r="Y237" s="5"/>
      <c r="Z237" s="5"/>
    </row>
    <row r="238" customFormat="false" ht="12.75" hidden="false" customHeight="true" outlineLevel="0" collapsed="false">
      <c r="H238" s="48"/>
      <c r="I238" s="48"/>
      <c r="J238" s="48"/>
      <c r="U238" s="5"/>
      <c r="V238" s="5"/>
      <c r="W238" s="5"/>
      <c r="X238" s="5"/>
      <c r="Y238" s="5"/>
      <c r="Z238" s="5"/>
    </row>
    <row r="239" customFormat="false" ht="12.75" hidden="false" customHeight="true" outlineLevel="0" collapsed="false">
      <c r="H239" s="48"/>
      <c r="I239" s="48"/>
      <c r="J239" s="48"/>
      <c r="U239" s="5"/>
      <c r="V239" s="5"/>
      <c r="W239" s="5"/>
      <c r="X239" s="5"/>
      <c r="Y239" s="5"/>
      <c r="Z239" s="5"/>
    </row>
    <row r="240" customFormat="false" ht="12.75" hidden="false" customHeight="true" outlineLevel="0" collapsed="false">
      <c r="H240" s="48"/>
      <c r="I240" s="48"/>
      <c r="J240" s="48"/>
      <c r="U240" s="5"/>
      <c r="V240" s="5"/>
      <c r="W240" s="5"/>
      <c r="X240" s="5"/>
      <c r="Y240" s="5"/>
      <c r="Z240" s="5"/>
    </row>
    <row r="241" customFormat="false" ht="12.75" hidden="false" customHeight="true" outlineLevel="0" collapsed="false">
      <c r="H241" s="48"/>
      <c r="I241" s="48"/>
      <c r="J241" s="48"/>
      <c r="U241" s="5"/>
      <c r="V241" s="5"/>
      <c r="W241" s="5"/>
      <c r="X241" s="5"/>
      <c r="Y241" s="5"/>
      <c r="Z241" s="5"/>
    </row>
    <row r="242" customFormat="false" ht="12.75" hidden="false" customHeight="true" outlineLevel="0" collapsed="false">
      <c r="H242" s="48"/>
      <c r="I242" s="48"/>
      <c r="J242" s="48"/>
      <c r="U242" s="5"/>
      <c r="V242" s="5"/>
      <c r="W242" s="5"/>
      <c r="X242" s="5"/>
      <c r="Y242" s="5"/>
      <c r="Z242" s="5"/>
    </row>
    <row r="243" customFormat="false" ht="12.75" hidden="false" customHeight="true" outlineLevel="0" collapsed="false">
      <c r="H243" s="48"/>
      <c r="I243" s="48"/>
      <c r="J243" s="48"/>
      <c r="U243" s="5"/>
      <c r="V243" s="5"/>
      <c r="W243" s="5"/>
      <c r="X243" s="5"/>
      <c r="Y243" s="5"/>
      <c r="Z243" s="5"/>
    </row>
    <row r="244" customFormat="false" ht="12.75" hidden="false" customHeight="true" outlineLevel="0" collapsed="false">
      <c r="H244" s="48"/>
      <c r="I244" s="48"/>
      <c r="J244" s="48"/>
      <c r="U244" s="5"/>
      <c r="V244" s="5"/>
      <c r="W244" s="5"/>
      <c r="X244" s="5"/>
      <c r="Y244" s="5"/>
      <c r="Z244" s="5"/>
    </row>
    <row r="245" customFormat="false" ht="12.75" hidden="false" customHeight="true" outlineLevel="0" collapsed="false">
      <c r="H245" s="48"/>
      <c r="I245" s="48"/>
      <c r="J245" s="48"/>
      <c r="U245" s="5"/>
      <c r="V245" s="5"/>
      <c r="W245" s="5"/>
      <c r="X245" s="5"/>
      <c r="Y245" s="5"/>
      <c r="Z245" s="5"/>
    </row>
    <row r="246" customFormat="false" ht="12.75" hidden="false" customHeight="true" outlineLevel="0" collapsed="false">
      <c r="H246" s="48"/>
      <c r="I246" s="48"/>
      <c r="J246" s="48"/>
      <c r="U246" s="5"/>
      <c r="V246" s="5"/>
      <c r="W246" s="5"/>
      <c r="X246" s="5"/>
      <c r="Y246" s="5"/>
      <c r="Z246" s="5"/>
    </row>
    <row r="247" customFormat="false" ht="12.75" hidden="false" customHeight="true" outlineLevel="0" collapsed="false">
      <c r="H247" s="48"/>
      <c r="I247" s="48"/>
      <c r="J247" s="48"/>
      <c r="U247" s="5"/>
      <c r="V247" s="5"/>
      <c r="W247" s="5"/>
      <c r="X247" s="5"/>
      <c r="Y247" s="5"/>
      <c r="Z247" s="5"/>
    </row>
    <row r="248" customFormat="false" ht="12.75" hidden="false" customHeight="true" outlineLevel="0" collapsed="false">
      <c r="H248" s="48"/>
      <c r="I248" s="48"/>
      <c r="J248" s="48"/>
      <c r="U248" s="5"/>
      <c r="V248" s="5"/>
      <c r="W248" s="5"/>
      <c r="X248" s="5"/>
      <c r="Y248" s="5"/>
      <c r="Z248" s="5"/>
    </row>
    <row r="249" customFormat="false" ht="12.75" hidden="false" customHeight="true" outlineLevel="0" collapsed="false">
      <c r="H249" s="48"/>
      <c r="I249" s="48"/>
      <c r="J249" s="48"/>
      <c r="U249" s="5"/>
      <c r="V249" s="5"/>
      <c r="W249" s="5"/>
      <c r="X249" s="5"/>
      <c r="Y249" s="5"/>
      <c r="Z249" s="5"/>
    </row>
    <row r="250" customFormat="false" ht="12.75" hidden="false" customHeight="true" outlineLevel="0" collapsed="false">
      <c r="H250" s="48"/>
      <c r="I250" s="48"/>
      <c r="J250" s="48"/>
      <c r="U250" s="5"/>
      <c r="V250" s="5"/>
      <c r="W250" s="5"/>
      <c r="X250" s="5"/>
      <c r="Y250" s="5"/>
      <c r="Z250" s="5"/>
    </row>
    <row r="251" customFormat="false" ht="12.75" hidden="false" customHeight="true" outlineLevel="0" collapsed="false">
      <c r="H251" s="48"/>
      <c r="I251" s="48"/>
      <c r="J251" s="48"/>
      <c r="U251" s="5"/>
      <c r="V251" s="5"/>
      <c r="W251" s="5"/>
      <c r="X251" s="5"/>
      <c r="Y251" s="5"/>
      <c r="Z251" s="5"/>
    </row>
    <row r="252" customFormat="false" ht="12.75" hidden="false" customHeight="true" outlineLevel="0" collapsed="false">
      <c r="H252" s="48"/>
      <c r="I252" s="48"/>
      <c r="J252" s="48"/>
      <c r="U252" s="5"/>
      <c r="V252" s="5"/>
      <c r="W252" s="5"/>
      <c r="X252" s="5"/>
      <c r="Y252" s="5"/>
      <c r="Z252" s="5"/>
    </row>
    <row r="253" customFormat="false" ht="12.75" hidden="false" customHeight="true" outlineLevel="0" collapsed="false">
      <c r="H253" s="48"/>
      <c r="I253" s="48"/>
      <c r="J253" s="48"/>
      <c r="U253" s="5"/>
      <c r="V253" s="5"/>
      <c r="W253" s="5"/>
      <c r="X253" s="5"/>
      <c r="Y253" s="5"/>
      <c r="Z253" s="5"/>
    </row>
    <row r="254" customFormat="false" ht="12.75" hidden="false" customHeight="true" outlineLevel="0" collapsed="false">
      <c r="H254" s="48"/>
      <c r="I254" s="48"/>
      <c r="J254" s="48"/>
      <c r="U254" s="5"/>
      <c r="V254" s="5"/>
      <c r="W254" s="5"/>
      <c r="X254" s="5"/>
      <c r="Y254" s="5"/>
      <c r="Z254" s="5"/>
    </row>
    <row r="255" customFormat="false" ht="12.75" hidden="false" customHeight="true" outlineLevel="0" collapsed="false">
      <c r="H255" s="48"/>
      <c r="I255" s="48"/>
      <c r="J255" s="48"/>
      <c r="U255" s="5"/>
      <c r="V255" s="5"/>
      <c r="W255" s="5"/>
      <c r="X255" s="5"/>
      <c r="Y255" s="5"/>
      <c r="Z255" s="5"/>
    </row>
    <row r="256" customFormat="false" ht="12.75" hidden="false" customHeight="true" outlineLevel="0" collapsed="false">
      <c r="H256" s="48"/>
      <c r="I256" s="48"/>
      <c r="J256" s="48"/>
      <c r="U256" s="5"/>
      <c r="V256" s="5"/>
      <c r="W256" s="5"/>
      <c r="X256" s="5"/>
      <c r="Y256" s="5"/>
      <c r="Z256" s="5"/>
    </row>
    <row r="257" customFormat="false" ht="12.75" hidden="false" customHeight="true" outlineLevel="0" collapsed="false">
      <c r="H257" s="48"/>
      <c r="I257" s="48"/>
      <c r="J257" s="48"/>
      <c r="U257" s="5"/>
      <c r="V257" s="5"/>
      <c r="W257" s="5"/>
      <c r="X257" s="5"/>
      <c r="Y257" s="5"/>
      <c r="Z257" s="5"/>
    </row>
    <row r="258" customFormat="false" ht="12.75" hidden="false" customHeight="true" outlineLevel="0" collapsed="false">
      <c r="H258" s="48"/>
      <c r="I258" s="48"/>
      <c r="J258" s="48"/>
      <c r="U258" s="5"/>
      <c r="V258" s="5"/>
      <c r="W258" s="5"/>
      <c r="X258" s="5"/>
      <c r="Y258" s="5"/>
      <c r="Z258" s="5"/>
    </row>
    <row r="259" customFormat="false" ht="12.75" hidden="false" customHeight="true" outlineLevel="0" collapsed="false">
      <c r="H259" s="48"/>
      <c r="I259" s="48"/>
      <c r="J259" s="48"/>
      <c r="U259" s="5"/>
      <c r="V259" s="5"/>
      <c r="W259" s="5"/>
      <c r="X259" s="5"/>
      <c r="Y259" s="5"/>
      <c r="Z259" s="5"/>
    </row>
    <row r="260" customFormat="false" ht="12.75" hidden="false" customHeight="true" outlineLevel="0" collapsed="false">
      <c r="H260" s="48"/>
      <c r="I260" s="48"/>
      <c r="J260" s="48"/>
      <c r="U260" s="5"/>
      <c r="V260" s="5"/>
      <c r="W260" s="5"/>
      <c r="X260" s="5"/>
      <c r="Y260" s="5"/>
      <c r="Z260" s="5"/>
    </row>
    <row r="261" customFormat="false" ht="12.75" hidden="false" customHeight="true" outlineLevel="0" collapsed="false">
      <c r="H261" s="48"/>
      <c r="I261" s="48"/>
      <c r="J261" s="48"/>
      <c r="U261" s="5"/>
      <c r="V261" s="5"/>
      <c r="W261" s="5"/>
      <c r="X261" s="5"/>
      <c r="Y261" s="5"/>
      <c r="Z261" s="5"/>
    </row>
    <row r="262" customFormat="false" ht="12.75" hidden="false" customHeight="true" outlineLevel="0" collapsed="false">
      <c r="H262" s="48"/>
      <c r="I262" s="48"/>
      <c r="J262" s="48"/>
      <c r="U262" s="5"/>
      <c r="V262" s="5"/>
      <c r="W262" s="5"/>
      <c r="X262" s="5"/>
      <c r="Y262" s="5"/>
      <c r="Z262" s="5"/>
    </row>
    <row r="263" customFormat="false" ht="12.75" hidden="false" customHeight="true" outlineLevel="0" collapsed="false">
      <c r="H263" s="48"/>
      <c r="I263" s="48"/>
      <c r="J263" s="48"/>
      <c r="U263" s="5"/>
      <c r="V263" s="5"/>
      <c r="W263" s="5"/>
      <c r="X263" s="5"/>
      <c r="Y263" s="5"/>
      <c r="Z263" s="5"/>
    </row>
    <row r="264" customFormat="false" ht="12.75" hidden="false" customHeight="true" outlineLevel="0" collapsed="false">
      <c r="H264" s="48"/>
      <c r="I264" s="48"/>
      <c r="J264" s="48"/>
      <c r="U264" s="5"/>
      <c r="V264" s="5"/>
      <c r="W264" s="5"/>
      <c r="X264" s="5"/>
      <c r="Y264" s="5"/>
      <c r="Z264" s="5"/>
    </row>
    <row r="265" customFormat="false" ht="12.75" hidden="false" customHeight="true" outlineLevel="0" collapsed="false">
      <c r="H265" s="48"/>
      <c r="I265" s="48"/>
      <c r="J265" s="48"/>
      <c r="U265" s="5"/>
      <c r="V265" s="5"/>
      <c r="W265" s="5"/>
      <c r="X265" s="5"/>
      <c r="Y265" s="5"/>
      <c r="Z265" s="5"/>
    </row>
    <row r="266" customFormat="false" ht="12.75" hidden="false" customHeight="true" outlineLevel="0" collapsed="false">
      <c r="H266" s="48"/>
      <c r="I266" s="48"/>
      <c r="J266" s="48"/>
      <c r="U266" s="5"/>
      <c r="V266" s="5"/>
      <c r="W266" s="5"/>
      <c r="X266" s="5"/>
      <c r="Y266" s="5"/>
      <c r="Z266" s="5"/>
    </row>
    <row r="267" customFormat="false" ht="12.75" hidden="false" customHeight="true" outlineLevel="0" collapsed="false">
      <c r="H267" s="48"/>
      <c r="I267" s="48"/>
      <c r="J267" s="48"/>
      <c r="U267" s="5"/>
      <c r="V267" s="5"/>
      <c r="W267" s="5"/>
      <c r="X267" s="5"/>
      <c r="Y267" s="5"/>
      <c r="Z267" s="5"/>
    </row>
    <row r="268" customFormat="false" ht="12.75" hidden="false" customHeight="true" outlineLevel="0" collapsed="false">
      <c r="H268" s="48"/>
      <c r="I268" s="48"/>
      <c r="J268" s="48"/>
      <c r="U268" s="5"/>
      <c r="V268" s="5"/>
      <c r="W268" s="5"/>
      <c r="X268" s="5"/>
      <c r="Y268" s="5"/>
      <c r="Z268" s="5"/>
    </row>
    <row r="269" customFormat="false" ht="12.75" hidden="false" customHeight="true" outlineLevel="0" collapsed="false">
      <c r="H269" s="48"/>
      <c r="I269" s="48"/>
      <c r="J269" s="48"/>
      <c r="U269" s="5"/>
      <c r="V269" s="5"/>
      <c r="W269" s="5"/>
      <c r="X269" s="5"/>
      <c r="Y269" s="5"/>
      <c r="Z269" s="5"/>
    </row>
    <row r="270" customFormat="false" ht="12.75" hidden="false" customHeight="true" outlineLevel="0" collapsed="false">
      <c r="H270" s="48"/>
      <c r="I270" s="48"/>
      <c r="J270" s="48"/>
      <c r="U270" s="5"/>
      <c r="V270" s="5"/>
      <c r="W270" s="5"/>
      <c r="X270" s="5"/>
      <c r="Y270" s="5"/>
      <c r="Z270" s="5"/>
    </row>
    <row r="271" customFormat="false" ht="12.75" hidden="false" customHeight="true" outlineLevel="0" collapsed="false">
      <c r="H271" s="48"/>
      <c r="I271" s="48"/>
      <c r="J271" s="48"/>
      <c r="U271" s="5"/>
      <c r="V271" s="5"/>
      <c r="W271" s="5"/>
      <c r="X271" s="5"/>
      <c r="Y271" s="5"/>
      <c r="Z271" s="5"/>
    </row>
    <row r="272" customFormat="false" ht="12.75" hidden="false" customHeight="true" outlineLevel="0" collapsed="false">
      <c r="H272" s="48"/>
      <c r="I272" s="48"/>
      <c r="J272" s="48"/>
      <c r="U272" s="5"/>
      <c r="V272" s="5"/>
      <c r="W272" s="5"/>
      <c r="X272" s="5"/>
      <c r="Y272" s="5"/>
      <c r="Z272" s="5"/>
    </row>
    <row r="273" customFormat="false" ht="12.75" hidden="false" customHeight="true" outlineLevel="0" collapsed="false">
      <c r="H273" s="48"/>
      <c r="I273" s="48"/>
      <c r="J273" s="48"/>
      <c r="U273" s="5"/>
      <c r="V273" s="5"/>
      <c r="W273" s="5"/>
      <c r="X273" s="5"/>
      <c r="Y273" s="5"/>
      <c r="Z273" s="5"/>
    </row>
    <row r="274" customFormat="false" ht="12.75" hidden="false" customHeight="true" outlineLevel="0" collapsed="false">
      <c r="H274" s="48"/>
      <c r="I274" s="48"/>
      <c r="J274" s="48"/>
      <c r="U274" s="5"/>
      <c r="V274" s="5"/>
      <c r="W274" s="5"/>
      <c r="X274" s="5"/>
      <c r="Y274" s="5"/>
      <c r="Z274" s="5"/>
    </row>
    <row r="275" customFormat="false" ht="12.75" hidden="false" customHeight="true" outlineLevel="0" collapsed="false">
      <c r="H275" s="48"/>
      <c r="I275" s="48"/>
      <c r="J275" s="48"/>
      <c r="U275" s="5"/>
      <c r="V275" s="5"/>
      <c r="W275" s="5"/>
      <c r="X275" s="5"/>
      <c r="Y275" s="5"/>
      <c r="Z275" s="5"/>
    </row>
    <row r="276" customFormat="false" ht="12.75" hidden="false" customHeight="true" outlineLevel="0" collapsed="false">
      <c r="H276" s="48"/>
      <c r="I276" s="48"/>
      <c r="J276" s="48"/>
      <c r="U276" s="5"/>
      <c r="V276" s="5"/>
      <c r="W276" s="5"/>
      <c r="X276" s="5"/>
      <c r="Y276" s="5"/>
      <c r="Z276" s="5"/>
    </row>
    <row r="277" customFormat="false" ht="12.75" hidden="false" customHeight="true" outlineLevel="0" collapsed="false">
      <c r="H277" s="48"/>
      <c r="I277" s="48"/>
      <c r="J277" s="48"/>
      <c r="U277" s="5"/>
      <c r="V277" s="5"/>
      <c r="W277" s="5"/>
      <c r="X277" s="5"/>
      <c r="Y277" s="5"/>
      <c r="Z277" s="5"/>
    </row>
    <row r="278" customFormat="false" ht="12.75" hidden="false" customHeight="true" outlineLevel="0" collapsed="false">
      <c r="H278" s="48"/>
      <c r="I278" s="48"/>
      <c r="J278" s="48"/>
      <c r="U278" s="5"/>
      <c r="V278" s="5"/>
      <c r="W278" s="5"/>
      <c r="X278" s="5"/>
      <c r="Y278" s="5"/>
      <c r="Z278" s="5"/>
    </row>
    <row r="279" customFormat="false" ht="12.75" hidden="false" customHeight="true" outlineLevel="0" collapsed="false">
      <c r="H279" s="48"/>
      <c r="I279" s="48"/>
      <c r="J279" s="48"/>
      <c r="U279" s="5"/>
      <c r="V279" s="5"/>
      <c r="W279" s="5"/>
      <c r="X279" s="5"/>
      <c r="Y279" s="5"/>
      <c r="Z279" s="5"/>
    </row>
    <row r="280" customFormat="false" ht="12.75" hidden="false" customHeight="true" outlineLevel="0" collapsed="false">
      <c r="H280" s="48"/>
      <c r="I280" s="48"/>
      <c r="J280" s="48"/>
      <c r="U280" s="5"/>
      <c r="V280" s="5"/>
      <c r="W280" s="5"/>
      <c r="X280" s="5"/>
      <c r="Y280" s="5"/>
      <c r="Z280" s="5"/>
    </row>
    <row r="281" customFormat="false" ht="12.75" hidden="false" customHeight="true" outlineLevel="0" collapsed="false">
      <c r="H281" s="48"/>
      <c r="I281" s="48"/>
      <c r="J281" s="48"/>
      <c r="U281" s="5"/>
      <c r="V281" s="5"/>
      <c r="W281" s="5"/>
      <c r="X281" s="5"/>
      <c r="Y281" s="5"/>
      <c r="Z281" s="5"/>
    </row>
    <row r="282" customFormat="false" ht="12.75" hidden="false" customHeight="true" outlineLevel="0" collapsed="false">
      <c r="H282" s="48"/>
      <c r="I282" s="48"/>
      <c r="J282" s="48"/>
      <c r="U282" s="5"/>
      <c r="V282" s="5"/>
      <c r="W282" s="5"/>
      <c r="X282" s="5"/>
      <c r="Y282" s="5"/>
      <c r="Z282" s="5"/>
    </row>
    <row r="283" customFormat="false" ht="12.75" hidden="false" customHeight="true" outlineLevel="0" collapsed="false">
      <c r="H283" s="48"/>
      <c r="I283" s="48"/>
      <c r="J283" s="48"/>
      <c r="U283" s="5"/>
      <c r="V283" s="5"/>
      <c r="W283" s="5"/>
      <c r="X283" s="5"/>
      <c r="Y283" s="5"/>
      <c r="Z283" s="5"/>
    </row>
    <row r="284" customFormat="false" ht="12.75" hidden="false" customHeight="true" outlineLevel="0" collapsed="false">
      <c r="H284" s="48"/>
      <c r="I284" s="48"/>
      <c r="J284" s="48"/>
      <c r="U284" s="5"/>
      <c r="V284" s="5"/>
      <c r="W284" s="5"/>
      <c r="X284" s="5"/>
      <c r="Y284" s="5"/>
      <c r="Z284" s="5"/>
    </row>
    <row r="285" customFormat="false" ht="12.75" hidden="false" customHeight="true" outlineLevel="0" collapsed="false">
      <c r="H285" s="48"/>
      <c r="I285" s="48"/>
      <c r="J285" s="48"/>
      <c r="U285" s="5"/>
      <c r="V285" s="5"/>
      <c r="W285" s="5"/>
      <c r="X285" s="5"/>
      <c r="Y285" s="5"/>
      <c r="Z285" s="5"/>
    </row>
    <row r="286" customFormat="false" ht="12.75" hidden="false" customHeight="true" outlineLevel="0" collapsed="false">
      <c r="H286" s="48"/>
      <c r="I286" s="48"/>
      <c r="J286" s="48"/>
      <c r="U286" s="5"/>
      <c r="V286" s="5"/>
      <c r="W286" s="5"/>
      <c r="X286" s="5"/>
      <c r="Y286" s="5"/>
      <c r="Z286" s="5"/>
    </row>
    <row r="287" customFormat="false" ht="12.75" hidden="false" customHeight="true" outlineLevel="0" collapsed="false">
      <c r="H287" s="48"/>
      <c r="I287" s="48"/>
      <c r="J287" s="48"/>
      <c r="U287" s="5"/>
      <c r="V287" s="5"/>
      <c r="W287" s="5"/>
      <c r="X287" s="5"/>
      <c r="Y287" s="5"/>
      <c r="Z287" s="5"/>
    </row>
    <row r="288" customFormat="false" ht="12.75" hidden="false" customHeight="true" outlineLevel="0" collapsed="false">
      <c r="H288" s="48"/>
      <c r="I288" s="48"/>
      <c r="J288" s="48"/>
      <c r="U288" s="5"/>
      <c r="V288" s="5"/>
      <c r="W288" s="5"/>
      <c r="X288" s="5"/>
      <c r="Y288" s="5"/>
      <c r="Z288" s="5"/>
    </row>
    <row r="289" customFormat="false" ht="12.75" hidden="false" customHeight="true" outlineLevel="0" collapsed="false">
      <c r="H289" s="48"/>
      <c r="I289" s="48"/>
      <c r="J289" s="48"/>
      <c r="U289" s="5"/>
      <c r="V289" s="5"/>
      <c r="W289" s="5"/>
      <c r="X289" s="5"/>
      <c r="Y289" s="5"/>
      <c r="Z289" s="5"/>
    </row>
    <row r="290" customFormat="false" ht="12.75" hidden="false" customHeight="true" outlineLevel="0" collapsed="false">
      <c r="H290" s="48"/>
      <c r="I290" s="48"/>
      <c r="J290" s="48"/>
      <c r="U290" s="5"/>
      <c r="V290" s="5"/>
      <c r="W290" s="5"/>
      <c r="X290" s="5"/>
      <c r="Y290" s="5"/>
      <c r="Z290" s="5"/>
    </row>
    <row r="291" customFormat="false" ht="12.75" hidden="false" customHeight="true" outlineLevel="0" collapsed="false">
      <c r="H291" s="48"/>
      <c r="I291" s="48"/>
      <c r="J291" s="48"/>
      <c r="U291" s="5"/>
      <c r="V291" s="5"/>
      <c r="W291" s="5"/>
      <c r="X291" s="5"/>
      <c r="Y291" s="5"/>
      <c r="Z291" s="5"/>
    </row>
    <row r="292" customFormat="false" ht="12.75" hidden="false" customHeight="true" outlineLevel="0" collapsed="false">
      <c r="H292" s="48"/>
      <c r="I292" s="48"/>
      <c r="J292" s="48"/>
      <c r="U292" s="5"/>
      <c r="V292" s="5"/>
      <c r="W292" s="5"/>
      <c r="X292" s="5"/>
      <c r="Y292" s="5"/>
      <c r="Z292" s="5"/>
    </row>
    <row r="293" customFormat="false" ht="12.75" hidden="false" customHeight="true" outlineLevel="0" collapsed="false">
      <c r="H293" s="48"/>
      <c r="I293" s="48"/>
      <c r="J293" s="48"/>
      <c r="U293" s="5"/>
      <c r="V293" s="5"/>
      <c r="W293" s="5"/>
      <c r="X293" s="5"/>
      <c r="Y293" s="5"/>
      <c r="Z293" s="5"/>
    </row>
    <row r="294" customFormat="false" ht="12.75" hidden="false" customHeight="true" outlineLevel="0" collapsed="false">
      <c r="H294" s="48"/>
      <c r="I294" s="48"/>
      <c r="J294" s="48"/>
      <c r="U294" s="5"/>
      <c r="V294" s="5"/>
      <c r="W294" s="5"/>
      <c r="X294" s="5"/>
      <c r="Y294" s="5"/>
      <c r="Z294" s="5"/>
    </row>
    <row r="295" customFormat="false" ht="12.75" hidden="false" customHeight="true" outlineLevel="0" collapsed="false">
      <c r="H295" s="48"/>
      <c r="I295" s="48"/>
      <c r="J295" s="48"/>
      <c r="U295" s="5"/>
      <c r="V295" s="5"/>
      <c r="W295" s="5"/>
      <c r="X295" s="5"/>
      <c r="Y295" s="5"/>
      <c r="Z295" s="5"/>
    </row>
    <row r="296" customFormat="false" ht="12.75" hidden="false" customHeight="true" outlineLevel="0" collapsed="false">
      <c r="H296" s="48"/>
      <c r="I296" s="48"/>
      <c r="J296" s="48"/>
      <c r="U296" s="5"/>
      <c r="V296" s="5"/>
      <c r="W296" s="5"/>
      <c r="X296" s="5"/>
      <c r="Y296" s="5"/>
      <c r="Z296" s="5"/>
    </row>
    <row r="297" customFormat="false" ht="12.75" hidden="false" customHeight="true" outlineLevel="0" collapsed="false">
      <c r="H297" s="48"/>
      <c r="I297" s="48"/>
      <c r="J297" s="48"/>
      <c r="U297" s="5"/>
      <c r="V297" s="5"/>
      <c r="W297" s="5"/>
      <c r="X297" s="5"/>
      <c r="Y297" s="5"/>
      <c r="Z297" s="5"/>
    </row>
    <row r="298" customFormat="false" ht="12.75" hidden="false" customHeight="true" outlineLevel="0" collapsed="false">
      <c r="H298" s="48"/>
      <c r="I298" s="48"/>
      <c r="J298" s="48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3" colorId="64" zoomScale="100" zoomScaleNormal="100" zoomScalePageLayoutView="100" workbookViewId="0">
      <selection pane="topLeft" activeCell="A93" activeCellId="0" sqref="A93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239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5" t="n">
        <f aca="false">IF(AND(ISNUMBER(RESULTADOS!C5),ISNUMBER(RESULTADOS!E5),ISNUMBER(C5),ISNUMBER(E5),C5=RESULTADOS!C5,E5=RESULTADOS!E5),2,0)</f>
        <v>2</v>
      </c>
      <c r="Z5" s="5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5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0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55" t="n">
        <f aca="false">IF(AND(ISNUMBER(RESULTADOS!C6),ISNUMBER(RESULTADOS!E6),ISNUMBER(C6),ISNUMBER(E6),C6=RESULTADOS!C6,E6=RESULTADOS!E6),2,0)</f>
        <v>0</v>
      </c>
      <c r="Z6" s="5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5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1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5" t="n">
        <f aca="false">IF(AND(ISNUMBER(RESULTADOS!C7),ISNUMBER(RESULTADOS!E7),ISNUMBER(C7),ISNUMBER(E7),C7=RESULTADOS!C7,E7=RESULTADOS!E7),2,0)</f>
        <v>0</v>
      </c>
      <c r="Z7" s="5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5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1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5" t="n">
        <f aca="false">IF(AND(ISNUMBER(RESULTADOS!C8),ISNUMBER(RESULTADOS!E8),ISNUMBER(C8),ISNUMBER(E8),C8=RESULTADOS!C8,E8=RESULTADOS!E8),2,0)</f>
        <v>0</v>
      </c>
      <c r="Z8" s="5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5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2</v>
      </c>
      <c r="D9" s="16" t="s">
        <v>29</v>
      </c>
      <c r="E9" s="19" t="n">
        <v>1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5" t="n">
        <f aca="false">IF(AND(ISNUMBER(RESULTADOS!C9),ISNUMBER(RESULTADOS!E9),ISNUMBER(C9),ISNUMBER(E9),C9=RESULTADOS!C9,E9=RESULTADOS!E9),2,0)</f>
        <v>0</v>
      </c>
      <c r="Z9" s="5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5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0</v>
      </c>
      <c r="D10" s="35" t="s">
        <v>29</v>
      </c>
      <c r="E10" s="39" t="n">
        <v>3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5" t="n">
        <f aca="false">IF(AND(ISNUMBER(RESULTADOS!C10),ISNUMBER(RESULTADOS!E10),ISNUMBER(C10),ISNUMBER(E10),C10=RESULTADOS!C10,E10=RESULTADOS!E10),2,0)</f>
        <v>0</v>
      </c>
      <c r="Z10" s="5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5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6"/>
      <c r="Z11" s="56"/>
      <c r="AA11" s="5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5"/>
      <c r="Z12" s="55"/>
      <c r="AA12" s="55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0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5" t="n">
        <f aca="false">IF(AND(ISNUMBER(RESULTADOS!C13),ISNUMBER(RESULTADOS!E13),ISNUMBER(C13),ISNUMBER(E13),C13=RESULTADOS!C13,E13=RESULTADOS!E13),2,0)</f>
        <v>0</v>
      </c>
      <c r="Z13" s="5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5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1</v>
      </c>
      <c r="D14" s="16" t="s">
        <v>29</v>
      </c>
      <c r="E14" s="19" t="n">
        <v>3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5" t="n">
        <f aca="false">IF(AND(ISNUMBER(RESULTADOS!C14),ISNUMBER(RESULTADOS!E14),ISNUMBER(C14),ISNUMBER(E14),C14=RESULTADOS!C14,E14=RESULTADOS!E14),2,0)</f>
        <v>0</v>
      </c>
      <c r="Z14" s="5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5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0</v>
      </c>
      <c r="D15" s="16" t="s">
        <v>29</v>
      </c>
      <c r="E15" s="19" t="n">
        <v>0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5" t="n">
        <f aca="false">IF(AND(ISNUMBER(RESULTADOS!C15),ISNUMBER(RESULTADOS!E15),ISNUMBER(C15),ISNUMBER(E15),C15=RESULTADOS!C15,E15=RESULTADOS!E15),2,0)</f>
        <v>0</v>
      </c>
      <c r="Z15" s="5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5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2</v>
      </c>
      <c r="D16" s="16" t="s">
        <v>29</v>
      </c>
      <c r="E16" s="19" t="n">
        <v>1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5" t="n">
        <f aca="false">IF(AND(ISNUMBER(RESULTADOS!C16),ISNUMBER(RESULTADOS!E16),ISNUMBER(C16),ISNUMBER(E16),C16=RESULTADOS!C16,E16=RESULTADOS!E16),2,0)</f>
        <v>0</v>
      </c>
      <c r="Z16" s="5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5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2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5" t="n">
        <f aca="false">IF(AND(ISNUMBER(RESULTADOS!C17),ISNUMBER(RESULTADOS!E17),ISNUMBER(C17),ISNUMBER(E17),C17=RESULTADOS!C17,E17=RESULTADOS!E17),2,0)</f>
        <v>0</v>
      </c>
      <c r="Z17" s="5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5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1</v>
      </c>
      <c r="D18" s="35" t="s">
        <v>29</v>
      </c>
      <c r="E18" s="39" t="n">
        <v>2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5" t="n">
        <f aca="false">IF(AND(ISNUMBER(RESULTADOS!C18),ISNUMBER(RESULTADOS!E18),ISNUMBER(C18),ISNUMBER(E18),C18=RESULTADOS!C18,E18=RESULTADOS!E18),2,0)</f>
        <v>0</v>
      </c>
      <c r="Z18" s="5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5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6"/>
      <c r="Z19" s="56"/>
      <c r="AA19" s="5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5"/>
      <c r="Z20" s="55"/>
      <c r="AA20" s="55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5" t="n">
        <f aca="false">IF(AND(ISNUMBER(RESULTADOS!C21),ISNUMBER(RESULTADOS!E21),ISNUMBER(C21),ISNUMBER(E21),C21=RESULTADOS!C21,E21=RESULTADOS!E21),2,0)</f>
        <v>0</v>
      </c>
      <c r="Z21" s="5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5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2</v>
      </c>
      <c r="D22" s="16" t="s">
        <v>29</v>
      </c>
      <c r="E22" s="19" t="n">
        <v>1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5" t="n">
        <f aca="false">IF(AND(ISNUMBER(RESULTADOS!C22),ISNUMBER(RESULTADOS!E22),ISNUMBER(C22),ISNUMBER(E22),C22=RESULTADOS!C22,E22=RESULTADOS!E22),2,0)</f>
        <v>0</v>
      </c>
      <c r="Z22" s="5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5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2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5" t="n">
        <f aca="false">IF(AND(ISNUMBER(RESULTADOS!C23),ISNUMBER(RESULTADOS!E23),ISNUMBER(C23),ISNUMBER(E23),C23=RESULTADOS!C23,E23=RESULTADOS!E23),2,0)</f>
        <v>0</v>
      </c>
      <c r="Z23" s="5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5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3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5" t="n">
        <f aca="false">IF(AND(ISNUMBER(RESULTADOS!C24),ISNUMBER(RESULTADOS!E24),ISNUMBER(C24),ISNUMBER(E24),C24=RESULTADOS!C24,E24=RESULTADOS!E24),2,0)</f>
        <v>0</v>
      </c>
      <c r="Z24" s="5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5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2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5" t="n">
        <f aca="false">IF(AND(ISNUMBER(RESULTADOS!C25),ISNUMBER(RESULTADOS!E25),ISNUMBER(C25),ISNUMBER(E25),C25=RESULTADOS!C25,E25=RESULTADOS!E25),2,0)</f>
        <v>0</v>
      </c>
      <c r="Z25" s="5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5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2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5" t="n">
        <f aca="false">IF(AND(ISNUMBER(RESULTADOS!C26),ISNUMBER(RESULTADOS!E26),ISNUMBER(C26),ISNUMBER(E26),C26=RESULTADOS!C26,E26=RESULTADOS!E26),2,0)</f>
        <v>0</v>
      </c>
      <c r="Z26" s="5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5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6"/>
      <c r="Z27" s="56"/>
      <c r="AA27" s="5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5"/>
      <c r="Z28" s="55"/>
      <c r="AA28" s="55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2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5" t="n">
        <f aca="false">IF(AND(ISNUMBER(RESULTADOS!C29),ISNUMBER(RESULTADOS!E29),ISNUMBER(C29),ISNUMBER(E29),C29=RESULTADOS!C29,E29=RESULTADOS!E29),2,0)</f>
        <v>0</v>
      </c>
      <c r="Z29" s="5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5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1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5" t="n">
        <f aca="false">IF(AND(ISNUMBER(RESULTADOS!C30),ISNUMBER(RESULTADOS!E30),ISNUMBER(C30),ISNUMBER(E30),C30=RESULTADOS!C30,E30=RESULTADOS!E30),2,0)</f>
        <v>0</v>
      </c>
      <c r="Z30" s="5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5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1</v>
      </c>
      <c r="D31" s="16" t="s">
        <v>29</v>
      </c>
      <c r="E31" s="19" t="n">
        <v>2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5" t="n">
        <f aca="false">IF(AND(ISNUMBER(RESULTADOS!C31),ISNUMBER(RESULTADOS!E31),ISNUMBER(C31),ISNUMBER(E31),C31=RESULTADOS!C31,E31=RESULTADOS!E31),2,0)</f>
        <v>0</v>
      </c>
      <c r="Z31" s="5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5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0</v>
      </c>
      <c r="D32" s="16" t="s">
        <v>29</v>
      </c>
      <c r="E32" s="19" t="n">
        <v>1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5" t="n">
        <f aca="false">IF(AND(ISNUMBER(RESULTADOS!C32),ISNUMBER(RESULTADOS!E32),ISNUMBER(C32),ISNUMBER(E32),C32=RESULTADOS!C32,E32=RESULTADOS!E32),2,0)</f>
        <v>0</v>
      </c>
      <c r="Z32" s="5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5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1</v>
      </c>
      <c r="D33" s="16" t="s">
        <v>29</v>
      </c>
      <c r="E33" s="19" t="n">
        <v>0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5" t="n">
        <f aca="false">IF(AND(ISNUMBER(RESULTADOS!C33),ISNUMBER(RESULTADOS!E33),ISNUMBER(C33),ISNUMBER(E33),C33=RESULTADOS!C33,E33=RESULTADOS!E33),2,0)</f>
        <v>0</v>
      </c>
      <c r="Z33" s="5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5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2</v>
      </c>
      <c r="D34" s="35" t="s">
        <v>29</v>
      </c>
      <c r="E34" s="39" t="n">
        <v>0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5" t="n">
        <f aca="false">IF(AND(ISNUMBER(RESULTADOS!C34),ISNUMBER(RESULTADOS!E34),ISNUMBER(C34),ISNUMBER(E34),C34=RESULTADOS!C34,E34=RESULTADOS!E34),2,0)</f>
        <v>0</v>
      </c>
      <c r="Z34" s="5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5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6"/>
      <c r="Z35" s="56"/>
      <c r="AA35" s="5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5"/>
      <c r="Z36" s="55"/>
      <c r="AA36" s="55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5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5" t="n">
        <f aca="false">IF(AND(ISNUMBER(RESULTADOS!C37),ISNUMBER(RESULTADOS!E37),ISNUMBER(C37),ISNUMBER(E37),C37=RESULTADOS!C37,E37=RESULTADOS!E37),2,0)</f>
        <v>0</v>
      </c>
      <c r="Z37" s="5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5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0</v>
      </c>
      <c r="D38" s="16" t="s">
        <v>29</v>
      </c>
      <c r="E38" s="19" t="n">
        <v>1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5" t="n">
        <f aca="false">IF(AND(ISNUMBER(RESULTADOS!C38),ISNUMBER(RESULTADOS!E38),ISNUMBER(C38),ISNUMBER(E38),C38=RESULTADOS!C38,E38=RESULTADOS!E38),2,0)</f>
        <v>0</v>
      </c>
      <c r="Z38" s="5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5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3</v>
      </c>
      <c r="D39" s="16" t="s">
        <v>29</v>
      </c>
      <c r="E39" s="19" t="n">
        <v>1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5" t="n">
        <f aca="false">IF(AND(ISNUMBER(RESULTADOS!C39),ISNUMBER(RESULTADOS!E39),ISNUMBER(C39),ISNUMBER(E39),C39=RESULTADOS!C39,E39=RESULTADOS!E39),2,0)</f>
        <v>0</v>
      </c>
      <c r="Z39" s="5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5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2</v>
      </c>
      <c r="D40" s="16" t="s">
        <v>29</v>
      </c>
      <c r="E40" s="19" t="n">
        <v>0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5" t="n">
        <f aca="false">IF(AND(ISNUMBER(RESULTADOS!C40),ISNUMBER(RESULTADOS!E40),ISNUMBER(C40),ISNUMBER(E40),C40=RESULTADOS!C40,E40=RESULTADOS!E40),2,0)</f>
        <v>0</v>
      </c>
      <c r="Z40" s="5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5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0</v>
      </c>
      <c r="D41" s="16" t="s">
        <v>29</v>
      </c>
      <c r="E41" s="19" t="n">
        <v>2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5" t="n">
        <f aca="false">IF(AND(ISNUMBER(RESULTADOS!C41),ISNUMBER(RESULTADOS!E41),ISNUMBER(C41),ISNUMBER(E41),C41=RESULTADOS!C41,E41=RESULTADOS!E41),2,0)</f>
        <v>0</v>
      </c>
      <c r="Z41" s="5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5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1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5" t="n">
        <f aca="false">IF(AND(ISNUMBER(RESULTADOS!C42),ISNUMBER(RESULTADOS!E42),ISNUMBER(C42),ISNUMBER(E42),C42=RESULTADOS!C42,E42=RESULTADOS!E42),2,0)</f>
        <v>0</v>
      </c>
      <c r="Z42" s="5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5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6"/>
      <c r="Z43" s="56"/>
      <c r="AA43" s="5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5"/>
      <c r="Z44" s="55"/>
      <c r="AA44" s="55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1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5" t="n">
        <f aca="false">IF(AND(ISNUMBER(RESULTADOS!C45),ISNUMBER(RESULTADOS!E45),ISNUMBER(C45),ISNUMBER(E45),C45=RESULTADOS!C45,E45=RESULTADOS!E45),2,0)</f>
        <v>0</v>
      </c>
      <c r="Z45" s="5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5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0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5" t="n">
        <f aca="false">IF(AND(ISNUMBER(RESULTADOS!C46),ISNUMBER(RESULTADOS!E46),ISNUMBER(C46),ISNUMBER(E46),C46=RESULTADOS!C46,E46=RESULTADOS!E46),2,0)</f>
        <v>0</v>
      </c>
      <c r="Z46" s="5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5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1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5" t="n">
        <f aca="false">IF(AND(ISNUMBER(RESULTADOS!C47),ISNUMBER(RESULTADOS!E47),ISNUMBER(C47),ISNUMBER(E47),C47=RESULTADOS!C47,E47=RESULTADOS!E47),2,0)</f>
        <v>0</v>
      </c>
      <c r="Z47" s="5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5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1</v>
      </c>
      <c r="D48" s="16" t="s">
        <v>29</v>
      </c>
      <c r="E48" s="19" t="n">
        <v>2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5" t="n">
        <f aca="false">IF(AND(ISNUMBER(RESULTADOS!C48),ISNUMBER(RESULTADOS!E48),ISNUMBER(C48),ISNUMBER(E48),C48=RESULTADOS!C48,E48=RESULTADOS!E48),2,0)</f>
        <v>0</v>
      </c>
      <c r="Z48" s="5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5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1</v>
      </c>
      <c r="D49" s="16" t="s">
        <v>29</v>
      </c>
      <c r="E49" s="19" t="n">
        <v>2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5" t="n">
        <f aca="false">IF(AND(ISNUMBER(RESULTADOS!C49),ISNUMBER(RESULTADOS!E49),ISNUMBER(C49),ISNUMBER(E49),C49=RESULTADOS!C49,E49=RESULTADOS!E49),2,0)</f>
        <v>0</v>
      </c>
      <c r="Z49" s="5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5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1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5" t="n">
        <f aca="false">IF(AND(ISNUMBER(RESULTADOS!C50),ISNUMBER(RESULTADOS!E50),ISNUMBER(C50),ISNUMBER(E50),C50=RESULTADOS!C50,E50=RESULTADOS!E50),2,0)</f>
        <v>0</v>
      </c>
      <c r="Z50" s="5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5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6"/>
      <c r="Z51" s="56"/>
      <c r="AA51" s="5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5"/>
      <c r="Z52" s="55"/>
      <c r="AA52" s="55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3</v>
      </c>
      <c r="D53" s="16" t="s">
        <v>29</v>
      </c>
      <c r="E53" s="19" t="n">
        <v>1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5" t="n">
        <f aca="false">IF(AND(ISNUMBER(RESULTADOS!C53),ISNUMBER(RESULTADOS!E53),ISNUMBER(C53),ISNUMBER(E53),C53=RESULTADOS!C53,E53=RESULTADOS!E53),2,0)</f>
        <v>0</v>
      </c>
      <c r="Z53" s="5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5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1</v>
      </c>
      <c r="D54" s="16" t="s">
        <v>29</v>
      </c>
      <c r="E54" s="19" t="n">
        <v>0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5" t="n">
        <f aca="false">IF(AND(ISNUMBER(RESULTADOS!C54),ISNUMBER(RESULTADOS!E54),ISNUMBER(C54),ISNUMBER(E54),C54=RESULTADOS!C54,E54=RESULTADOS!E54),2,0)</f>
        <v>0</v>
      </c>
      <c r="Z54" s="5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5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1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5" t="n">
        <f aca="false">IF(AND(ISNUMBER(RESULTADOS!C55),ISNUMBER(RESULTADOS!E55),ISNUMBER(C55),ISNUMBER(E55),C55=RESULTADOS!C55,E55=RESULTADOS!E55),2,0)</f>
        <v>0</v>
      </c>
      <c r="Z55" s="5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5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1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5" t="n">
        <f aca="false">IF(AND(ISNUMBER(RESULTADOS!C56),ISNUMBER(RESULTADOS!E56),ISNUMBER(C56),ISNUMBER(E56),C56=RESULTADOS!C56,E56=RESULTADOS!E56),2,0)</f>
        <v>0</v>
      </c>
      <c r="Z56" s="5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5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2</v>
      </c>
      <c r="D57" s="16" t="s">
        <v>29</v>
      </c>
      <c r="E57" s="19" t="n">
        <v>1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5" t="n">
        <f aca="false">IF(AND(ISNUMBER(RESULTADOS!C57),ISNUMBER(RESULTADOS!E57),ISNUMBER(C57),ISNUMBER(E57),C57=RESULTADOS!C57,E57=RESULTADOS!E57),2,0)</f>
        <v>0</v>
      </c>
      <c r="Z57" s="5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5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1</v>
      </c>
      <c r="D58" s="35" t="s">
        <v>29</v>
      </c>
      <c r="E58" s="39" t="n">
        <v>0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5" t="n">
        <f aca="false">IF(AND(ISNUMBER(RESULTADOS!C58),ISNUMBER(RESULTADOS!E58),ISNUMBER(C58),ISNUMBER(E58),C58=RESULTADOS!C58,E58=RESULTADOS!E58),2,0)</f>
        <v>0</v>
      </c>
      <c r="Z58" s="5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5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6"/>
      <c r="Z59" s="56"/>
      <c r="AA59" s="5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5"/>
      <c r="Z60" s="55"/>
      <c r="AA60" s="55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4</v>
      </c>
      <c r="D61" s="16" t="s">
        <v>29</v>
      </c>
      <c r="E61" s="19" t="n">
        <v>1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5" t="n">
        <f aca="false">IF(AND(ISNUMBER(RESULTADOS!C61),ISNUMBER(RESULTADOS!E61),ISNUMBER(C61),ISNUMBER(E61),C61=RESULTADOS!C61,E61=RESULTADOS!E61),2,0)</f>
        <v>0</v>
      </c>
      <c r="Z61" s="5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5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3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5" t="n">
        <f aca="false">IF(AND(ISNUMBER(RESULTADOS!C62),ISNUMBER(RESULTADOS!E62),ISNUMBER(C62),ISNUMBER(E62),C62=RESULTADOS!C62,E62=RESULTADOS!E62),2,0)</f>
        <v>0</v>
      </c>
      <c r="Z62" s="5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5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3</v>
      </c>
      <c r="D63" s="16" t="s">
        <v>29</v>
      </c>
      <c r="E63" s="19" t="n">
        <v>1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5" t="n">
        <f aca="false">IF(AND(ISNUMBER(RESULTADOS!C63),ISNUMBER(RESULTADOS!E63),ISNUMBER(C63),ISNUMBER(E63),C63=RESULTADOS!C63,E63=RESULTADOS!E63),2,0)</f>
        <v>0</v>
      </c>
      <c r="Z63" s="5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5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2</v>
      </c>
      <c r="D64" s="16" t="s">
        <v>29</v>
      </c>
      <c r="E64" s="19" t="n">
        <v>1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5" t="n">
        <f aca="false">IF(AND(ISNUMBER(RESULTADOS!C64),ISNUMBER(RESULTADOS!E64),ISNUMBER(C64),ISNUMBER(E64),C64=RESULTADOS!C64,E64=RESULTADOS!E64),2,0)</f>
        <v>0</v>
      </c>
      <c r="Z64" s="5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5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3</v>
      </c>
      <c r="D65" s="16" t="s">
        <v>29</v>
      </c>
      <c r="E65" s="19" t="n">
        <v>1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5" t="n">
        <f aca="false">IF(AND(ISNUMBER(RESULTADOS!C65),ISNUMBER(RESULTADOS!E65),ISNUMBER(C65),ISNUMBER(E65),C65=RESULTADOS!C65,E65=RESULTADOS!E65),2,0)</f>
        <v>0</v>
      </c>
      <c r="Z65" s="5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5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2</v>
      </c>
      <c r="D66" s="35" t="s">
        <v>29</v>
      </c>
      <c r="E66" s="39" t="n">
        <v>3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5" t="n">
        <f aca="false">IF(AND(ISNUMBER(RESULTADOS!C66),ISNUMBER(RESULTADOS!E66),ISNUMBER(C66),ISNUMBER(E66),C66=RESULTADOS!C66,E66=RESULTADOS!E66),2,0)</f>
        <v>0</v>
      </c>
      <c r="Z66" s="5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5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7"/>
      <c r="Z67" s="57"/>
      <c r="AA67" s="57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7"/>
      <c r="Z68" s="57"/>
      <c r="AA68" s="57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3</v>
      </c>
      <c r="D69" s="16" t="s">
        <v>29</v>
      </c>
      <c r="E69" s="19" t="n">
        <v>1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5" t="n">
        <f aca="false">IF(AND(ISNUMBER(RESULTADOS!C69),ISNUMBER(RESULTADOS!E69),ISNUMBER(C69),ISNUMBER(E69),C69=RESULTADOS!C69,E69=RESULTADOS!E69),2,0)</f>
        <v>0</v>
      </c>
      <c r="Z69" s="5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5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1</v>
      </c>
      <c r="D70" s="16" t="s">
        <v>29</v>
      </c>
      <c r="E70" s="19" t="n">
        <v>3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5" t="n">
        <f aca="false">IF(AND(ISNUMBER(RESULTADOS!C70),ISNUMBER(RESULTADOS!E70),ISNUMBER(C70),ISNUMBER(E70),C70=RESULTADOS!C70,E70=RESULTADOS!E70),2,0)</f>
        <v>0</v>
      </c>
      <c r="Z70" s="5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5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1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5" t="n">
        <f aca="false">IF(AND(ISNUMBER(RESULTADOS!C71),ISNUMBER(RESULTADOS!E71),ISNUMBER(C71),ISNUMBER(E71),C71=RESULTADOS!C71,E71=RESULTADOS!E71),2,0)</f>
        <v>0</v>
      </c>
      <c r="Z71" s="5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5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2</v>
      </c>
      <c r="D72" s="16" t="s">
        <v>29</v>
      </c>
      <c r="E72" s="19" t="n">
        <v>1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5" t="n">
        <f aca="false">IF(AND(ISNUMBER(RESULTADOS!C72),ISNUMBER(RESULTADOS!E72),ISNUMBER(C72),ISNUMBER(E72),C72=RESULTADOS!C72,E72=RESULTADOS!E72),2,0)</f>
        <v>0</v>
      </c>
      <c r="Z72" s="5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5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1</v>
      </c>
      <c r="D73" s="16" t="s">
        <v>29</v>
      </c>
      <c r="E73" s="19" t="n">
        <v>1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5" t="n">
        <f aca="false">IF(AND(ISNUMBER(RESULTADOS!C73),ISNUMBER(RESULTADOS!E73),ISNUMBER(C73),ISNUMBER(E73),C73=RESULTADOS!C73,E73=RESULTADOS!E73),2,0)</f>
        <v>0</v>
      </c>
      <c r="Z73" s="5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5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0</v>
      </c>
      <c r="D74" s="35" t="s">
        <v>29</v>
      </c>
      <c r="E74" s="39" t="n">
        <v>1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5" t="n">
        <f aca="false">IF(AND(ISNUMBER(RESULTADOS!C74),ISNUMBER(RESULTADOS!E74),ISNUMBER(C74),ISNUMBER(E74),C74=RESULTADOS!C74,E74=RESULTADOS!E74),2,0)</f>
        <v>0</v>
      </c>
      <c r="Z74" s="5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5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7"/>
      <c r="Z75" s="57"/>
      <c r="AA75" s="57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7"/>
      <c r="Z76" s="57"/>
      <c r="AA76" s="57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2</v>
      </c>
      <c r="D77" s="16" t="s">
        <v>29</v>
      </c>
      <c r="E77" s="19" t="n">
        <v>0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5" t="n">
        <f aca="false">IF(AND(ISNUMBER(RESULTADOS!C77),ISNUMBER(RESULTADOS!E77),ISNUMBER(C77),ISNUMBER(E77),C77=RESULTADOS!C77,E77=RESULTADOS!E77),2,0)</f>
        <v>0</v>
      </c>
      <c r="Z77" s="5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5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2</v>
      </c>
      <c r="D78" s="16" t="s">
        <v>29</v>
      </c>
      <c r="E78" s="19" t="n">
        <v>1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5" t="n">
        <f aca="false">IF(AND(ISNUMBER(RESULTADOS!C78),ISNUMBER(RESULTADOS!E78),ISNUMBER(C78),ISNUMBER(E78),C78=RESULTADOS!C78,E78=RESULTADOS!E78),2,0)</f>
        <v>0</v>
      </c>
      <c r="Z78" s="5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5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3</v>
      </c>
      <c r="D79" s="16" t="s">
        <v>29</v>
      </c>
      <c r="E79" s="19" t="n">
        <v>0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5" t="n">
        <f aca="false">IF(AND(ISNUMBER(RESULTADOS!C79),ISNUMBER(RESULTADOS!E79),ISNUMBER(C79),ISNUMBER(E79),C79=RESULTADOS!C79,E79=RESULTADOS!E79),2,0)</f>
        <v>0</v>
      </c>
      <c r="Z79" s="5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5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0</v>
      </c>
      <c r="D80" s="16" t="s">
        <v>29</v>
      </c>
      <c r="E80" s="19" t="n">
        <v>2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5" t="n">
        <f aca="false">IF(AND(ISNUMBER(RESULTADOS!C80),ISNUMBER(RESULTADOS!E80),ISNUMBER(C80),ISNUMBER(E80),C80=RESULTADOS!C80,E80=RESULTADOS!E80),2,0)</f>
        <v>0</v>
      </c>
      <c r="Z80" s="5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5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3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5" t="n">
        <f aca="false">IF(AND(ISNUMBER(RESULTADOS!C81),ISNUMBER(RESULTADOS!E81),ISNUMBER(C81),ISNUMBER(E81),C81=RESULTADOS!C81,E81=RESULTADOS!E81),2,0)</f>
        <v>0</v>
      </c>
      <c r="Z81" s="5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5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0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5" t="n">
        <f aca="false">IF(AND(ISNUMBER(RESULTADOS!C82),ISNUMBER(RESULTADOS!E82),ISNUMBER(C82),ISNUMBER(E82),C82=RESULTADOS!C82,E82=RESULTADOS!E82),2,0)</f>
        <v>0</v>
      </c>
      <c r="Z82" s="5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5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7"/>
      <c r="Z83" s="57"/>
      <c r="AA83" s="57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7"/>
      <c r="Z84" s="57"/>
      <c r="AA84" s="57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3</v>
      </c>
      <c r="D85" s="16" t="s">
        <v>29</v>
      </c>
      <c r="E85" s="19" t="n">
        <v>0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5" t="n">
        <f aca="false">IF(AND(ISNUMBER(RESULTADOS!C85),ISNUMBER(RESULTADOS!E85),ISNUMBER(C85),ISNUMBER(E85),C85=RESULTADOS!C85,E85=RESULTADOS!E85),2,0)</f>
        <v>0</v>
      </c>
      <c r="Z85" s="5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5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1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5" t="n">
        <f aca="false">IF(AND(ISNUMBER(RESULTADOS!C86),ISNUMBER(RESULTADOS!E86),ISNUMBER(C86),ISNUMBER(E86),C86=RESULTADOS!C86,E86=RESULTADOS!E86),2,0)</f>
        <v>0</v>
      </c>
      <c r="Z86" s="5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5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2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5" t="n">
        <f aca="false">IF(AND(ISNUMBER(RESULTADOS!C87),ISNUMBER(RESULTADOS!E87),ISNUMBER(C87),ISNUMBER(E87),C87=RESULTADOS!C87,E87=RESULTADOS!E87),2,0)</f>
        <v>0</v>
      </c>
      <c r="Z87" s="5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5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2</v>
      </c>
      <c r="D88" s="16" t="s">
        <v>29</v>
      </c>
      <c r="E88" s="19" t="n">
        <v>1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5" t="n">
        <f aca="false">IF(AND(ISNUMBER(RESULTADOS!C88),ISNUMBER(RESULTADOS!E88),ISNUMBER(C88),ISNUMBER(E88),C88=RESULTADOS!C88,E88=RESULTADOS!E88),2,0)</f>
        <v>0</v>
      </c>
      <c r="Z88" s="5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5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1</v>
      </c>
      <c r="D89" s="16" t="s">
        <v>29</v>
      </c>
      <c r="E89" s="19" t="n">
        <v>0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5" t="n">
        <f aca="false">IF(AND(ISNUMBER(RESULTADOS!C89),ISNUMBER(RESULTADOS!E89),ISNUMBER(C89),ISNUMBER(E89),C89=RESULTADOS!C89,E89=RESULTADOS!E89),2,0)</f>
        <v>0</v>
      </c>
      <c r="Z89" s="5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5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2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5" t="n">
        <f aca="false">IF(AND(ISNUMBER(RESULTADOS!C90),ISNUMBER(RESULTADOS!E90),ISNUMBER(C90),ISNUMBER(E90),C90=RESULTADOS!C90,E90=RESULTADOS!E90),2,0)</f>
        <v>0</v>
      </c>
      <c r="Z90" s="5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5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7"/>
      <c r="Z91" s="57"/>
      <c r="AA91" s="57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7"/>
      <c r="Z92" s="57"/>
      <c r="AA92" s="57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3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5" t="n">
        <f aca="false">IF(AND(ISNUMBER(RESULTADOS!C93),ISNUMBER(RESULTADOS!E93),ISNUMBER(C93),ISNUMBER(E93),C93=RESULTADOS!C93,E93=RESULTADOS!E93),2,0)</f>
        <v>0</v>
      </c>
      <c r="Z93" s="5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5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3</v>
      </c>
      <c r="D94" s="16" t="s">
        <v>29</v>
      </c>
      <c r="E94" s="19" t="n">
        <v>4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5" t="n">
        <f aca="false">IF(AND(ISNUMBER(RESULTADOS!C94),ISNUMBER(RESULTADOS!E94),ISNUMBER(C94),ISNUMBER(E94),C94=RESULTADOS!C94,E94=RESULTADOS!E94),2,0)</f>
        <v>0</v>
      </c>
      <c r="Z94" s="5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5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3</v>
      </c>
      <c r="D95" s="16" t="s">
        <v>29</v>
      </c>
      <c r="E95" s="19" t="n">
        <v>0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5" t="n">
        <f aca="false">IF(AND(ISNUMBER(RESULTADOS!C95),ISNUMBER(RESULTADOS!E95),ISNUMBER(C95),ISNUMBER(E95),C95=RESULTADOS!C95,E95=RESULTADOS!E95),2,0)</f>
        <v>0</v>
      </c>
      <c r="Z95" s="5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5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1</v>
      </c>
      <c r="D96" s="16" t="s">
        <v>29</v>
      </c>
      <c r="E96" s="19" t="n">
        <v>2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5" t="n">
        <f aca="false">IF(AND(ISNUMBER(RESULTADOS!C96),ISNUMBER(RESULTADOS!E96),ISNUMBER(C96),ISNUMBER(E96),C96=RESULTADOS!C96,E96=RESULTADOS!E96),2,0)</f>
        <v>0</v>
      </c>
      <c r="Z96" s="5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5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1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5" t="n">
        <f aca="false">IF(AND(ISNUMBER(RESULTADOS!C97),ISNUMBER(RESULTADOS!E97),ISNUMBER(C97),ISNUMBER(E97),C97=RESULTADOS!C97,E97=RESULTADOS!E97),2,0)</f>
        <v>0</v>
      </c>
      <c r="Z97" s="5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5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1</v>
      </c>
      <c r="D98" s="35" t="s">
        <v>29</v>
      </c>
      <c r="E98" s="39" t="n">
        <v>3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5" t="n">
        <f aca="false">IF(AND(ISNUMBER(RESULTADOS!C98),ISNUMBER(RESULTADOS!E98),ISNUMBER(C98),ISNUMBER(E98),C98=RESULTADOS!C98,E98=RESULTADOS!E98),2,0)</f>
        <v>0</v>
      </c>
      <c r="Z98" s="5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5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3" colorId="64" zoomScale="100" zoomScaleNormal="100" zoomScalePageLayoutView="100" workbookViewId="0">
      <selection pane="topLeft" activeCell="A93" activeCellId="0" sqref="A93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8"/>
      <c r="D1" s="58"/>
      <c r="E1" s="58"/>
      <c r="F1" s="58"/>
      <c r="G1" s="58"/>
      <c r="H1" s="3"/>
      <c r="I1" s="58"/>
      <c r="J1" s="58"/>
      <c r="K1" s="3"/>
      <c r="L1" s="58"/>
      <c r="M1" s="58"/>
      <c r="N1" s="58"/>
      <c r="O1" s="58"/>
      <c r="P1" s="58"/>
      <c r="Q1" s="58"/>
      <c r="R1" s="58"/>
      <c r="S1" s="58"/>
      <c r="T1" s="3"/>
      <c r="U1" s="4"/>
      <c r="V1" s="58"/>
      <c r="W1" s="58"/>
      <c r="X1" s="58"/>
      <c r="Y1" s="5"/>
      <c r="Z1" s="6"/>
      <c r="AA1" s="6"/>
      <c r="AB1" s="6"/>
      <c r="AC1" s="6"/>
      <c r="AD1" s="6"/>
      <c r="AE1" s="6"/>
      <c r="AF1" s="6"/>
      <c r="AG1" s="6"/>
      <c r="AH1" s="6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customFormat="false" ht="18.75" hidden="false" customHeight="true" outlineLevel="0" collapsed="false">
      <c r="B2" s="7" t="s">
        <v>240</v>
      </c>
      <c r="C2" s="7"/>
      <c r="D2" s="7"/>
      <c r="E2" s="7"/>
      <c r="F2" s="7"/>
      <c r="G2" s="58"/>
      <c r="H2" s="8" t="s">
        <v>21</v>
      </c>
      <c r="I2" s="8"/>
      <c r="J2" s="58"/>
      <c r="K2" s="8" t="s">
        <v>22</v>
      </c>
      <c r="L2" s="8"/>
      <c r="M2" s="8"/>
      <c r="N2" s="8"/>
      <c r="O2" s="8"/>
      <c r="P2" s="8"/>
      <c r="Q2" s="8"/>
      <c r="R2" s="8"/>
      <c r="S2" s="58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8"/>
      <c r="AJ2" s="58"/>
      <c r="AK2" s="58"/>
      <c r="AL2" s="58"/>
      <c r="AM2" s="58"/>
      <c r="AN2" s="58"/>
      <c r="AO2" s="58"/>
      <c r="AP2" s="58"/>
      <c r="AQ2" s="58"/>
      <c r="AR2" s="58"/>
    </row>
    <row r="3" customFormat="false" ht="15" hidden="false" customHeight="true" outlineLevel="0" collapsed="false">
      <c r="C3" s="58"/>
      <c r="D3" s="58"/>
      <c r="E3" s="58"/>
      <c r="F3" s="58"/>
      <c r="G3" s="58"/>
      <c r="H3" s="58"/>
      <c r="I3" s="58"/>
      <c r="J3" s="58"/>
      <c r="K3" s="3"/>
      <c r="L3" s="58"/>
      <c r="M3" s="58"/>
      <c r="N3" s="58"/>
      <c r="O3" s="58"/>
      <c r="P3" s="58"/>
      <c r="Q3" s="58"/>
      <c r="R3" s="58"/>
      <c r="S3" s="58"/>
      <c r="T3" s="10" t="s">
        <v>24</v>
      </c>
      <c r="U3" s="11" t="n">
        <f aca="false">SUM(U5:U10,U13:U18,U21:U26,U29:U34,U37:U42,U45:U50,U53:U58,U61:U66)</f>
        <v>1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58"/>
      <c r="H4" s="13" t="s">
        <v>26</v>
      </c>
      <c r="I4" s="14" t="s">
        <v>27</v>
      </c>
      <c r="J4" s="15"/>
      <c r="K4" s="58"/>
      <c r="L4" s="58"/>
      <c r="M4" s="58"/>
      <c r="N4" s="58"/>
      <c r="O4" s="58"/>
      <c r="P4" s="58"/>
      <c r="Q4" s="58"/>
      <c r="R4" s="58"/>
      <c r="S4" s="58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3</v>
      </c>
      <c r="D5" s="16" t="s">
        <v>29</v>
      </c>
      <c r="E5" s="19" t="n">
        <v>1</v>
      </c>
      <c r="F5" s="20" t="s">
        <v>30</v>
      </c>
      <c r="G5" s="58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1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2</v>
      </c>
      <c r="D6" s="16" t="s">
        <v>29</v>
      </c>
      <c r="E6" s="19" t="n">
        <v>1</v>
      </c>
      <c r="F6" s="31" t="s">
        <v>39</v>
      </c>
      <c r="G6" s="58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0</v>
      </c>
      <c r="F7" s="31" t="s">
        <v>30</v>
      </c>
      <c r="G7" s="58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7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8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0</v>
      </c>
      <c r="F8" s="31" t="s">
        <v>38</v>
      </c>
      <c r="G8" s="58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-1</v>
      </c>
      <c r="N8" s="16" t="n">
        <f aca="true">SUM(INDIRECT($AC8),INDIRECT($AD8),INDIRECT($AE8))</f>
        <v>3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8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1</v>
      </c>
      <c r="D9" s="16" t="s">
        <v>29</v>
      </c>
      <c r="E9" s="19" t="n">
        <v>1</v>
      </c>
      <c r="F9" s="31" t="s">
        <v>38</v>
      </c>
      <c r="G9" s="58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2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8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1</v>
      </c>
      <c r="D10" s="35" t="s">
        <v>29</v>
      </c>
      <c r="E10" s="39" t="n">
        <v>2</v>
      </c>
      <c r="F10" s="40" t="s">
        <v>28</v>
      </c>
      <c r="G10" s="58"/>
      <c r="H10" s="41" t="n">
        <v>46197</v>
      </c>
      <c r="I10" s="42" t="n">
        <v>0.916666666666667</v>
      </c>
      <c r="J10" s="23"/>
      <c r="K10" s="27"/>
      <c r="S10" s="58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U11" s="58"/>
      <c r="V11" s="58"/>
      <c r="W11" s="58"/>
      <c r="X11" s="58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58"/>
      <c r="H12" s="13" t="s">
        <v>26</v>
      </c>
      <c r="I12" s="14" t="s">
        <v>27</v>
      </c>
      <c r="J12" s="15"/>
      <c r="K12" s="58"/>
      <c r="L12" s="58"/>
      <c r="M12" s="58"/>
      <c r="N12" s="58"/>
      <c r="O12" s="58"/>
      <c r="P12" s="58"/>
      <c r="Q12" s="58"/>
      <c r="R12" s="58"/>
      <c r="S12" s="58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1</v>
      </c>
      <c r="F13" s="20" t="s">
        <v>54</v>
      </c>
      <c r="G13" s="58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3</v>
      </c>
      <c r="F14" s="20" t="s">
        <v>56</v>
      </c>
      <c r="G14" s="58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3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2</v>
      </c>
      <c r="D15" s="16" t="s">
        <v>29</v>
      </c>
      <c r="E15" s="19" t="n">
        <v>1</v>
      </c>
      <c r="F15" s="20" t="s">
        <v>54</v>
      </c>
      <c r="G15" s="58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6" t="n">
        <f aca="false">N15-O15</f>
        <v>-1</v>
      </c>
      <c r="N15" s="16" t="n">
        <f aca="true">SUM(INDIRECT($AC15),INDIRECT($AD15),INDIRECT($AE15))</f>
        <v>2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8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0</v>
      </c>
      <c r="D16" s="16" t="s">
        <v>29</v>
      </c>
      <c r="E16" s="19" t="n">
        <v>0</v>
      </c>
      <c r="F16" s="20" t="s">
        <v>55</v>
      </c>
      <c r="G16" s="58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-4</v>
      </c>
      <c r="N16" s="16" t="n">
        <f aca="true">SUM(INDIRECT($AC16),INDIRECT($AD16),INDIRECT($AE16))</f>
        <v>0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8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1</v>
      </c>
      <c r="F17" s="20" t="s">
        <v>53</v>
      </c>
      <c r="G17" s="58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7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8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1</v>
      </c>
      <c r="D18" s="35" t="s">
        <v>29</v>
      </c>
      <c r="E18" s="39" t="n">
        <v>0</v>
      </c>
      <c r="F18" s="45" t="s">
        <v>55</v>
      </c>
      <c r="G18" s="58"/>
      <c r="H18" s="41" t="n">
        <v>46197</v>
      </c>
      <c r="I18" s="42" t="n">
        <v>0.666666666666667</v>
      </c>
      <c r="J18" s="23"/>
      <c r="K18" s="27"/>
      <c r="S18" s="58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U19" s="58"/>
      <c r="V19" s="58"/>
      <c r="W19" s="58"/>
      <c r="X19" s="58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58"/>
      <c r="H20" s="13" t="s">
        <v>26</v>
      </c>
      <c r="I20" s="14" t="s">
        <v>27</v>
      </c>
      <c r="J20" s="15"/>
      <c r="K20" s="58"/>
      <c r="L20" s="58"/>
      <c r="M20" s="58"/>
      <c r="N20" s="58"/>
      <c r="O20" s="58"/>
      <c r="P20" s="58"/>
      <c r="Q20" s="58"/>
      <c r="R20" s="58"/>
      <c r="S20" s="58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2</v>
      </c>
      <c r="F21" s="20" t="s">
        <v>71</v>
      </c>
      <c r="G21" s="58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0</v>
      </c>
      <c r="D22" s="16" t="s">
        <v>29</v>
      </c>
      <c r="E22" s="19" t="n">
        <v>2</v>
      </c>
      <c r="F22" s="20" t="s">
        <v>73</v>
      </c>
      <c r="G22" s="58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3</v>
      </c>
      <c r="F23" s="20" t="s">
        <v>71</v>
      </c>
      <c r="G23" s="58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8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4</v>
      </c>
      <c r="D24" s="16" t="s">
        <v>29</v>
      </c>
      <c r="E24" s="19" t="n">
        <v>1</v>
      </c>
      <c r="F24" s="20" t="s">
        <v>72</v>
      </c>
      <c r="G24" s="58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8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0</v>
      </c>
      <c r="F25" s="20" t="s">
        <v>72</v>
      </c>
      <c r="G25" s="58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8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1</v>
      </c>
      <c r="D26" s="35" t="s">
        <v>29</v>
      </c>
      <c r="E26" s="39" t="n">
        <v>2</v>
      </c>
      <c r="F26" s="45" t="s">
        <v>70</v>
      </c>
      <c r="G26" s="58"/>
      <c r="H26" s="41" t="n">
        <v>46197</v>
      </c>
      <c r="I26" s="42" t="n">
        <v>0.791666666666667</v>
      </c>
      <c r="J26" s="23"/>
      <c r="K26" s="43"/>
      <c r="S26" s="58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U27" s="58"/>
      <c r="V27" s="58"/>
      <c r="W27" s="58"/>
      <c r="X27" s="58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58"/>
      <c r="H28" s="13" t="s">
        <v>26</v>
      </c>
      <c r="I28" s="14" t="s">
        <v>27</v>
      </c>
      <c r="J28" s="15"/>
      <c r="K28" s="58"/>
      <c r="L28" s="58"/>
      <c r="M28" s="58"/>
      <c r="N28" s="58"/>
      <c r="O28" s="58"/>
      <c r="P28" s="58"/>
      <c r="Q28" s="58"/>
      <c r="R28" s="58"/>
      <c r="S28" s="58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2</v>
      </c>
      <c r="F29" s="20" t="s">
        <v>88</v>
      </c>
      <c r="G29" s="58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1</v>
      </c>
      <c r="D30" s="16" t="s">
        <v>29</v>
      </c>
      <c r="E30" s="19" t="n">
        <v>3</v>
      </c>
      <c r="F30" s="20" t="s">
        <v>90</v>
      </c>
      <c r="G30" s="58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2</v>
      </c>
      <c r="D31" s="16" t="s">
        <v>29</v>
      </c>
      <c r="E31" s="19" t="n">
        <v>1</v>
      </c>
      <c r="F31" s="20" t="s">
        <v>89</v>
      </c>
      <c r="G31" s="58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6" t="n">
        <f aca="false">N31-O31</f>
        <v>-1</v>
      </c>
      <c r="N31" s="16" t="n">
        <f aca="true">SUM(INDIRECT($AC31),INDIRECT($AD31),INDIRECT($AE31))</f>
        <v>5</v>
      </c>
      <c r="O31" s="16" t="n">
        <f aca="true">SUM(INDIRECT($AF31),INDIRECT($AG31),INDIRECT($AH31))</f>
        <v>6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8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2</v>
      </c>
      <c r="D32" s="16" t="s">
        <v>29</v>
      </c>
      <c r="E32" s="19" t="n">
        <v>1</v>
      </c>
      <c r="F32" s="20" t="s">
        <v>88</v>
      </c>
      <c r="G32" s="58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-1</v>
      </c>
      <c r="N32" s="16" t="n">
        <f aca="true">SUM(INDIRECT($AC32),INDIRECT($AD32),INDIRECT($AE32))</f>
        <v>4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8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3</v>
      </c>
      <c r="D33" s="16" t="s">
        <v>29</v>
      </c>
      <c r="E33" s="19" t="n">
        <v>2</v>
      </c>
      <c r="F33" s="20" t="s">
        <v>87</v>
      </c>
      <c r="G33" s="58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8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8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2</v>
      </c>
      <c r="D34" s="35" t="s">
        <v>29</v>
      </c>
      <c r="E34" s="39" t="n">
        <v>1</v>
      </c>
      <c r="F34" s="45" t="s">
        <v>89</v>
      </c>
      <c r="G34" s="58"/>
      <c r="H34" s="41" t="n">
        <v>46198</v>
      </c>
      <c r="I34" s="42" t="n">
        <v>0.958333333333333</v>
      </c>
      <c r="J34" s="23"/>
      <c r="K34" s="43"/>
      <c r="S34" s="58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U35" s="58"/>
      <c r="V35" s="58"/>
      <c r="W35" s="58"/>
      <c r="X35" s="58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58"/>
      <c r="H36" s="13" t="s">
        <v>26</v>
      </c>
      <c r="I36" s="14" t="s">
        <v>27</v>
      </c>
      <c r="J36" s="15"/>
      <c r="K36" s="58"/>
      <c r="L36" s="58"/>
      <c r="M36" s="58"/>
      <c r="N36" s="58"/>
      <c r="O36" s="58"/>
      <c r="P36" s="58"/>
      <c r="Q36" s="58"/>
      <c r="R36" s="58"/>
      <c r="S36" s="58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8</v>
      </c>
      <c r="D37" s="16" t="s">
        <v>29</v>
      </c>
      <c r="E37" s="19" t="n">
        <v>0</v>
      </c>
      <c r="F37" s="31" t="s">
        <v>104</v>
      </c>
      <c r="G37" s="58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3</v>
      </c>
      <c r="D38" s="16" t="s">
        <v>29</v>
      </c>
      <c r="E38" s="19" t="n">
        <v>1</v>
      </c>
      <c r="F38" s="31" t="s">
        <v>106</v>
      </c>
      <c r="G38" s="58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11</v>
      </c>
      <c r="N38" s="16" t="n">
        <f aca="true">SUM(INDIRECT($AC38),INDIRECT($AD38),INDIRECT($AE38))</f>
        <v>14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2</v>
      </c>
      <c r="F39" s="31" t="s">
        <v>105</v>
      </c>
      <c r="G39" s="58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8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8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2</v>
      </c>
      <c r="D40" s="16" t="s">
        <v>29</v>
      </c>
      <c r="E40" s="19" t="n">
        <v>0</v>
      </c>
      <c r="F40" s="31" t="s">
        <v>104</v>
      </c>
      <c r="G40" s="58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-12</v>
      </c>
      <c r="N40" s="16" t="n">
        <f aca="true">SUM(INDIRECT($AC40),INDIRECT($AD40),INDIRECT($AE40))</f>
        <v>1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8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4</v>
      </c>
      <c r="F41" s="31" t="s">
        <v>103</v>
      </c>
      <c r="G41" s="58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-3</v>
      </c>
      <c r="N41" s="35" t="n">
        <f aca="true">SUM(INDIRECT($AC41),INDIRECT($AD41),INDIRECT($AE41))</f>
        <v>4</v>
      </c>
      <c r="O41" s="35" t="n">
        <f aca="true">SUM(INDIRECT($AF41),INDIRECT($AG41),INDIRECT($AH41))</f>
        <v>7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8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1</v>
      </c>
      <c r="D42" s="35" t="s">
        <v>29</v>
      </c>
      <c r="E42" s="39" t="n">
        <v>3</v>
      </c>
      <c r="F42" s="40" t="s">
        <v>105</v>
      </c>
      <c r="G42" s="58"/>
      <c r="H42" s="41" t="n">
        <v>46198</v>
      </c>
      <c r="I42" s="42" t="n">
        <v>0.708333333333333</v>
      </c>
      <c r="J42" s="23"/>
      <c r="K42" s="43"/>
      <c r="S42" s="58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U43" s="58"/>
      <c r="V43" s="58"/>
      <c r="W43" s="58"/>
      <c r="X43" s="58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58"/>
      <c r="H44" s="13" t="s">
        <v>26</v>
      </c>
      <c r="I44" s="14" t="s">
        <v>27</v>
      </c>
      <c r="J44" s="15"/>
      <c r="K44" s="58"/>
      <c r="L44" s="58"/>
      <c r="M44" s="58"/>
      <c r="N44" s="58"/>
      <c r="O44" s="58"/>
      <c r="P44" s="58"/>
      <c r="Q44" s="58"/>
      <c r="R44" s="58"/>
      <c r="S44" s="58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1</v>
      </c>
      <c r="F45" s="31" t="s">
        <v>121</v>
      </c>
      <c r="G45" s="58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3</v>
      </c>
      <c r="D46" s="16" t="s">
        <v>29</v>
      </c>
      <c r="E46" s="19" t="n">
        <v>1</v>
      </c>
      <c r="F46" s="31" t="s">
        <v>123</v>
      </c>
      <c r="G46" s="58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9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3</v>
      </c>
      <c r="D47" s="16" t="s">
        <v>29</v>
      </c>
      <c r="E47" s="19" t="n">
        <v>1</v>
      </c>
      <c r="F47" s="31" t="s">
        <v>122</v>
      </c>
      <c r="G47" s="58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8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2</v>
      </c>
      <c r="F48" s="31" t="s">
        <v>121</v>
      </c>
      <c r="G48" s="58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8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4</v>
      </c>
      <c r="F49" s="31" t="s">
        <v>120</v>
      </c>
      <c r="G49" s="58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-8</v>
      </c>
      <c r="N49" s="35" t="n">
        <f aca="true">SUM(INDIRECT($AC49),INDIRECT($AD49),INDIRECT($AE49))</f>
        <v>1</v>
      </c>
      <c r="O49" s="35" t="n">
        <f aca="true">SUM(INDIRECT($AF49),INDIRECT($AG49),INDIRECT($AH49))</f>
        <v>9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8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1</v>
      </c>
      <c r="D50" s="35" t="s">
        <v>29</v>
      </c>
      <c r="E50" s="39" t="n">
        <v>1</v>
      </c>
      <c r="F50" s="40" t="s">
        <v>122</v>
      </c>
      <c r="G50" s="58"/>
      <c r="H50" s="41" t="n">
        <v>46198</v>
      </c>
      <c r="I50" s="42" t="n">
        <v>0.833333333333333</v>
      </c>
      <c r="J50" s="23"/>
      <c r="K50" s="43"/>
      <c r="S50" s="58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U51" s="58"/>
      <c r="V51" s="58"/>
      <c r="W51" s="58"/>
      <c r="X51" s="58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58"/>
      <c r="H52" s="13" t="s">
        <v>26</v>
      </c>
      <c r="I52" s="14" t="s">
        <v>27</v>
      </c>
      <c r="J52" s="15"/>
      <c r="K52" s="58"/>
      <c r="L52" s="58"/>
      <c r="M52" s="58"/>
      <c r="N52" s="58"/>
      <c r="O52" s="58"/>
      <c r="P52" s="58"/>
      <c r="Q52" s="58"/>
      <c r="R52" s="58"/>
      <c r="S52" s="58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3</v>
      </c>
      <c r="D53" s="16" t="s">
        <v>29</v>
      </c>
      <c r="E53" s="19" t="n">
        <v>1</v>
      </c>
      <c r="F53" s="31" t="s">
        <v>138</v>
      </c>
      <c r="G53" s="58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1</v>
      </c>
      <c r="D54" s="16" t="s">
        <v>29</v>
      </c>
      <c r="E54" s="19" t="n">
        <v>1</v>
      </c>
      <c r="F54" s="31" t="s">
        <v>140</v>
      </c>
      <c r="G54" s="58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7</v>
      </c>
      <c r="N54" s="16" t="n">
        <f aca="true">SUM(INDIRECT($AC54),INDIRECT($AD54),INDIRECT($AE54))</f>
        <v>8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3</v>
      </c>
      <c r="D55" s="16" t="s">
        <v>29</v>
      </c>
      <c r="E55" s="19" t="n">
        <v>0</v>
      </c>
      <c r="F55" s="31" t="s">
        <v>139</v>
      </c>
      <c r="G55" s="58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8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1</v>
      </c>
      <c r="F56" s="31" t="s">
        <v>138</v>
      </c>
      <c r="G56" s="58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8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0</v>
      </c>
      <c r="F57" s="31" t="s">
        <v>139</v>
      </c>
      <c r="G57" s="58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1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8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2</v>
      </c>
      <c r="F58" s="40" t="s">
        <v>137</v>
      </c>
      <c r="G58" s="58"/>
      <c r="H58" s="41" t="n">
        <v>46200</v>
      </c>
      <c r="I58" s="42" t="n">
        <v>0</v>
      </c>
      <c r="J58" s="23"/>
      <c r="K58" s="43"/>
      <c r="S58" s="58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U59" s="58"/>
      <c r="V59" s="58"/>
      <c r="W59" s="58"/>
      <c r="X59" s="58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58"/>
      <c r="H60" s="13" t="s">
        <v>26</v>
      </c>
      <c r="I60" s="14" t="s">
        <v>27</v>
      </c>
      <c r="J60" s="15"/>
      <c r="K60" s="58"/>
      <c r="L60" s="58"/>
      <c r="M60" s="58"/>
      <c r="N60" s="58"/>
      <c r="O60" s="58"/>
      <c r="P60" s="58"/>
      <c r="Q60" s="58"/>
      <c r="R60" s="58"/>
      <c r="S60" s="58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5</v>
      </c>
      <c r="D61" s="16" t="s">
        <v>29</v>
      </c>
      <c r="E61" s="19" t="n">
        <v>0</v>
      </c>
      <c r="F61" s="31" t="s">
        <v>155</v>
      </c>
      <c r="G61" s="58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2</v>
      </c>
      <c r="D62" s="16" t="s">
        <v>29</v>
      </c>
      <c r="E62" s="19" t="n">
        <v>4</v>
      </c>
      <c r="F62" s="31" t="s">
        <v>157</v>
      </c>
      <c r="G62" s="58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5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4</v>
      </c>
      <c r="D63" s="16" t="s">
        <v>29</v>
      </c>
      <c r="E63" s="19" t="n">
        <v>1</v>
      </c>
      <c r="F63" s="31" t="s">
        <v>156</v>
      </c>
      <c r="G63" s="58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0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8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2</v>
      </c>
      <c r="D64" s="16" t="s">
        <v>29</v>
      </c>
      <c r="E64" s="19" t="n">
        <v>0</v>
      </c>
      <c r="F64" s="31" t="s">
        <v>155</v>
      </c>
      <c r="G64" s="58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8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0</v>
      </c>
      <c r="D65" s="16" t="s">
        <v>29</v>
      </c>
      <c r="E65" s="19" t="n">
        <v>2</v>
      </c>
      <c r="F65" s="31" t="s">
        <v>156</v>
      </c>
      <c r="G65" s="58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8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3</v>
      </c>
      <c r="F66" s="40" t="s">
        <v>154</v>
      </c>
      <c r="G66" s="58"/>
      <c r="H66" s="41" t="n">
        <v>46199</v>
      </c>
      <c r="I66" s="42" t="n">
        <v>0.875</v>
      </c>
      <c r="J66" s="23"/>
      <c r="K66" s="43"/>
      <c r="S66" s="58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58"/>
      <c r="H68" s="13" t="s">
        <v>26</v>
      </c>
      <c r="I68" s="14" t="s">
        <v>27</v>
      </c>
      <c r="J68" s="15"/>
      <c r="K68" s="58"/>
      <c r="L68" s="58"/>
      <c r="M68" s="58"/>
      <c r="N68" s="58"/>
      <c r="O68" s="58"/>
      <c r="P68" s="58"/>
      <c r="Q68" s="58"/>
      <c r="R68" s="58"/>
      <c r="S68" s="58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4</v>
      </c>
      <c r="D69" s="16" t="s">
        <v>29</v>
      </c>
      <c r="E69" s="19" t="n">
        <v>2</v>
      </c>
      <c r="F69" s="31" t="s">
        <v>172</v>
      </c>
      <c r="G69" s="58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3</v>
      </c>
      <c r="F70" s="31" t="s">
        <v>174</v>
      </c>
      <c r="G70" s="58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11</v>
      </c>
      <c r="O70" s="16" t="n">
        <f aca="true">SUM(INDIRECT($AF70),INDIRECT($AG70),INDIRECT($AH70))</f>
        <v>3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4</v>
      </c>
      <c r="D71" s="16" t="s">
        <v>29</v>
      </c>
      <c r="E71" s="19" t="n">
        <v>0</v>
      </c>
      <c r="F71" s="31" t="s">
        <v>173</v>
      </c>
      <c r="G71" s="58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-10</v>
      </c>
      <c r="N71" s="16" t="n">
        <f aca="true">SUM(INDIRECT($AC71),INDIRECT($AD71),INDIRECT($AE71))</f>
        <v>0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8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2</v>
      </c>
      <c r="D72" s="16" t="s">
        <v>29</v>
      </c>
      <c r="E72" s="19" t="n">
        <v>2</v>
      </c>
      <c r="F72" s="31" t="s">
        <v>172</v>
      </c>
      <c r="G72" s="58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8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3</v>
      </c>
      <c r="D73" s="16" t="s">
        <v>29</v>
      </c>
      <c r="E73" s="19" t="n">
        <v>0</v>
      </c>
      <c r="F73" s="31" t="s">
        <v>173</v>
      </c>
      <c r="G73" s="58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1</v>
      </c>
      <c r="N73" s="35" t="n">
        <f aca="true">SUM(INDIRECT($AC73),INDIRECT($AD73),INDIRECT($AE73))</f>
        <v>7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8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3</v>
      </c>
      <c r="F74" s="40" t="s">
        <v>171</v>
      </c>
      <c r="G74" s="58"/>
      <c r="H74" s="41" t="n">
        <v>46199</v>
      </c>
      <c r="I74" s="42" t="n">
        <v>0.666666666666667</v>
      </c>
      <c r="J74" s="23"/>
      <c r="K74" s="43"/>
      <c r="S74" s="58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U75" s="58"/>
      <c r="V75" s="58"/>
      <c r="W75" s="58"/>
      <c r="X75" s="58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58"/>
      <c r="H76" s="13" t="s">
        <v>26</v>
      </c>
      <c r="I76" s="14" t="s">
        <v>27</v>
      </c>
      <c r="J76" s="15"/>
      <c r="K76" s="58"/>
      <c r="L76" s="58"/>
      <c r="M76" s="58"/>
      <c r="N76" s="58"/>
      <c r="O76" s="58"/>
      <c r="P76" s="58"/>
      <c r="Q76" s="58"/>
      <c r="R76" s="58"/>
      <c r="S76" s="58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4</v>
      </c>
      <c r="D77" s="16" t="s">
        <v>29</v>
      </c>
      <c r="E77" s="19" t="n">
        <v>0</v>
      </c>
      <c r="F77" s="31" t="s">
        <v>189</v>
      </c>
      <c r="G77" s="58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2</v>
      </c>
      <c r="D78" s="16" t="s">
        <v>29</v>
      </c>
      <c r="E78" s="19" t="n">
        <v>0</v>
      </c>
      <c r="F78" s="31" t="s">
        <v>191</v>
      </c>
      <c r="G78" s="58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2</v>
      </c>
      <c r="D79" s="16" t="s">
        <v>29</v>
      </c>
      <c r="E79" s="19" t="n">
        <v>0</v>
      </c>
      <c r="F79" s="31" t="s">
        <v>190</v>
      </c>
      <c r="G79" s="58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-5</v>
      </c>
      <c r="N79" s="16" t="n">
        <f aca="true">SUM(INDIRECT($AC79),INDIRECT($AD79),INDIRECT($AE79))</f>
        <v>1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8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0</v>
      </c>
      <c r="D80" s="16" t="s">
        <v>29</v>
      </c>
      <c r="E80" s="19" t="n">
        <v>1</v>
      </c>
      <c r="F80" s="31" t="s">
        <v>189</v>
      </c>
      <c r="G80" s="58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0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8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3</v>
      </c>
      <c r="F81" s="31" t="s">
        <v>188</v>
      </c>
      <c r="G81" s="58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8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0</v>
      </c>
      <c r="D82" s="35" t="s">
        <v>29</v>
      </c>
      <c r="E82" s="39" t="n">
        <v>2</v>
      </c>
      <c r="F82" s="40" t="s">
        <v>190</v>
      </c>
      <c r="G82" s="58"/>
      <c r="H82" s="41" t="n">
        <v>46200</v>
      </c>
      <c r="I82" s="42" t="n">
        <v>0.958333333333333</v>
      </c>
      <c r="J82" s="23"/>
      <c r="K82" s="43"/>
      <c r="S82" s="58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U83" s="58"/>
      <c r="V83" s="58"/>
      <c r="W83" s="58"/>
      <c r="X83" s="58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58"/>
      <c r="H84" s="13" t="s">
        <v>26</v>
      </c>
      <c r="I84" s="14" t="s">
        <v>27</v>
      </c>
      <c r="J84" s="15"/>
      <c r="K84" s="58"/>
      <c r="L84" s="58"/>
      <c r="M84" s="58"/>
      <c r="N84" s="58"/>
      <c r="O84" s="58"/>
      <c r="P84" s="58"/>
      <c r="Q84" s="58"/>
      <c r="R84" s="58"/>
      <c r="S84" s="58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2</v>
      </c>
      <c r="D85" s="16" t="s">
        <v>29</v>
      </c>
      <c r="E85" s="19" t="n">
        <v>0</v>
      </c>
      <c r="F85" s="31" t="s">
        <v>206</v>
      </c>
      <c r="G85" s="58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2</v>
      </c>
      <c r="F86" s="31" t="s">
        <v>208</v>
      </c>
      <c r="G86" s="58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5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3</v>
      </c>
      <c r="D87" s="16" t="s">
        <v>29</v>
      </c>
      <c r="E87" s="19" t="n">
        <v>0</v>
      </c>
      <c r="F87" s="31" t="s">
        <v>207</v>
      </c>
      <c r="G87" s="58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8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2</v>
      </c>
      <c r="D88" s="16" t="s">
        <v>29</v>
      </c>
      <c r="E88" s="19" t="n">
        <v>0</v>
      </c>
      <c r="F88" s="31" t="s">
        <v>206</v>
      </c>
      <c r="G88" s="58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-4</v>
      </c>
      <c r="N88" s="16" t="n">
        <f aca="true">SUM(INDIRECT($AC88),INDIRECT($AD88),INDIRECT($AE88))</f>
        <v>0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8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0</v>
      </c>
      <c r="D89" s="16" t="s">
        <v>29</v>
      </c>
      <c r="E89" s="19" t="n">
        <v>0</v>
      </c>
      <c r="F89" s="31" t="s">
        <v>207</v>
      </c>
      <c r="G89" s="58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-5</v>
      </c>
      <c r="N89" s="35" t="n">
        <f aca="true">SUM(INDIRECT($AC89),INDIRECT($AD89),INDIRECT($AE89))</f>
        <v>0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8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2</v>
      </c>
      <c r="F90" s="40" t="s">
        <v>205</v>
      </c>
      <c r="G90" s="58"/>
      <c r="H90" s="41" t="n">
        <v>46200</v>
      </c>
      <c r="I90" s="42" t="n">
        <v>0.854166666666667</v>
      </c>
      <c r="J90" s="23"/>
      <c r="K90" s="43"/>
      <c r="S90" s="58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U91" s="58"/>
      <c r="V91" s="58"/>
      <c r="W91" s="58"/>
      <c r="X91" s="58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58"/>
      <c r="H92" s="13" t="s">
        <v>26</v>
      </c>
      <c r="I92" s="14" t="s">
        <v>27</v>
      </c>
      <c r="J92" s="15"/>
      <c r="K92" s="58"/>
      <c r="L92" s="58"/>
      <c r="M92" s="58"/>
      <c r="N92" s="58"/>
      <c r="O92" s="58"/>
      <c r="P92" s="58"/>
      <c r="Q92" s="58"/>
      <c r="R92" s="58"/>
      <c r="S92" s="58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2</v>
      </c>
      <c r="D93" s="16" t="s">
        <v>29</v>
      </c>
      <c r="E93" s="19" t="n">
        <v>1</v>
      </c>
      <c r="F93" s="31" t="s">
        <v>223</v>
      </c>
      <c r="G93" s="58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1</v>
      </c>
      <c r="D94" s="16" t="s">
        <v>29</v>
      </c>
      <c r="E94" s="19" t="n">
        <v>0</v>
      </c>
      <c r="F94" s="31" t="s">
        <v>225</v>
      </c>
      <c r="G94" s="58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0</v>
      </c>
      <c r="F95" s="31" t="s">
        <v>224</v>
      </c>
      <c r="G95" s="58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1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8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2</v>
      </c>
      <c r="F96" s="31" t="s">
        <v>223</v>
      </c>
      <c r="G96" s="58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8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0</v>
      </c>
      <c r="F97" s="31" t="s">
        <v>224</v>
      </c>
      <c r="G97" s="58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-5</v>
      </c>
      <c r="N97" s="35" t="n">
        <f aca="true">SUM(INDIRECT($AC97),INDIRECT($AD97),INDIRECT($AE97))</f>
        <v>1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8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1</v>
      </c>
      <c r="D98" s="35" t="s">
        <v>29</v>
      </c>
      <c r="E98" s="39" t="n">
        <v>3</v>
      </c>
      <c r="F98" s="40" t="s">
        <v>222</v>
      </c>
      <c r="G98" s="58"/>
      <c r="H98" s="41" t="n">
        <v>46200</v>
      </c>
      <c r="I98" s="42" t="n">
        <v>0.75</v>
      </c>
      <c r="J98" s="23"/>
      <c r="K98" s="43"/>
      <c r="S98" s="58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6" colorId="64" zoomScale="100" zoomScaleNormal="100" zoomScalePageLayoutView="100" workbookViewId="0">
      <selection pane="topLeft" activeCell="A96" activeCellId="0" sqref="A96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241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55" t="n">
        <f aca="false">IF(AND(ISNUMBER(RESULTADOS!C5),ISNUMBER(RESULTADOS!E5),ISNUMBER(C5),ISNUMBER(E5),C5=RESULTADOS!C5,E5=RESULTADOS!E5),2,0)</f>
        <v>2</v>
      </c>
      <c r="Z5" s="55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5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1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55" t="n">
        <f aca="false">IF(AND(ISNUMBER(RESULTADOS!C6),ISNUMBER(RESULTADOS!E6),ISNUMBER(C6),ISNUMBER(E6),C6=RESULTADOS!C6,E6=RESULTADOS!E6),2,0)</f>
        <v>0</v>
      </c>
      <c r="Z6" s="55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59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2</v>
      </c>
      <c r="D7" s="16" t="s">
        <v>29</v>
      </c>
      <c r="E7" s="19" t="n">
        <v>1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55" t="n">
        <f aca="false">IF(AND(ISNUMBER(RESULTADOS!C7),ISNUMBER(RESULTADOS!E7),ISNUMBER(C7),ISNUMBER(E7),C7=RESULTADOS!C7,E7=RESULTADOS!E7),2,0)</f>
        <v>0</v>
      </c>
      <c r="Z7" s="55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5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1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55" t="n">
        <f aca="false">IF(AND(ISNUMBER(RESULTADOS!C8),ISNUMBER(RESULTADOS!E8),ISNUMBER(C8),ISNUMBER(E8),C8=RESULTADOS!C8,E8=RESULTADOS!E8),2,0)</f>
        <v>0</v>
      </c>
      <c r="Z8" s="55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5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2</v>
      </c>
      <c r="D9" s="16" t="s">
        <v>29</v>
      </c>
      <c r="E9" s="19" t="n">
        <v>2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3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55" t="n">
        <f aca="false">IF(AND(ISNUMBER(RESULTADOS!C9),ISNUMBER(RESULTADOS!E9),ISNUMBER(C9),ISNUMBER(E9),C9=RESULTADOS!C9,E9=RESULTADOS!E9),2,0)</f>
        <v>0</v>
      </c>
      <c r="Z9" s="55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5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1</v>
      </c>
      <c r="D10" s="35" t="s">
        <v>29</v>
      </c>
      <c r="E10" s="39" t="n">
        <v>1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55" t="n">
        <f aca="false">IF(AND(ISNUMBER(RESULTADOS!C10),ISNUMBER(RESULTADOS!E10),ISNUMBER(C10),ISNUMBER(E10),C10=RESULTADOS!C10,E10=RESULTADOS!E10),2,0)</f>
        <v>0</v>
      </c>
      <c r="Z10" s="55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5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6"/>
      <c r="Z11" s="56"/>
      <c r="AA11" s="5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55"/>
      <c r="Z12" s="55"/>
      <c r="AA12" s="55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1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55" t="n">
        <f aca="false">IF(AND(ISNUMBER(RESULTADOS!C13),ISNUMBER(RESULTADOS!E13),ISNUMBER(C13),ISNUMBER(E13),C13=RESULTADOS!C13,E13=RESULTADOS!E13),2,0)</f>
        <v>0</v>
      </c>
      <c r="Z13" s="55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5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1</v>
      </c>
      <c r="D14" s="16" t="s">
        <v>29</v>
      </c>
      <c r="E14" s="19" t="n">
        <v>3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55" t="n">
        <f aca="false">IF(AND(ISNUMBER(RESULTADOS!C14),ISNUMBER(RESULTADOS!E14),ISNUMBER(C14),ISNUMBER(E14),C14=RESULTADOS!C14,E14=RESULTADOS!E14),2,0)</f>
        <v>0</v>
      </c>
      <c r="Z14" s="55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5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2</v>
      </c>
      <c r="D15" s="16" t="s">
        <v>29</v>
      </c>
      <c r="E15" s="19" t="n">
        <v>0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55" t="n">
        <f aca="false">IF(AND(ISNUMBER(RESULTADOS!C15),ISNUMBER(RESULTADOS!E15),ISNUMBER(C15),ISNUMBER(E15),C15=RESULTADOS!C15,E15=RESULTADOS!E15),2,0)</f>
        <v>0</v>
      </c>
      <c r="Z15" s="55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5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2</v>
      </c>
      <c r="D16" s="16" t="s">
        <v>29</v>
      </c>
      <c r="E16" s="19" t="n">
        <v>1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55" t="n">
        <f aca="false">IF(AND(ISNUMBER(RESULTADOS!C16),ISNUMBER(RESULTADOS!E16),ISNUMBER(C16),ISNUMBER(E16),C16=RESULTADOS!C16,E16=RESULTADOS!E16),2,0)</f>
        <v>0</v>
      </c>
      <c r="Z16" s="55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5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1</v>
      </c>
      <c r="D17" s="16" t="s">
        <v>29</v>
      </c>
      <c r="E17" s="19" t="n">
        <v>0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6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55" t="n">
        <f aca="false">IF(AND(ISNUMBER(RESULTADOS!C17),ISNUMBER(RESULTADOS!E17),ISNUMBER(C17),ISNUMBER(E17),C17=RESULTADOS!C17,E17=RESULTADOS!E17),2,0)</f>
        <v>0</v>
      </c>
      <c r="Z17" s="55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5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1</v>
      </c>
      <c r="D18" s="35" t="s">
        <v>29</v>
      </c>
      <c r="E18" s="39" t="n">
        <v>0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55" t="n">
        <f aca="false">IF(AND(ISNUMBER(RESULTADOS!C18),ISNUMBER(RESULTADOS!E18),ISNUMBER(C18),ISNUMBER(E18),C18=RESULTADOS!C18,E18=RESULTADOS!E18),2,0)</f>
        <v>0</v>
      </c>
      <c r="Z18" s="55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5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6"/>
      <c r="Z19" s="56"/>
      <c r="AA19" s="5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55"/>
      <c r="Z20" s="55"/>
      <c r="AA20" s="55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55" t="n">
        <f aca="false">IF(AND(ISNUMBER(RESULTADOS!C21),ISNUMBER(RESULTADOS!E21),ISNUMBER(C21),ISNUMBER(E21),C21=RESULTADOS!C21,E21=RESULTADOS!E21),2,0)</f>
        <v>0</v>
      </c>
      <c r="Z21" s="55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5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0</v>
      </c>
      <c r="D22" s="16" t="s">
        <v>29</v>
      </c>
      <c r="E22" s="19" t="n">
        <v>2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55" t="n">
        <f aca="false">IF(AND(ISNUMBER(RESULTADOS!C22),ISNUMBER(RESULTADOS!E22),ISNUMBER(C22),ISNUMBER(E22),C22=RESULTADOS!C22,E22=RESULTADOS!E22),2,0)</f>
        <v>0</v>
      </c>
      <c r="Z22" s="55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5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2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55" t="n">
        <f aca="false">IF(AND(ISNUMBER(RESULTADOS!C23),ISNUMBER(RESULTADOS!E23),ISNUMBER(C23),ISNUMBER(E23),C23=RESULTADOS!C23,E23=RESULTADOS!E23),2,0)</f>
        <v>0</v>
      </c>
      <c r="Z23" s="55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5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3</v>
      </c>
      <c r="D24" s="16" t="s">
        <v>29</v>
      </c>
      <c r="E24" s="19" t="n">
        <v>1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55" t="n">
        <f aca="false">IF(AND(ISNUMBER(RESULTADOS!C24),ISNUMBER(RESULTADOS!E24),ISNUMBER(C24),ISNUMBER(E24),C24=RESULTADOS!C24,E24=RESULTADOS!E24),2,0)</f>
        <v>0</v>
      </c>
      <c r="Z24" s="55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5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2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55" t="n">
        <f aca="false">IF(AND(ISNUMBER(RESULTADOS!C25),ISNUMBER(RESULTADOS!E25),ISNUMBER(C25),ISNUMBER(E25),C25=RESULTADOS!C25,E25=RESULTADOS!E25),2,0)</f>
        <v>0</v>
      </c>
      <c r="Z25" s="55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5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1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55" t="n">
        <f aca="false">IF(AND(ISNUMBER(RESULTADOS!C26),ISNUMBER(RESULTADOS!E26),ISNUMBER(C26),ISNUMBER(E26),C26=RESULTADOS!C26,E26=RESULTADOS!E26),2,0)</f>
        <v>0</v>
      </c>
      <c r="Z26" s="55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5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6"/>
      <c r="Z27" s="56"/>
      <c r="AA27" s="5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55"/>
      <c r="Z28" s="55"/>
      <c r="AA28" s="55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1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55" t="n">
        <f aca="false">IF(AND(ISNUMBER(RESULTADOS!C29),ISNUMBER(RESULTADOS!E29),ISNUMBER(C29),ISNUMBER(E29),C29=RESULTADOS!C29,E29=RESULTADOS!E29),2,0)</f>
        <v>0</v>
      </c>
      <c r="Z29" s="55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5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2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55" t="n">
        <f aca="false">IF(AND(ISNUMBER(RESULTADOS!C30),ISNUMBER(RESULTADOS!E30),ISNUMBER(C30),ISNUMBER(E30),C30=RESULTADOS!C30,E30=RESULTADOS!E30),2,0)</f>
        <v>0</v>
      </c>
      <c r="Z30" s="55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5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1</v>
      </c>
      <c r="D31" s="16" t="s">
        <v>29</v>
      </c>
      <c r="E31" s="19" t="n">
        <v>2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55" t="n">
        <f aca="false">IF(AND(ISNUMBER(RESULTADOS!C31),ISNUMBER(RESULTADOS!E31),ISNUMBER(C31),ISNUMBER(E31),C31=RESULTADOS!C31,E31=RESULTADOS!E31),2,0)</f>
        <v>0</v>
      </c>
      <c r="Z31" s="55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5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2</v>
      </c>
      <c r="D32" s="16" t="s">
        <v>29</v>
      </c>
      <c r="E32" s="19" t="n">
        <v>1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55" t="n">
        <f aca="false">IF(AND(ISNUMBER(RESULTADOS!C32),ISNUMBER(RESULTADOS!E32),ISNUMBER(C32),ISNUMBER(E32),C32=RESULTADOS!C32,E32=RESULTADOS!E32),2,0)</f>
        <v>0</v>
      </c>
      <c r="Z32" s="55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5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0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5</v>
      </c>
      <c r="N33" s="35" t="n">
        <f aca="true">SUM(INDIRECT($AC33),INDIRECT($AD33),INDIRECT($AE33))</f>
        <v>6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55" t="n">
        <f aca="false">IF(AND(ISNUMBER(RESULTADOS!C33),ISNUMBER(RESULTADOS!E33),ISNUMBER(C33),ISNUMBER(E33),C33=RESULTADOS!C33,E33=RESULTADOS!E33),2,0)</f>
        <v>0</v>
      </c>
      <c r="Z33" s="55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5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1</v>
      </c>
      <c r="D34" s="35" t="s">
        <v>29</v>
      </c>
      <c r="E34" s="39" t="n">
        <v>0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55" t="n">
        <f aca="false">IF(AND(ISNUMBER(RESULTADOS!C34),ISNUMBER(RESULTADOS!E34),ISNUMBER(C34),ISNUMBER(E34),C34=RESULTADOS!C34,E34=RESULTADOS!E34),2,0)</f>
        <v>0</v>
      </c>
      <c r="Z34" s="55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5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6"/>
      <c r="Z35" s="56"/>
      <c r="AA35" s="5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55"/>
      <c r="Z36" s="55"/>
      <c r="AA36" s="55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4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55" t="n">
        <f aca="false">IF(AND(ISNUMBER(RESULTADOS!C37),ISNUMBER(RESULTADOS!E37),ISNUMBER(C37),ISNUMBER(E37),C37=RESULTADOS!C37,E37=RESULTADOS!E37),2,0)</f>
        <v>0</v>
      </c>
      <c r="Z37" s="55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5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1</v>
      </c>
      <c r="D38" s="16" t="s">
        <v>29</v>
      </c>
      <c r="E38" s="19" t="n">
        <v>1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55" t="n">
        <f aca="false">IF(AND(ISNUMBER(RESULTADOS!C38),ISNUMBER(RESULTADOS!E38),ISNUMBER(C38),ISNUMBER(E38),C38=RESULTADOS!C38,E38=RESULTADOS!E38),2,0)</f>
        <v>0</v>
      </c>
      <c r="Z38" s="55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5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0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55" t="n">
        <f aca="false">IF(AND(ISNUMBER(RESULTADOS!C39),ISNUMBER(RESULTADOS!E39),ISNUMBER(C39),ISNUMBER(E39),C39=RESULTADOS!C39,E39=RESULTADOS!E39),2,0)</f>
        <v>0</v>
      </c>
      <c r="Z39" s="55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5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2</v>
      </c>
      <c r="D40" s="16" t="s">
        <v>29</v>
      </c>
      <c r="E40" s="19" t="n">
        <v>0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55" t="n">
        <f aca="false">IF(AND(ISNUMBER(RESULTADOS!C40),ISNUMBER(RESULTADOS!E40),ISNUMBER(C40),ISNUMBER(E40),C40=RESULTADOS!C40,E40=RESULTADOS!E40),2,0)</f>
        <v>0</v>
      </c>
      <c r="Z40" s="55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5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2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1</v>
      </c>
      <c r="N41" s="35" t="n">
        <f aca="true">SUM(INDIRECT($AC41),INDIRECT($AD41),INDIRECT($AE41))</f>
        <v>4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55" t="n">
        <f aca="false">IF(AND(ISNUMBER(RESULTADOS!C41),ISNUMBER(RESULTADOS!E41),ISNUMBER(C41),ISNUMBER(E41),C41=RESULTADOS!C41,E41=RESULTADOS!E41),2,0)</f>
        <v>0</v>
      </c>
      <c r="Z41" s="55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5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1</v>
      </c>
      <c r="D42" s="35" t="s">
        <v>29</v>
      </c>
      <c r="E42" s="39" t="n">
        <v>2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55" t="n">
        <f aca="false">IF(AND(ISNUMBER(RESULTADOS!C42),ISNUMBER(RESULTADOS!E42),ISNUMBER(C42),ISNUMBER(E42),C42=RESULTADOS!C42,E42=RESULTADOS!E42),2,0)</f>
        <v>0</v>
      </c>
      <c r="Z42" s="55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5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6"/>
      <c r="Z43" s="56"/>
      <c r="AA43" s="5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55"/>
      <c r="Z44" s="55"/>
      <c r="AA44" s="55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0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55" t="n">
        <f aca="false">IF(AND(ISNUMBER(RESULTADOS!C45),ISNUMBER(RESULTADOS!E45),ISNUMBER(C45),ISNUMBER(E45),C45=RESULTADOS!C45,E45=RESULTADOS!E45),2,0)</f>
        <v>0</v>
      </c>
      <c r="Z45" s="55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5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0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55" t="n">
        <f aca="false">IF(AND(ISNUMBER(RESULTADOS!C46),ISNUMBER(RESULTADOS!E46),ISNUMBER(C46),ISNUMBER(E46),C46=RESULTADOS!C46,E46=RESULTADOS!E46),2,0)</f>
        <v>0</v>
      </c>
      <c r="Z46" s="55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5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1</v>
      </c>
      <c r="D47" s="16" t="s">
        <v>29</v>
      </c>
      <c r="E47" s="19" t="n">
        <v>0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55" t="n">
        <f aca="false">IF(AND(ISNUMBER(RESULTADOS!C47),ISNUMBER(RESULTADOS!E47),ISNUMBER(C47),ISNUMBER(E47),C47=RESULTADOS!C47,E47=RESULTADOS!E47),2,0)</f>
        <v>0</v>
      </c>
      <c r="Z47" s="55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5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1</v>
      </c>
      <c r="D48" s="16" t="s">
        <v>29</v>
      </c>
      <c r="E48" s="19" t="n">
        <v>1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55" t="n">
        <f aca="false">IF(AND(ISNUMBER(RESULTADOS!C48),ISNUMBER(RESULTADOS!E48),ISNUMBER(C48),ISNUMBER(E48),C48=RESULTADOS!C48,E48=RESULTADOS!E48),2,0)</f>
        <v>0</v>
      </c>
      <c r="Z48" s="55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5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1</v>
      </c>
      <c r="D49" s="16" t="s">
        <v>29</v>
      </c>
      <c r="E49" s="19" t="n">
        <v>3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55" t="n">
        <f aca="false">IF(AND(ISNUMBER(RESULTADOS!C49),ISNUMBER(RESULTADOS!E49),ISNUMBER(C49),ISNUMBER(E49),C49=RESULTADOS!C49,E49=RESULTADOS!E49),2,0)</f>
        <v>0</v>
      </c>
      <c r="Z49" s="55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5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0</v>
      </c>
      <c r="D50" s="35" t="s">
        <v>29</v>
      </c>
      <c r="E50" s="39" t="n">
        <v>2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55" t="n">
        <f aca="false">IF(AND(ISNUMBER(RESULTADOS!C50),ISNUMBER(RESULTADOS!E50),ISNUMBER(C50),ISNUMBER(E50),C50=RESULTADOS!C50,E50=RESULTADOS!E50),2,0)</f>
        <v>0</v>
      </c>
      <c r="Z50" s="55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5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6"/>
      <c r="Z51" s="56"/>
      <c r="AA51" s="5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55"/>
      <c r="Z52" s="55"/>
      <c r="AA52" s="55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2</v>
      </c>
      <c r="D53" s="16" t="s">
        <v>29</v>
      </c>
      <c r="E53" s="19" t="n">
        <v>0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55" t="n">
        <f aca="false">IF(AND(ISNUMBER(RESULTADOS!C53),ISNUMBER(RESULTADOS!E53),ISNUMBER(C53),ISNUMBER(E53),C53=RESULTADOS!C53,E53=RESULTADOS!E53),2,0)</f>
        <v>0</v>
      </c>
      <c r="Z53" s="55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5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1</v>
      </c>
      <c r="D54" s="16" t="s">
        <v>29</v>
      </c>
      <c r="E54" s="19" t="n">
        <v>1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55" t="n">
        <f aca="false">IF(AND(ISNUMBER(RESULTADOS!C54),ISNUMBER(RESULTADOS!E54),ISNUMBER(C54),ISNUMBER(E54),C54=RESULTADOS!C54,E54=RESULTADOS!E54),2,0)</f>
        <v>0</v>
      </c>
      <c r="Z54" s="55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5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0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55" t="n">
        <f aca="false">IF(AND(ISNUMBER(RESULTADOS!C55),ISNUMBER(RESULTADOS!E55),ISNUMBER(C55),ISNUMBER(E55),C55=RESULTADOS!C55,E55=RESULTADOS!E55),2,0)</f>
        <v>0</v>
      </c>
      <c r="Z55" s="55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5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1</v>
      </c>
      <c r="D56" s="16" t="s">
        <v>29</v>
      </c>
      <c r="E56" s="19" t="n">
        <v>1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55" t="n">
        <f aca="false">IF(AND(ISNUMBER(RESULTADOS!C56),ISNUMBER(RESULTADOS!E56),ISNUMBER(C56),ISNUMBER(E56),C56=RESULTADOS!C56,E56=RESULTADOS!E56),2,0)</f>
        <v>0</v>
      </c>
      <c r="Z56" s="55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5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1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55" t="n">
        <f aca="false">IF(AND(ISNUMBER(RESULTADOS!C57),ISNUMBER(RESULTADOS!E57),ISNUMBER(C57),ISNUMBER(E57),C57=RESULTADOS!C57,E57=RESULTADOS!E57),2,0)</f>
        <v>0</v>
      </c>
      <c r="Z57" s="55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5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2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55" t="n">
        <f aca="false">IF(AND(ISNUMBER(RESULTADOS!C58),ISNUMBER(RESULTADOS!E58),ISNUMBER(C58),ISNUMBER(E58),C58=RESULTADOS!C58,E58=RESULTADOS!E58),2,0)</f>
        <v>0</v>
      </c>
      <c r="Z58" s="55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5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6"/>
      <c r="Z59" s="56"/>
      <c r="AA59" s="5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55"/>
      <c r="Z60" s="55"/>
      <c r="AA60" s="55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4</v>
      </c>
      <c r="D61" s="16" t="s">
        <v>29</v>
      </c>
      <c r="E61" s="19" t="n">
        <v>0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55" t="n">
        <f aca="false">IF(AND(ISNUMBER(RESULTADOS!C61),ISNUMBER(RESULTADOS!E61),ISNUMBER(C61),ISNUMBER(E61),C61=RESULTADOS!C61,E61=RESULTADOS!E61),2,0)</f>
        <v>0</v>
      </c>
      <c r="Z61" s="55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5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0</v>
      </c>
      <c r="D62" s="16" t="s">
        <v>29</v>
      </c>
      <c r="E62" s="19" t="n">
        <v>2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55" t="n">
        <f aca="false">IF(AND(ISNUMBER(RESULTADOS!C62),ISNUMBER(RESULTADOS!E62),ISNUMBER(C62),ISNUMBER(E62),C62=RESULTADOS!C62,E62=RESULTADOS!E62),2,0)</f>
        <v>0</v>
      </c>
      <c r="Z62" s="55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5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3</v>
      </c>
      <c r="D63" s="16" t="s">
        <v>29</v>
      </c>
      <c r="E63" s="19" t="n">
        <v>0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55" t="n">
        <f aca="false">IF(AND(ISNUMBER(RESULTADOS!C63),ISNUMBER(RESULTADOS!E63),ISNUMBER(C63),ISNUMBER(E63),C63=RESULTADOS!C63,E63=RESULTADOS!E63),2,0)</f>
        <v>0</v>
      </c>
      <c r="Z63" s="55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5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1</v>
      </c>
      <c r="D64" s="16" t="s">
        <v>29</v>
      </c>
      <c r="E64" s="19" t="n">
        <v>0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55" t="n">
        <f aca="false">IF(AND(ISNUMBER(RESULTADOS!C64),ISNUMBER(RESULTADOS!E64),ISNUMBER(C64),ISNUMBER(E64),C64=RESULTADOS!C64,E64=RESULTADOS!E64),2,0)</f>
        <v>0</v>
      </c>
      <c r="Z64" s="55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5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1</v>
      </c>
      <c r="D65" s="16" t="s">
        <v>29</v>
      </c>
      <c r="E65" s="19" t="n">
        <v>1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4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55" t="n">
        <f aca="false">IF(AND(ISNUMBER(RESULTADOS!C65),ISNUMBER(RESULTADOS!E65),ISNUMBER(C65),ISNUMBER(E65),C65=RESULTADOS!C65,E65=RESULTADOS!E65),2,0)</f>
        <v>0</v>
      </c>
      <c r="Z65" s="55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5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2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55" t="n">
        <f aca="false">IF(AND(ISNUMBER(RESULTADOS!C66),ISNUMBER(RESULTADOS!E66),ISNUMBER(C66),ISNUMBER(E66),C66=RESULTADOS!C66,E66=RESULTADOS!E66),2,0)</f>
        <v>0</v>
      </c>
      <c r="Z66" s="55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5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7"/>
      <c r="Z67" s="57"/>
      <c r="AA67" s="57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7"/>
      <c r="Z68" s="57"/>
      <c r="AA68" s="57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3</v>
      </c>
      <c r="D69" s="16" t="s">
        <v>29</v>
      </c>
      <c r="E69" s="19" t="n">
        <v>1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55" t="n">
        <f aca="false">IF(AND(ISNUMBER(RESULTADOS!C69),ISNUMBER(RESULTADOS!E69),ISNUMBER(C69),ISNUMBER(E69),C69=RESULTADOS!C69,E69=RESULTADOS!E69),2,0)</f>
        <v>0</v>
      </c>
      <c r="Z69" s="55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5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1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55" t="n">
        <f aca="false">IF(AND(ISNUMBER(RESULTADOS!C70),ISNUMBER(RESULTADOS!E70),ISNUMBER(C70),ISNUMBER(E70),C70=RESULTADOS!C70,E70=RESULTADOS!E70),2,0)</f>
        <v>0</v>
      </c>
      <c r="Z70" s="55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5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0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55" t="n">
        <f aca="false">IF(AND(ISNUMBER(RESULTADOS!C71),ISNUMBER(RESULTADOS!E71),ISNUMBER(C71),ISNUMBER(E71),C71=RESULTADOS!C71,E71=RESULTADOS!E71),2,0)</f>
        <v>0</v>
      </c>
      <c r="Z71" s="55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5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1</v>
      </c>
      <c r="D72" s="16" t="s">
        <v>29</v>
      </c>
      <c r="E72" s="19" t="n">
        <v>1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55" t="n">
        <f aca="false">IF(AND(ISNUMBER(RESULTADOS!C72),ISNUMBER(RESULTADOS!E72),ISNUMBER(C72),ISNUMBER(E72),C72=RESULTADOS!C72,E72=RESULTADOS!E72),2,0)</f>
        <v>0</v>
      </c>
      <c r="Z72" s="55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5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55" t="n">
        <f aca="false">IF(AND(ISNUMBER(RESULTADOS!C73),ISNUMBER(RESULTADOS!E73),ISNUMBER(C73),ISNUMBER(E73),C73=RESULTADOS!C73,E73=RESULTADOS!E73),2,0)</f>
        <v>0</v>
      </c>
      <c r="Z73" s="55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5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2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55" t="n">
        <f aca="false">IF(AND(ISNUMBER(RESULTADOS!C74),ISNUMBER(RESULTADOS!E74),ISNUMBER(C74),ISNUMBER(E74),C74=RESULTADOS!C74,E74=RESULTADOS!E74),2,0)</f>
        <v>0</v>
      </c>
      <c r="Z74" s="55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5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7"/>
      <c r="Z75" s="57"/>
      <c r="AA75" s="57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7"/>
      <c r="Z76" s="57"/>
      <c r="AA76" s="57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1</v>
      </c>
      <c r="D77" s="16" t="s">
        <v>29</v>
      </c>
      <c r="E77" s="19" t="n">
        <v>0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55" t="n">
        <f aca="false">IF(AND(ISNUMBER(RESULTADOS!C77),ISNUMBER(RESULTADOS!E77),ISNUMBER(C77),ISNUMBER(E77),C77=RESULTADOS!C77,E77=RESULTADOS!E77),2,0)</f>
        <v>0</v>
      </c>
      <c r="Z77" s="55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5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1</v>
      </c>
      <c r="D78" s="16" t="s">
        <v>29</v>
      </c>
      <c r="E78" s="19" t="n">
        <v>1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55" t="n">
        <f aca="false">IF(AND(ISNUMBER(RESULTADOS!C78),ISNUMBER(RESULTADOS!E78),ISNUMBER(C78),ISNUMBER(E78),C78=RESULTADOS!C78,E78=RESULTADOS!E78),2,0)</f>
        <v>0</v>
      </c>
      <c r="Z78" s="55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5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2</v>
      </c>
      <c r="D79" s="16" t="s">
        <v>29</v>
      </c>
      <c r="E79" s="19" t="n">
        <v>1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55" t="n">
        <f aca="false">IF(AND(ISNUMBER(RESULTADOS!C79),ISNUMBER(RESULTADOS!E79),ISNUMBER(C79),ISNUMBER(E79),C79=RESULTADOS!C79,E79=RESULTADOS!E79),2,0)</f>
        <v>0</v>
      </c>
      <c r="Z79" s="55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5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1</v>
      </c>
      <c r="D80" s="16" t="s">
        <v>29</v>
      </c>
      <c r="E80" s="19" t="n">
        <v>1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55" t="n">
        <f aca="false">IF(AND(ISNUMBER(RESULTADOS!C80),ISNUMBER(RESULTADOS!E80),ISNUMBER(C80),ISNUMBER(E80),C80=RESULTADOS!C80,E80=RESULTADOS!E80),2,0)</f>
        <v>0</v>
      </c>
      <c r="Z80" s="55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5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1</v>
      </c>
      <c r="D81" s="16" t="s">
        <v>29</v>
      </c>
      <c r="E81" s="19" t="n">
        <v>3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4</v>
      </c>
      <c r="O81" s="35" t="n">
        <f aca="true">SUM(INDIRECT($AF81),INDIRECT($AG81),INDIRECT($AH81))</f>
        <v>4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55" t="n">
        <f aca="false">IF(AND(ISNUMBER(RESULTADOS!C81),ISNUMBER(RESULTADOS!E81),ISNUMBER(C81),ISNUMBER(E81),C81=RESULTADOS!C81,E81=RESULTADOS!E81),2,0)</f>
        <v>0</v>
      </c>
      <c r="Z81" s="55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5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2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55" t="n">
        <f aca="false">IF(AND(ISNUMBER(RESULTADOS!C82),ISNUMBER(RESULTADOS!E82),ISNUMBER(C82),ISNUMBER(E82),C82=RESULTADOS!C82,E82=RESULTADOS!E82),2,0)</f>
        <v>0</v>
      </c>
      <c r="Z82" s="55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5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7"/>
      <c r="Z83" s="57"/>
      <c r="AA83" s="57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7"/>
      <c r="Z84" s="57"/>
      <c r="AA84" s="57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5</v>
      </c>
      <c r="D85" s="16" t="s">
        <v>29</v>
      </c>
      <c r="E85" s="19" t="n">
        <v>0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55" t="n">
        <f aca="false">IF(AND(ISNUMBER(RESULTADOS!C85),ISNUMBER(RESULTADOS!E85),ISNUMBER(C85),ISNUMBER(E85),C85=RESULTADOS!C85,E85=RESULTADOS!E85),2,0)</f>
        <v>0</v>
      </c>
      <c r="Z85" s="55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5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3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55" t="n">
        <f aca="false">IF(AND(ISNUMBER(RESULTADOS!C86),ISNUMBER(RESULTADOS!E86),ISNUMBER(C86),ISNUMBER(E86),C86=RESULTADOS!C86,E86=RESULTADOS!E86),2,0)</f>
        <v>0</v>
      </c>
      <c r="Z86" s="55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5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3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55" t="n">
        <f aca="false">IF(AND(ISNUMBER(RESULTADOS!C87),ISNUMBER(RESULTADOS!E87),ISNUMBER(C87),ISNUMBER(E87),C87=RESULTADOS!C87,E87=RESULTADOS!E87),2,0)</f>
        <v>0</v>
      </c>
      <c r="Z87" s="55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5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2</v>
      </c>
      <c r="D88" s="16" t="s">
        <v>29</v>
      </c>
      <c r="E88" s="19" t="n">
        <v>0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55" t="n">
        <f aca="false">IF(AND(ISNUMBER(RESULTADOS!C88),ISNUMBER(RESULTADOS!E88),ISNUMBER(C88),ISNUMBER(E88),C88=RESULTADOS!C88,E88=RESULTADOS!E88),2,0)</f>
        <v>0</v>
      </c>
      <c r="Z88" s="55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5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1</v>
      </c>
      <c r="D89" s="16" t="s">
        <v>29</v>
      </c>
      <c r="E89" s="19" t="n">
        <v>1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-6</v>
      </c>
      <c r="N89" s="35" t="n">
        <f aca="true">SUM(INDIRECT($AC89),INDIRECT($AD89),INDIRECT($AE89))</f>
        <v>1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55" t="n">
        <f aca="false">IF(AND(ISNUMBER(RESULTADOS!C89),ISNUMBER(RESULTADOS!E89),ISNUMBER(C89),ISNUMBER(E89),C89=RESULTADOS!C89,E89=RESULTADOS!E89),2,0)</f>
        <v>0</v>
      </c>
      <c r="Z89" s="55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5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3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55" t="n">
        <f aca="false">IF(AND(ISNUMBER(RESULTADOS!C90),ISNUMBER(RESULTADOS!E90),ISNUMBER(C90),ISNUMBER(E90),C90=RESULTADOS!C90,E90=RESULTADOS!E90),2,0)</f>
        <v>0</v>
      </c>
      <c r="Z90" s="55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5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7"/>
      <c r="Z91" s="57"/>
      <c r="AA91" s="57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7"/>
      <c r="Z92" s="57"/>
      <c r="AA92" s="57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2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55" t="n">
        <f aca="false">IF(AND(ISNUMBER(RESULTADOS!C93),ISNUMBER(RESULTADOS!E93),ISNUMBER(C93),ISNUMBER(E93),C93=RESULTADOS!C93,E93=RESULTADOS!E93),2,0)</f>
        <v>0</v>
      </c>
      <c r="Z93" s="55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5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0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55" t="n">
        <f aca="false">IF(AND(ISNUMBER(RESULTADOS!C94),ISNUMBER(RESULTADOS!E94),ISNUMBER(C94),ISNUMBER(E94),C94=RESULTADOS!C94,E94=RESULTADOS!E94),2,0)</f>
        <v>0</v>
      </c>
      <c r="Z94" s="55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5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0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55" t="n">
        <f aca="false">IF(AND(ISNUMBER(RESULTADOS!C95),ISNUMBER(RESULTADOS!E95),ISNUMBER(C95),ISNUMBER(E95),C95=RESULTADOS!C95,E95=RESULTADOS!E95),2,0)</f>
        <v>0</v>
      </c>
      <c r="Z95" s="55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5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2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55" t="n">
        <f aca="false">IF(AND(ISNUMBER(RESULTADOS!C96),ISNUMBER(RESULTADOS!E96),ISNUMBER(C96),ISNUMBER(E96),C96=RESULTADOS!C96,E96=RESULTADOS!E96),2,0)</f>
        <v>0</v>
      </c>
      <c r="Z96" s="55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5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1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0</v>
      </c>
      <c r="O97" s="35" t="n">
        <f aca="true">SUM(INDIRECT($AF97),INDIRECT($AG97),INDIRECT($AH97))</f>
        <v>7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55" t="n">
        <f aca="false">IF(AND(ISNUMBER(RESULTADOS!C97),ISNUMBER(RESULTADOS!E97),ISNUMBER(C97),ISNUMBER(E97),C97=RESULTADOS!C97,E97=RESULTADOS!E97),2,0)</f>
        <v>0</v>
      </c>
      <c r="Z97" s="55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5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3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55" t="n">
        <f aca="false">IF(AND(ISNUMBER(RESULTADOS!C98),ISNUMBER(RESULTADOS!E98),ISNUMBER(C98),ISNUMBER(E98),C98=RESULTADOS!C98,E98=RESULTADOS!E98),2,0)</f>
        <v>0</v>
      </c>
      <c r="Z98" s="55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5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selection pane="topLeft" activeCell="A79" activeCellId="0" sqref="A79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242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1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2</v>
      </c>
      <c r="D6" s="16" t="s">
        <v>29</v>
      </c>
      <c r="E6" s="19" t="n">
        <v>2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1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0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3</v>
      </c>
      <c r="D9" s="16" t="s">
        <v>29</v>
      </c>
      <c r="E9" s="19" t="n">
        <v>0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2</v>
      </c>
      <c r="N9" s="35" t="n">
        <f aca="true">SUM(INDIRECT($AC9),INDIRECT($AD9),INDIRECT($AE9))</f>
        <v>4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1</v>
      </c>
      <c r="D10" s="35" t="s">
        <v>29</v>
      </c>
      <c r="E10" s="39" t="n">
        <v>2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0</v>
      </c>
      <c r="D13" s="16" t="s">
        <v>29</v>
      </c>
      <c r="E13" s="19" t="n">
        <v>0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2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1</v>
      </c>
      <c r="D15" s="16" t="s">
        <v>29</v>
      </c>
      <c r="E15" s="19" t="n">
        <v>0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3</v>
      </c>
      <c r="D16" s="16" t="s">
        <v>29</v>
      </c>
      <c r="E16" s="19" t="n">
        <v>1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0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1</v>
      </c>
      <c r="D18" s="35" t="s">
        <v>29</v>
      </c>
      <c r="E18" s="39" t="n">
        <v>0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0</v>
      </c>
      <c r="D22" s="16" t="s">
        <v>29</v>
      </c>
      <c r="E22" s="19" t="n">
        <v>2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3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5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1</v>
      </c>
      <c r="D26" s="35" t="s">
        <v>29</v>
      </c>
      <c r="E26" s="39" t="n">
        <v>3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2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2</v>
      </c>
      <c r="D30" s="16" t="s">
        <v>29</v>
      </c>
      <c r="E30" s="19" t="n">
        <v>2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1</v>
      </c>
      <c r="D31" s="16" t="s">
        <v>29</v>
      </c>
      <c r="E31" s="19" t="n">
        <v>1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1</v>
      </c>
      <c r="D32" s="16" t="s">
        <v>29</v>
      </c>
      <c r="E32" s="19" t="n">
        <v>2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1</v>
      </c>
      <c r="D33" s="16" t="s">
        <v>29</v>
      </c>
      <c r="E33" s="19" t="n">
        <v>0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2</v>
      </c>
      <c r="D34" s="35" t="s">
        <v>29</v>
      </c>
      <c r="E34" s="39" t="n">
        <v>2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4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1</v>
      </c>
      <c r="D38" s="16" t="s">
        <v>29</v>
      </c>
      <c r="E38" s="19" t="n">
        <v>1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3</v>
      </c>
      <c r="D39" s="16" t="s">
        <v>29</v>
      </c>
      <c r="E39" s="19" t="n">
        <v>1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2</v>
      </c>
      <c r="D40" s="16" t="s">
        <v>29</v>
      </c>
      <c r="E40" s="19" t="n">
        <v>1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0</v>
      </c>
      <c r="D41" s="16" t="s">
        <v>29</v>
      </c>
      <c r="E41" s="19" t="n">
        <v>2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5" t="n">
        <f aca="false">N41-O41</f>
        <v>-1</v>
      </c>
      <c r="N41" s="35" t="n">
        <f aca="true">SUM(INDIRECT($AC41),INDIRECT($AD41),INDIRECT($AE41))</f>
        <v>3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3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1</v>
      </c>
      <c r="D45" s="16" t="s">
        <v>29</v>
      </c>
      <c r="E45" s="19" t="n">
        <v>2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2</v>
      </c>
      <c r="D46" s="16" t="s">
        <v>29</v>
      </c>
      <c r="E46" s="19" t="n">
        <v>1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2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2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1</v>
      </c>
      <c r="D49" s="16" t="s">
        <v>29</v>
      </c>
      <c r="E49" s="19" t="n">
        <v>0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1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1</v>
      </c>
      <c r="D53" s="16" t="s">
        <v>29</v>
      </c>
      <c r="E53" s="19" t="n">
        <v>0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1</v>
      </c>
      <c r="D54" s="16" t="s">
        <v>29</v>
      </c>
      <c r="E54" s="19" t="n">
        <v>0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0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6" t="n">
        <f aca="false">N55-O55</f>
        <v>-2</v>
      </c>
      <c r="N55" s="16" t="n">
        <f aca="true">SUM(INDIRECT($AC55),INDIRECT($AD55),INDIRECT($AE55))</f>
        <v>0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0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0</v>
      </c>
      <c r="N56" s="16" t="n">
        <f aca="true">SUM(INDIRECT($AC56),INDIRECT($AD56),INDIRECT($AE56))</f>
        <v>2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0</v>
      </c>
      <c r="D57" s="16" t="s">
        <v>29</v>
      </c>
      <c r="E57" s="19" t="n">
        <v>1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0</v>
      </c>
      <c r="O57" s="35" t="n">
        <f aca="true">SUM(INDIRECT($AF57),INDIRECT($AG57),INDIRECT($AH57))</f>
        <v>3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2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2</v>
      </c>
      <c r="D61" s="16" t="s">
        <v>29</v>
      </c>
      <c r="E61" s="19" t="n">
        <v>0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0</v>
      </c>
      <c r="D62" s="16" t="s">
        <v>29</v>
      </c>
      <c r="E62" s="19" t="n">
        <v>1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2</v>
      </c>
      <c r="D63" s="16" t="s">
        <v>29</v>
      </c>
      <c r="E63" s="19" t="n">
        <v>1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3</v>
      </c>
      <c r="D64" s="16" t="s">
        <v>29</v>
      </c>
      <c r="E64" s="19" t="n">
        <v>0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1</v>
      </c>
      <c r="D65" s="16" t="s">
        <v>29</v>
      </c>
      <c r="E65" s="19" t="n">
        <v>2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4</v>
      </c>
      <c r="N65" s="35" t="n">
        <f aca="true">SUM(INDIRECT($AC65),INDIRECT($AD65),INDIRECT($AE65))</f>
        <v>5</v>
      </c>
      <c r="O65" s="35" t="n">
        <f aca="true">SUM(INDIRECT($AF65),INDIRECT($AG65),INDIRECT($AH65))</f>
        <v>1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1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2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2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1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2</v>
      </c>
      <c r="D72" s="16" t="s">
        <v>29</v>
      </c>
      <c r="E72" s="19" t="n">
        <v>2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3</v>
      </c>
      <c r="D73" s="16" t="s">
        <v>29</v>
      </c>
      <c r="E73" s="19" t="n">
        <v>1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5" t="n">
        <f aca="false">N73-O73</f>
        <v>2</v>
      </c>
      <c r="N73" s="35" t="n">
        <f aca="true">SUM(INDIRECT($AC73),INDIRECT($AD73),INDIRECT($AE73))</f>
        <v>7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4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2</v>
      </c>
      <c r="D77" s="16" t="s">
        <v>29</v>
      </c>
      <c r="E77" s="19" t="n">
        <v>0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3</v>
      </c>
      <c r="D78" s="16" t="s">
        <v>29</v>
      </c>
      <c r="E78" s="19" t="n">
        <v>1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1</v>
      </c>
      <c r="D79" s="16" t="s">
        <v>29</v>
      </c>
      <c r="E79" s="19" t="n">
        <v>1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0</v>
      </c>
      <c r="D80" s="16" t="s">
        <v>29</v>
      </c>
      <c r="E80" s="19" t="n">
        <v>1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4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7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3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2</v>
      </c>
      <c r="D85" s="16" t="s">
        <v>29</v>
      </c>
      <c r="E85" s="19" t="n">
        <v>0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3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2</v>
      </c>
      <c r="D87" s="16" t="s">
        <v>29</v>
      </c>
      <c r="E87" s="19" t="n">
        <v>1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4</v>
      </c>
      <c r="D88" s="16" t="s">
        <v>29</v>
      </c>
      <c r="E88" s="19" t="n">
        <v>0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1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3</v>
      </c>
      <c r="D90" s="35" t="s">
        <v>29</v>
      </c>
      <c r="E90" s="39" t="n">
        <v>1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1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0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2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2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2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2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93" colorId="64" zoomScale="100" zoomScaleNormal="100" zoomScalePageLayoutView="100" workbookViewId="0">
      <selection pane="topLeft" activeCell="A93" activeCellId="0" sqref="A93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customFormat="false" ht="18.75" hidden="false" customHeight="true" outlineLevel="0" collapsed="false">
      <c r="A2" s="69"/>
      <c r="B2" s="70" t="s">
        <v>243</v>
      </c>
      <c r="C2" s="70"/>
      <c r="D2" s="70"/>
      <c r="E2" s="70"/>
      <c r="F2" s="70"/>
      <c r="G2" s="71"/>
      <c r="H2" s="72" t="s">
        <v>21</v>
      </c>
      <c r="I2" s="72"/>
      <c r="J2" s="71"/>
      <c r="K2" s="72" t="s">
        <v>22</v>
      </c>
      <c r="L2" s="72"/>
      <c r="M2" s="72"/>
      <c r="N2" s="72"/>
      <c r="O2" s="72"/>
      <c r="P2" s="72"/>
      <c r="Q2" s="72"/>
      <c r="R2" s="72"/>
      <c r="S2" s="71"/>
      <c r="T2" s="73" t="s">
        <v>23</v>
      </c>
      <c r="U2" s="73"/>
      <c r="V2" s="73"/>
      <c r="W2" s="73"/>
      <c r="X2" s="73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customFormat="false" ht="15" hidden="false" customHeight="true" outlineLevel="0" collapsed="false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24</v>
      </c>
      <c r="U3" s="81" t="n">
        <f aca="false" t="array" ref="U3:U3">SUM(U5:U10,U13:U18,U21:U26,U29:U34,U37:U42,U45:U50,U53:U58,U61:U66)</f>
        <v>4</v>
      </c>
      <c r="V3" s="81"/>
      <c r="W3" s="81"/>
      <c r="X3" s="81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customFormat="false" ht="13.5" hidden="false" customHeight="true" outlineLevel="0" collapsed="false">
      <c r="A4" s="69"/>
      <c r="B4" s="85" t="s">
        <v>25</v>
      </c>
      <c r="C4" s="85"/>
      <c r="D4" s="85"/>
      <c r="E4" s="85"/>
      <c r="F4" s="85"/>
      <c r="G4" s="71"/>
      <c r="H4" s="86" t="s">
        <v>26</v>
      </c>
      <c r="I4" s="87" t="s">
        <v>27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customFormat="false" ht="13.5" hidden="false" customHeight="true" outlineLevel="0" collapsed="false">
      <c r="A5" s="69"/>
      <c r="B5" s="92" t="s">
        <v>28</v>
      </c>
      <c r="C5" s="93" t="n">
        <v>2</v>
      </c>
      <c r="D5" s="94" t="s">
        <v>29</v>
      </c>
      <c r="E5" s="95" t="n">
        <v>0</v>
      </c>
      <c r="F5" s="96" t="s">
        <v>30</v>
      </c>
      <c r="G5" s="71"/>
      <c r="H5" s="97" t="n">
        <v>46184</v>
      </c>
      <c r="I5" s="98" t="n">
        <v>1.66666666666667</v>
      </c>
      <c r="J5" s="99"/>
      <c r="K5" s="100"/>
      <c r="L5" s="94" t="s">
        <v>31</v>
      </c>
      <c r="M5" s="94" t="s">
        <v>32</v>
      </c>
      <c r="N5" s="94" t="s">
        <v>33</v>
      </c>
      <c r="O5" s="94" t="s">
        <v>34</v>
      </c>
      <c r="P5" s="94" t="s">
        <v>35</v>
      </c>
      <c r="Q5" s="94" t="s">
        <v>36</v>
      </c>
      <c r="R5" s="101" t="s">
        <v>37</v>
      </c>
      <c r="S5" s="102"/>
      <c r="T5" s="103" t="str">
        <f aca="false" t="array" ref="T5:T5">IF(NOT(AND(ISNUMBER(C5),ISNUMBER(E5))),"XXX","")</f>
        <v/>
      </c>
      <c r="U5" s="104" t="n">
        <f aca="false" t="array" ref="U5:U5">SUM(Y5,Z5,AA5)</f>
        <v>4</v>
      </c>
      <c r="V5" s="104"/>
      <c r="W5" s="104"/>
      <c r="X5" s="104"/>
      <c r="Y5" s="104" t="n">
        <f aca="false" t="array" ref="Y5:Y5">IF(AND(ISNUMBER(RESULTADOS!C5),ISNUMBER(RESULTADOS!E5),ISNUMBER(C5),ISNUMBER(E5),C5=RESULTADOS!C5,E5=RESULTADOS!E5),2,0)</f>
        <v>2</v>
      </c>
      <c r="Z5" s="104" t="n">
        <f aca="false" t="array" ref="Z5: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4" t="n">
        <f aca="false" t="array" ref="AA5:AA5">IF(AND(ISNUMBER(RESULTADOS!C5),ISNUMBER(RESULTADOS!E5),ISNUMBER(C5),ISNUMBER(E5),AND(Z5=1,OR(C5=RESULTADOS!C5,E5=RESULTADOS!E5))),1,0)</f>
        <v>1</v>
      </c>
      <c r="AB5" s="82"/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customFormat="false" ht="13.5" hidden="false" customHeight="true" outlineLevel="0" collapsed="false">
      <c r="A6" s="69"/>
      <c r="B6" s="105" t="s">
        <v>38</v>
      </c>
      <c r="C6" s="106" t="n">
        <v>3</v>
      </c>
      <c r="D6" s="107" t="s">
        <v>29</v>
      </c>
      <c r="E6" s="108" t="n">
        <v>3</v>
      </c>
      <c r="F6" s="109" t="s">
        <v>39</v>
      </c>
      <c r="G6" s="71"/>
      <c r="H6" s="97" t="n">
        <v>46184</v>
      </c>
      <c r="I6" s="98" t="n">
        <v>1.95833333333333</v>
      </c>
      <c r="J6" s="99"/>
      <c r="K6" s="110" t="s">
        <v>38</v>
      </c>
      <c r="L6" s="104" t="n">
        <v>0</v>
      </c>
      <c r="M6" s="104" t="n">
        <f aca="false" t="array" ref="M6:M6">N6-O6</f>
        <v>0</v>
      </c>
      <c r="N6" s="104" t="n">
        <v>0</v>
      </c>
      <c r="O6" s="104" t="n">
        <v>0</v>
      </c>
      <c r="P6" s="104" t="n">
        <v>0</v>
      </c>
      <c r="Q6" s="104" t="n">
        <v>0</v>
      </c>
      <c r="R6" s="111" t="n">
        <v>0</v>
      </c>
      <c r="S6" s="102"/>
      <c r="T6" s="103" t="str">
        <f aca="false" t="array" ref="T6:T6">IF(NOT(AND(ISNUMBER(C6),ISNUMBER(E6))),"XXX","")</f>
        <v/>
      </c>
      <c r="U6" s="104" t="n">
        <f aca="false" t="array" ref="U6:U6">SUM(Y6,Z6,AA6)</f>
        <v>0</v>
      </c>
      <c r="V6" s="104"/>
      <c r="W6" s="104"/>
      <c r="X6" s="104"/>
      <c r="Y6" s="104" t="n">
        <f aca="false" t="array" ref="Y6:Y6">IF(AND(ISNUMBER(RESULTADOS!C6),ISNUMBER(RESULTADOS!E6),ISNUMBER(C6),ISNUMBER(E6),C6=RESULTADOS!C6,E6=RESULTADOS!E6),2,0)</f>
        <v>0</v>
      </c>
      <c r="Z6" s="104" t="n">
        <f aca="false" t="array" ref="Z6: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4" t="n">
        <f aca="false" t="array" ref="AA6:AA6">IF(AND(ISNUMBER(RESULTADOS!C6),ISNUMBER(RESULTADOS!E6),ISNUMBER(C6),ISNUMBER(E6),AND(Z6=1,OR(C6=RESULTADOS!C6,E6=RESULTADOS!E6))),1,0)</f>
        <v>0</v>
      </c>
      <c r="AB6" s="82"/>
      <c r="AC6" s="112" t="s">
        <v>40</v>
      </c>
      <c r="AD6" s="112" t="s">
        <v>41</v>
      </c>
      <c r="AE6" s="112" t="s">
        <v>42</v>
      </c>
      <c r="AF6" s="82" t="str">
        <f aca="false" t="array" ref="AF6:AF6">IF(ISNUMBER(FIND("C",AC6,1)),SUBSTITUTE(AC6,"C","E"),SUBSTITUTE(AC6,"E","C"))</f>
        <v>E6</v>
      </c>
      <c r="AG6" s="82" t="str">
        <f aca="false" t="array" ref="AG6:AG6">IF(ISNUMBER(FIND("C",AD6,1)),SUBSTITUTE(AD6,"C","E"),SUBSTITUTE(AD6,"E","C"))</f>
        <v>C8</v>
      </c>
      <c r="AH6" s="82" t="str">
        <f aca="false" t="array" ref="AH6: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customFormat="false" ht="12.75" hidden="false" customHeight="true" outlineLevel="0" collapsed="false">
      <c r="A7" s="69"/>
      <c r="B7" s="105" t="s">
        <v>39</v>
      </c>
      <c r="C7" s="106" t="n">
        <v>2</v>
      </c>
      <c r="D7" s="107" t="s">
        <v>29</v>
      </c>
      <c r="E7" s="108" t="n">
        <v>1</v>
      </c>
      <c r="F7" s="109" t="s">
        <v>30</v>
      </c>
      <c r="G7" s="71"/>
      <c r="H7" s="97" t="n">
        <v>46191</v>
      </c>
      <c r="I7" s="98" t="n">
        <v>1.54166666666667</v>
      </c>
      <c r="J7" s="99"/>
      <c r="K7" s="110" t="s">
        <v>28</v>
      </c>
      <c r="L7" s="104" t="n">
        <v>0</v>
      </c>
      <c r="M7" s="104" t="n">
        <f aca="false" t="array" ref="M7:M7">N7-O7</f>
        <v>0</v>
      </c>
      <c r="N7" s="104" t="n">
        <v>0</v>
      </c>
      <c r="O7" s="104" t="n">
        <v>0</v>
      </c>
      <c r="P7" s="104" t="n">
        <v>0</v>
      </c>
      <c r="Q7" s="104" t="n">
        <v>0</v>
      </c>
      <c r="R7" s="111" t="n">
        <v>0</v>
      </c>
      <c r="S7" s="113"/>
      <c r="T7" s="103" t="str">
        <f aca="false" t="array" ref="T7:T7">IF(NOT(AND(ISNUMBER(C7),ISNUMBER(E7))),"XXX","")</f>
        <v/>
      </c>
      <c r="U7" s="104" t="n">
        <f aca="false" t="array" ref="U7:U7">SUM(Y7,Z7,AA7)</f>
        <v>0</v>
      </c>
      <c r="V7" s="104"/>
      <c r="W7" s="104"/>
      <c r="X7" s="104"/>
      <c r="Y7" s="104" t="n">
        <f aca="false" t="array" ref="Y7:Y7">IF(AND(ISNUMBER(RESULTADOS!C7),ISNUMBER(RESULTADOS!E7),ISNUMBER(C7),ISNUMBER(E7),C7=RESULTADOS!C7,E7=RESULTADOS!E7),2,0)</f>
        <v>0</v>
      </c>
      <c r="Z7" s="104" t="n">
        <f aca="false" t="array" ref="Z7: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4" t="n">
        <f aca="false" t="array" ref="AA7:AA7">IF(AND(ISNUMBER(RESULTADOS!C7),ISNUMBER(RESULTADOS!E7),ISNUMBER(C7),ISNUMBER(E7),AND(Z7=1,OR(C7=RESULTADOS!C7,E7=RESULTADOS!E7))),1,0)</f>
        <v>0</v>
      </c>
      <c r="AB7" s="82"/>
      <c r="AC7" s="112" t="s">
        <v>43</v>
      </c>
      <c r="AD7" s="112" t="s">
        <v>44</v>
      </c>
      <c r="AE7" s="112" t="s">
        <v>45</v>
      </c>
      <c r="AF7" s="82" t="str">
        <f aca="false" t="array" ref="AF7:AF7">IF(ISNUMBER(FIND("C",AC7,1)),SUBSTITUTE(AC7,"C","E"),SUBSTITUTE(AC7,"E","C"))</f>
        <v>E5</v>
      </c>
      <c r="AG7" s="82" t="str">
        <f aca="false" t="array" ref="AG7:AG7">IF(ISNUMBER(FIND("C",AD7,1)),SUBSTITUTE(AD7,"C","E"),SUBSTITUTE(AD7,"E","C"))</f>
        <v>E8</v>
      </c>
      <c r="AH7" s="82" t="str">
        <f aca="false" t="array" ref="AH7: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customFormat="false" ht="12.75" hidden="false" customHeight="true" outlineLevel="0" collapsed="false">
      <c r="A8" s="69"/>
      <c r="B8" s="105" t="s">
        <v>28</v>
      </c>
      <c r="C8" s="106" t="n">
        <v>1</v>
      </c>
      <c r="D8" s="107" t="s">
        <v>29</v>
      </c>
      <c r="E8" s="108" t="n">
        <v>1</v>
      </c>
      <c r="F8" s="109" t="s">
        <v>38</v>
      </c>
      <c r="G8" s="71"/>
      <c r="H8" s="97" t="n">
        <v>46191</v>
      </c>
      <c r="I8" s="98" t="n">
        <v>1.91666666666667</v>
      </c>
      <c r="J8" s="99"/>
      <c r="K8" s="110" t="s">
        <v>39</v>
      </c>
      <c r="L8" s="104" t="n">
        <v>0</v>
      </c>
      <c r="M8" s="104" t="n">
        <f aca="false" t="array" ref="M8:M8">N8-O8</f>
        <v>0</v>
      </c>
      <c r="N8" s="104" t="n">
        <v>0</v>
      </c>
      <c r="O8" s="104" t="n">
        <v>0</v>
      </c>
      <c r="P8" s="104" t="n">
        <v>0</v>
      </c>
      <c r="Q8" s="104" t="n">
        <v>0</v>
      </c>
      <c r="R8" s="111" t="n">
        <v>0</v>
      </c>
      <c r="S8" s="113"/>
      <c r="T8" s="103" t="str">
        <f aca="false" t="array" ref="T8:T8">IF(NOT(AND(ISNUMBER(C8),ISNUMBER(E8))),"XXX","")</f>
        <v/>
      </c>
      <c r="U8" s="104" t="n">
        <f aca="false" t="array" ref="U8:U8">SUM(Y8,Z8,AA8)</f>
        <v>0</v>
      </c>
      <c r="V8" s="104"/>
      <c r="W8" s="104"/>
      <c r="X8" s="104"/>
      <c r="Y8" s="104" t="n">
        <f aca="false" t="array" ref="Y8:Y8">IF(AND(ISNUMBER(RESULTADOS!C8),ISNUMBER(RESULTADOS!E8),ISNUMBER(C8),ISNUMBER(E8),C8=RESULTADOS!C8,E8=RESULTADOS!E8),2,0)</f>
        <v>0</v>
      </c>
      <c r="Z8" s="104" t="n">
        <f aca="false" t="array" ref="Z8: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4" t="n">
        <f aca="false" t="array" ref="AA8:AA8">IF(AND(ISNUMBER(RESULTADOS!C8),ISNUMBER(RESULTADOS!E8),ISNUMBER(C8),ISNUMBER(E8),AND(Z8=1,OR(C8=RESULTADOS!C8,E8=RESULTADOS!E8))),1,0)</f>
        <v>0</v>
      </c>
      <c r="AB8" s="82"/>
      <c r="AC8" s="112" t="s">
        <v>46</v>
      </c>
      <c r="AD8" s="112" t="s">
        <v>47</v>
      </c>
      <c r="AE8" s="112" t="s">
        <v>48</v>
      </c>
      <c r="AF8" s="82" t="str">
        <f aca="false" t="array" ref="AF8:AF8">IF(ISNUMBER(FIND("C",AC8,1)),SUBSTITUTE(AC8,"C","E"),SUBSTITUTE(AC8,"E","C"))</f>
        <v>C6</v>
      </c>
      <c r="AG8" s="82" t="str">
        <f aca="false" t="array" ref="AG8:AG8">IF(ISNUMBER(FIND("C",AD8,1)),SUBSTITUTE(AD8,"C","E"),SUBSTITUTE(AD8,"E","C"))</f>
        <v>E7</v>
      </c>
      <c r="AH8" s="82" t="str">
        <f aca="false" t="array" ref="AH8: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customFormat="false" ht="12.75" hidden="false" customHeight="true" outlineLevel="0" collapsed="false">
      <c r="A9" s="69"/>
      <c r="B9" s="105" t="s">
        <v>30</v>
      </c>
      <c r="C9" s="106" t="n">
        <v>0</v>
      </c>
      <c r="D9" s="107" t="s">
        <v>29</v>
      </c>
      <c r="E9" s="108" t="n">
        <v>2</v>
      </c>
      <c r="F9" s="109" t="s">
        <v>38</v>
      </c>
      <c r="G9" s="71"/>
      <c r="H9" s="97" t="n">
        <v>46197</v>
      </c>
      <c r="I9" s="98" t="n">
        <v>1.91666666666667</v>
      </c>
      <c r="J9" s="99"/>
      <c r="K9" s="114" t="s">
        <v>30</v>
      </c>
      <c r="L9" s="115" t="n">
        <v>0</v>
      </c>
      <c r="M9" s="115" t="n">
        <f aca="false" t="array" ref="M9:M9">N9-O9</f>
        <v>0</v>
      </c>
      <c r="N9" s="115" t="n">
        <v>0</v>
      </c>
      <c r="O9" s="115" t="n">
        <v>0</v>
      </c>
      <c r="P9" s="115" t="n">
        <v>0</v>
      </c>
      <c r="Q9" s="115" t="n">
        <v>0</v>
      </c>
      <c r="R9" s="116" t="n">
        <v>0</v>
      </c>
      <c r="S9" s="113"/>
      <c r="T9" s="103" t="str">
        <f aca="false" t="array" ref="T9:T9">IF(NOT(AND(ISNUMBER(C9),ISNUMBER(E9))),"XXX","")</f>
        <v/>
      </c>
      <c r="U9" s="104" t="n">
        <f aca="false" t="array" ref="U9:U9">SUM(Y9,Z9,AA9)</f>
        <v>0</v>
      </c>
      <c r="V9" s="104"/>
      <c r="W9" s="104"/>
      <c r="X9" s="104"/>
      <c r="Y9" s="104" t="n">
        <f aca="false" t="array" ref="Y9:Y9">IF(AND(ISNUMBER(RESULTADOS!C9),ISNUMBER(RESULTADOS!E9),ISNUMBER(C9),ISNUMBER(E9),C9=RESULTADOS!C9,E9=RESULTADOS!E9),2,0)</f>
        <v>0</v>
      </c>
      <c r="Z9" s="104" t="n">
        <f aca="false" t="array" ref="Z9: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4" t="n">
        <f aca="false" t="array" ref="AA9:AA9">IF(AND(ISNUMBER(RESULTADOS!C9),ISNUMBER(RESULTADOS!E9),ISNUMBER(C9),ISNUMBER(E9),AND(Z9=1,OR(C9=RESULTADOS!C9,E9=RESULTADOS!E9))),1,0)</f>
        <v>0</v>
      </c>
      <c r="AB9" s="82"/>
      <c r="AC9" s="112" t="s">
        <v>49</v>
      </c>
      <c r="AD9" s="112" t="s">
        <v>50</v>
      </c>
      <c r="AE9" s="112" t="s">
        <v>51</v>
      </c>
      <c r="AF9" s="82" t="str">
        <f aca="false" t="array" ref="AF9:AF9">IF(ISNUMBER(FIND("C",AC9,1)),SUBSTITUTE(AC9,"C","E"),SUBSTITUTE(AC9,"E","C"))</f>
        <v>C5</v>
      </c>
      <c r="AG9" s="82" t="str">
        <f aca="false" t="array" ref="AG9:AG9">IF(ISNUMBER(FIND("C",AD9,1)),SUBSTITUTE(AD9,"C","E"),SUBSTITUTE(AD9,"E","C"))</f>
        <v>C7</v>
      </c>
      <c r="AH9" s="82" t="str">
        <f aca="false" t="array" ref="AH9: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customFormat="false" ht="13.5" hidden="false" customHeight="true" outlineLevel="0" collapsed="false">
      <c r="A10" s="69"/>
      <c r="B10" s="117" t="s">
        <v>39</v>
      </c>
      <c r="C10" s="118" t="n">
        <v>0</v>
      </c>
      <c r="D10" s="119" t="s">
        <v>29</v>
      </c>
      <c r="E10" s="120" t="n">
        <v>0</v>
      </c>
      <c r="F10" s="121" t="s">
        <v>28</v>
      </c>
      <c r="G10" s="71"/>
      <c r="H10" s="122" t="n">
        <v>46197</v>
      </c>
      <c r="I10" s="123" t="n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aca="false" t="array" ref="T10:T10">IF(NOT(AND(ISNUMBER(C10),ISNUMBER(E10))),"XXX","")</f>
        <v/>
      </c>
      <c r="U10" s="104" t="n">
        <f aca="false" t="array" ref="U10:U10">SUM(Y10,Z10,AA10)</f>
        <v>0</v>
      </c>
      <c r="V10" s="104"/>
      <c r="W10" s="104"/>
      <c r="X10" s="104"/>
      <c r="Y10" s="104" t="n">
        <f aca="false" t="array" ref="Y10:Y10">IF(AND(ISNUMBER(RESULTADOS!C10),ISNUMBER(RESULTADOS!E10),ISNUMBER(C10),ISNUMBER(E10),C10=RESULTADOS!C10,E10=RESULTADOS!E10),2,0)</f>
        <v>0</v>
      </c>
      <c r="Z10" s="104" t="n">
        <f aca="false" t="array" ref="Z10: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4" t="n">
        <f aca="false" t="array" ref="AA10:AA10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customFormat="false" ht="13.5" hidden="false" customHeight="true" outlineLevel="0" collapsed="false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2"/>
      <c r="Y11" s="75"/>
      <c r="Z11" s="75"/>
      <c r="AA11" s="75"/>
      <c r="AB11" s="82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customFormat="false" ht="13.5" hidden="false" customHeight="true" outlineLevel="0" collapsed="false">
      <c r="A12" s="69"/>
      <c r="B12" s="85" t="s">
        <v>52</v>
      </c>
      <c r="C12" s="85"/>
      <c r="D12" s="85"/>
      <c r="E12" s="85"/>
      <c r="F12" s="85"/>
      <c r="G12" s="71"/>
      <c r="H12" s="86" t="s">
        <v>26</v>
      </c>
      <c r="I12" s="87" t="s">
        <v>27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04"/>
      <c r="V12" s="104"/>
      <c r="W12" s="104"/>
      <c r="X12" s="104"/>
      <c r="Y12" s="104"/>
      <c r="Z12" s="104"/>
      <c r="AA12" s="104"/>
      <c r="AB12" s="82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customFormat="false" ht="13.5" hidden="false" customHeight="true" outlineLevel="0" collapsed="false">
      <c r="A13" s="69"/>
      <c r="B13" s="92" t="s">
        <v>53</v>
      </c>
      <c r="C13" s="93" t="n">
        <v>2</v>
      </c>
      <c r="D13" s="94" t="s">
        <v>29</v>
      </c>
      <c r="E13" s="95" t="n">
        <v>1</v>
      </c>
      <c r="F13" s="96" t="s">
        <v>54</v>
      </c>
      <c r="G13" s="71"/>
      <c r="H13" s="97" t="n">
        <v>46185</v>
      </c>
      <c r="I13" s="98" t="n">
        <v>1.66666666666667</v>
      </c>
      <c r="J13" s="99"/>
      <c r="K13" s="127"/>
      <c r="L13" s="94" t="s">
        <v>31</v>
      </c>
      <c r="M13" s="94" t="s">
        <v>32</v>
      </c>
      <c r="N13" s="94" t="s">
        <v>33</v>
      </c>
      <c r="O13" s="94" t="s">
        <v>34</v>
      </c>
      <c r="P13" s="94" t="s">
        <v>35</v>
      </c>
      <c r="Q13" s="94" t="s">
        <v>36</v>
      </c>
      <c r="R13" s="101" t="s">
        <v>37</v>
      </c>
      <c r="S13" s="102"/>
      <c r="T13" s="103" t="str">
        <f aca="false" t="array" ref="T13:T13">IF(NOT(AND(ISNUMBER(C13),ISNUMBER(E13))),"XXX","")</f>
        <v/>
      </c>
      <c r="U13" s="104" t="n">
        <f aca="false" t="array" ref="U13:U13">SUM(Y13,Z13,AA13)</f>
        <v>0</v>
      </c>
      <c r="V13" s="104"/>
      <c r="W13" s="104"/>
      <c r="X13" s="104"/>
      <c r="Y13" s="104" t="n">
        <f aca="false" t="array" ref="Y13:Y13">IF(AND(ISNUMBER(RESULTADOS!C13),ISNUMBER(RESULTADOS!E13),ISNUMBER(C13),ISNUMBER(E13),C13=RESULTADOS!C13,E13=RESULTADOS!E13),2,0)</f>
        <v>0</v>
      </c>
      <c r="Z13" s="104" t="n">
        <f aca="false" t="array" ref="Z13: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4" t="n">
        <f aca="false" t="array" ref="AA13:AA13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customFormat="false" ht="13.5" hidden="false" customHeight="true" outlineLevel="0" collapsed="false">
      <c r="A14" s="69"/>
      <c r="B14" s="105" t="s">
        <v>55</v>
      </c>
      <c r="C14" s="106" t="n">
        <v>0</v>
      </c>
      <c r="D14" s="107" t="s">
        <v>29</v>
      </c>
      <c r="E14" s="108" t="n">
        <v>3</v>
      </c>
      <c r="F14" s="128" t="s">
        <v>56</v>
      </c>
      <c r="G14" s="71"/>
      <c r="H14" s="97" t="n">
        <v>46186</v>
      </c>
      <c r="I14" s="98" t="n">
        <v>1.66666666666667</v>
      </c>
      <c r="J14" s="99"/>
      <c r="K14" s="110" t="s">
        <v>54</v>
      </c>
      <c r="L14" s="104" t="n">
        <v>0</v>
      </c>
      <c r="M14" s="104" t="n">
        <f aca="false" t="array" ref="M14:M14">N14-O14</f>
        <v>0</v>
      </c>
      <c r="N14" s="104" t="n">
        <v>0</v>
      </c>
      <c r="O14" s="104" t="n">
        <v>0</v>
      </c>
      <c r="P14" s="104" t="n">
        <v>0</v>
      </c>
      <c r="Q14" s="104" t="n">
        <v>0</v>
      </c>
      <c r="R14" s="111" t="n">
        <v>0</v>
      </c>
      <c r="S14" s="102"/>
      <c r="T14" s="103" t="str">
        <f aca="false" t="array" ref="T14:T14">IF(NOT(AND(ISNUMBER(C14),ISNUMBER(E14))),"XXX","")</f>
        <v/>
      </c>
      <c r="U14" s="104" t="n">
        <f aca="false" t="array" ref="U14:U14">SUM(Y14,Z14,AA14)</f>
        <v>0</v>
      </c>
      <c r="V14" s="104"/>
      <c r="W14" s="104"/>
      <c r="X14" s="104"/>
      <c r="Y14" s="104" t="n">
        <f aca="false" t="array" ref="Y14:Y14">IF(AND(ISNUMBER(RESULTADOS!C14),ISNUMBER(RESULTADOS!E14),ISNUMBER(C14),ISNUMBER(E14),C14=RESULTADOS!C14,E14=RESULTADOS!E14),2,0)</f>
        <v>0</v>
      </c>
      <c r="Z14" s="104" t="n">
        <f aca="false" t="array" ref="Z14: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4" t="n">
        <f aca="false" t="array" ref="AA14:AA14">IF(AND(ISNUMBER(RESULTADOS!C14),ISNUMBER(RESULTADOS!E14),ISNUMBER(C14),ISNUMBER(E14),AND(Z14=1,OR(C14=RESULTADOS!C14,E14=RESULTADOS!E14))),1,0)</f>
        <v>0</v>
      </c>
      <c r="AB14" s="82"/>
      <c r="AC14" s="112" t="s">
        <v>57</v>
      </c>
      <c r="AD14" s="112" t="s">
        <v>58</v>
      </c>
      <c r="AE14" s="112" t="s">
        <v>59</v>
      </c>
      <c r="AF14" s="82" t="str">
        <f aca="false" t="array" ref="AF14:AF14">IF(ISNUMBER(FIND("C",AC14,1)),SUBSTITUTE(AC14,"C","E"),SUBSTITUTE(AC14,"E","C"))</f>
        <v>C13</v>
      </c>
      <c r="AG14" s="82" t="str">
        <f aca="false" t="array" ref="AG14:AG14">IF(ISNUMBER(FIND("C",AD14,1)),SUBSTITUTE(AD14,"C","E"),SUBSTITUTE(AD14,"E","C"))</f>
        <v>C15</v>
      </c>
      <c r="AH14" s="82" t="str">
        <f aca="false" t="array" ref="AH14: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customFormat="false" ht="12.75" hidden="false" customHeight="true" outlineLevel="0" collapsed="false">
      <c r="A15" s="69"/>
      <c r="B15" s="105" t="s">
        <v>56</v>
      </c>
      <c r="C15" s="106" t="n">
        <v>0</v>
      </c>
      <c r="D15" s="107" t="s">
        <v>29</v>
      </c>
      <c r="E15" s="108" t="n">
        <v>0</v>
      </c>
      <c r="F15" s="128" t="s">
        <v>54</v>
      </c>
      <c r="G15" s="71"/>
      <c r="H15" s="97" t="n">
        <v>46191</v>
      </c>
      <c r="I15" s="98" t="n">
        <v>1.66666666666667</v>
      </c>
      <c r="J15" s="99"/>
      <c r="K15" s="110" t="s">
        <v>53</v>
      </c>
      <c r="L15" s="104" t="n">
        <v>0</v>
      </c>
      <c r="M15" s="104" t="n">
        <f aca="false" t="array" ref="M15:M15">N15-O15</f>
        <v>0</v>
      </c>
      <c r="N15" s="104" t="n">
        <v>0</v>
      </c>
      <c r="O15" s="104" t="n">
        <v>0</v>
      </c>
      <c r="P15" s="104" t="n">
        <v>0</v>
      </c>
      <c r="Q15" s="104" t="n">
        <v>0</v>
      </c>
      <c r="R15" s="111" t="n">
        <v>0</v>
      </c>
      <c r="S15" s="113"/>
      <c r="T15" s="103" t="str">
        <f aca="false" t="array" ref="T15:T15">IF(NOT(AND(ISNUMBER(C15),ISNUMBER(E15))),"XXX","")</f>
        <v/>
      </c>
      <c r="U15" s="104" t="n">
        <f aca="false" t="array" ref="U15:U15">SUM(Y15,Z15,AA15)</f>
        <v>0</v>
      </c>
      <c r="V15" s="104"/>
      <c r="W15" s="104"/>
      <c r="X15" s="104"/>
      <c r="Y15" s="104" t="n">
        <f aca="false" t="array" ref="Y15:Y15">IF(AND(ISNUMBER(RESULTADOS!C15),ISNUMBER(RESULTADOS!E15),ISNUMBER(C15),ISNUMBER(E15),C15=RESULTADOS!C15,E15=RESULTADOS!E15),2,0)</f>
        <v>0</v>
      </c>
      <c r="Z15" s="104" t="n">
        <f aca="false" t="array" ref="Z15: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4" t="n">
        <f aca="false" t="array" ref="AA15:AA15">IF(AND(ISNUMBER(RESULTADOS!C15),ISNUMBER(RESULTADOS!E15),ISNUMBER(C15),ISNUMBER(E15),AND(Z15=1,OR(C15=RESULTADOS!C15,E15=RESULTADOS!E15))),1,0)</f>
        <v>0</v>
      </c>
      <c r="AB15" s="82"/>
      <c r="AC15" s="112" t="s">
        <v>60</v>
      </c>
      <c r="AD15" s="112" t="s">
        <v>61</v>
      </c>
      <c r="AE15" s="112" t="s">
        <v>62</v>
      </c>
      <c r="AF15" s="82" t="str">
        <f aca="false" t="array" ref="AF15:AF15">IF(ISNUMBER(FIND("C",AC15,1)),SUBSTITUTE(AC15,"C","E"),SUBSTITUTE(AC15,"E","C"))</f>
        <v>E13</v>
      </c>
      <c r="AG15" s="82" t="str">
        <f aca="false" t="array" ref="AG15:AG15">IF(ISNUMBER(FIND("C",AD15,1)),SUBSTITUTE(AD15,"C","E"),SUBSTITUTE(AD15,"E","C"))</f>
        <v>E16</v>
      </c>
      <c r="AH15" s="82" t="str">
        <f aca="false" t="array" ref="AH15: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customFormat="false" ht="12.75" hidden="false" customHeight="true" outlineLevel="0" collapsed="false">
      <c r="A16" s="69"/>
      <c r="B16" s="105" t="s">
        <v>53</v>
      </c>
      <c r="C16" s="106" t="n">
        <v>1</v>
      </c>
      <c r="D16" s="107" t="s">
        <v>29</v>
      </c>
      <c r="E16" s="108" t="n">
        <v>0</v>
      </c>
      <c r="F16" s="128" t="s">
        <v>55</v>
      </c>
      <c r="G16" s="71"/>
      <c r="H16" s="97" t="n">
        <v>46191</v>
      </c>
      <c r="I16" s="98" t="n">
        <v>1.79166666666667</v>
      </c>
      <c r="J16" s="99"/>
      <c r="K16" s="110" t="s">
        <v>55</v>
      </c>
      <c r="L16" s="104" t="n">
        <v>0</v>
      </c>
      <c r="M16" s="104" t="n">
        <f aca="false" t="array" ref="M16:M16">N16-O16</f>
        <v>0</v>
      </c>
      <c r="N16" s="104" t="n">
        <v>0</v>
      </c>
      <c r="O16" s="104" t="n">
        <v>0</v>
      </c>
      <c r="P16" s="104" t="n">
        <v>0</v>
      </c>
      <c r="Q16" s="104" t="n">
        <v>0</v>
      </c>
      <c r="R16" s="111" t="n">
        <v>0</v>
      </c>
      <c r="S16" s="113"/>
      <c r="T16" s="103" t="str">
        <f aca="false" t="array" ref="T16:T16">IF(NOT(AND(ISNUMBER(C16),ISNUMBER(E16))),"XXX","")</f>
        <v/>
      </c>
      <c r="U16" s="104" t="n">
        <f aca="false" t="array" ref="U16:U16">SUM(Y16,Z16,AA16)</f>
        <v>0</v>
      </c>
      <c r="V16" s="104"/>
      <c r="W16" s="104"/>
      <c r="X16" s="104"/>
      <c r="Y16" s="104" t="n">
        <f aca="false" t="array" ref="Y16:Y16">IF(AND(ISNUMBER(RESULTADOS!C16),ISNUMBER(RESULTADOS!E16),ISNUMBER(C16),ISNUMBER(E16),C16=RESULTADOS!C16,E16=RESULTADOS!E16),2,0)</f>
        <v>0</v>
      </c>
      <c r="Z16" s="104" t="n">
        <f aca="false" t="array" ref="Z16: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4" t="n">
        <f aca="false" t="array" ref="AA16:AA16">IF(AND(ISNUMBER(RESULTADOS!C16),ISNUMBER(RESULTADOS!E16),ISNUMBER(C16),ISNUMBER(E16),AND(Z16=1,OR(C16=RESULTADOS!C16,E16=RESULTADOS!E16))),1,0)</f>
        <v>0</v>
      </c>
      <c r="AB16" s="82"/>
      <c r="AC16" s="112" t="s">
        <v>63</v>
      </c>
      <c r="AD16" s="112" t="s">
        <v>64</v>
      </c>
      <c r="AE16" s="112" t="s">
        <v>65</v>
      </c>
      <c r="AF16" s="82" t="str">
        <f aca="false" t="array" ref="AF16:AF16">IF(ISNUMBER(FIND("C",AC16,1)),SUBSTITUTE(AC16,"C","E"),SUBSTITUTE(AC16,"E","C"))</f>
        <v>E14</v>
      </c>
      <c r="AG16" s="82" t="str">
        <f aca="false" t="array" ref="AG16:AG16">IF(ISNUMBER(FIND("C",AD16,1)),SUBSTITUTE(AD16,"C","E"),SUBSTITUTE(AD16,"E","C"))</f>
        <v>C16</v>
      </c>
      <c r="AH16" s="82" t="str">
        <f aca="false" t="array" ref="AH16: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customFormat="false" ht="12.75" hidden="false" customHeight="true" outlineLevel="0" collapsed="false">
      <c r="A17" s="69"/>
      <c r="B17" s="105" t="s">
        <v>56</v>
      </c>
      <c r="C17" s="106" t="n">
        <v>0</v>
      </c>
      <c r="D17" s="107" t="s">
        <v>29</v>
      </c>
      <c r="E17" s="108" t="n">
        <v>0</v>
      </c>
      <c r="F17" s="128" t="s">
        <v>53</v>
      </c>
      <c r="G17" s="71"/>
      <c r="H17" s="97" t="n">
        <v>46197</v>
      </c>
      <c r="I17" s="98" t="n">
        <v>1.66666666666667</v>
      </c>
      <c r="J17" s="99"/>
      <c r="K17" s="114" t="s">
        <v>56</v>
      </c>
      <c r="L17" s="115" t="n">
        <v>0</v>
      </c>
      <c r="M17" s="115" t="n">
        <f aca="false" t="array" ref="M17:M17">N17-O17</f>
        <v>0</v>
      </c>
      <c r="N17" s="115" t="n">
        <v>0</v>
      </c>
      <c r="O17" s="115" t="n">
        <v>0</v>
      </c>
      <c r="P17" s="115" t="n">
        <v>0</v>
      </c>
      <c r="Q17" s="115" t="n">
        <v>0</v>
      </c>
      <c r="R17" s="116" t="n">
        <v>0</v>
      </c>
      <c r="S17" s="113"/>
      <c r="T17" s="103" t="str">
        <f aca="false" t="array" ref="T17:T17">IF(NOT(AND(ISNUMBER(C17),ISNUMBER(E17))),"XXX","")</f>
        <v/>
      </c>
      <c r="U17" s="104" t="n">
        <f aca="false" t="array" ref="U17:U17">SUM(Y17,Z17,AA17)</f>
        <v>0</v>
      </c>
      <c r="V17" s="104"/>
      <c r="W17" s="104"/>
      <c r="X17" s="104"/>
      <c r="Y17" s="104" t="n">
        <f aca="false" t="array" ref="Y17:Y17">IF(AND(ISNUMBER(RESULTADOS!C17),ISNUMBER(RESULTADOS!E17),ISNUMBER(C17),ISNUMBER(E17),C17=RESULTADOS!C17,E17=RESULTADOS!E17),2,0)</f>
        <v>0</v>
      </c>
      <c r="Z17" s="104" t="n">
        <f aca="false" t="array" ref="Z17: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4" t="n">
        <f aca="false" t="array" ref="AA17:AA17">IF(AND(ISNUMBER(RESULTADOS!C17),ISNUMBER(RESULTADOS!E17),ISNUMBER(C17),ISNUMBER(E17),AND(Z17=1,OR(C17=RESULTADOS!C17,E17=RESULTADOS!E17))),1,0)</f>
        <v>0</v>
      </c>
      <c r="AB17" s="82"/>
      <c r="AC17" s="112" t="s">
        <v>66</v>
      </c>
      <c r="AD17" s="112" t="s">
        <v>67</v>
      </c>
      <c r="AE17" s="112" t="s">
        <v>68</v>
      </c>
      <c r="AF17" s="82" t="str">
        <f aca="false" t="array" ref="AF17:AF17">IF(ISNUMBER(FIND("C",AC17,1)),SUBSTITUTE(AC17,"C","E"),SUBSTITUTE(AC17,"E","C"))</f>
        <v>C14</v>
      </c>
      <c r="AG17" s="82" t="str">
        <f aca="false" t="array" ref="AG17:AG17">IF(ISNUMBER(FIND("C",AD17,1)),SUBSTITUTE(AD17,"C","E"),SUBSTITUTE(AD17,"E","C"))</f>
        <v>E15</v>
      </c>
      <c r="AH17" s="82" t="str">
        <f aca="false" t="array" ref="AH17: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customFormat="false" ht="13.5" hidden="false" customHeight="true" outlineLevel="0" collapsed="false">
      <c r="A18" s="69"/>
      <c r="B18" s="117" t="s">
        <v>54</v>
      </c>
      <c r="C18" s="118" t="n">
        <v>1</v>
      </c>
      <c r="D18" s="119" t="s">
        <v>29</v>
      </c>
      <c r="E18" s="120" t="n">
        <v>0</v>
      </c>
      <c r="F18" s="129" t="s">
        <v>55</v>
      </c>
      <c r="G18" s="71"/>
      <c r="H18" s="122" t="n">
        <v>46197</v>
      </c>
      <c r="I18" s="123" t="n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aca="false" t="array" ref="T18:T18">IF(NOT(AND(ISNUMBER(C18),ISNUMBER(E18))),"XXX","")</f>
        <v/>
      </c>
      <c r="U18" s="104" t="n">
        <f aca="false" t="array" ref="U18:U18">SUM(Y18,Z18,AA18)</f>
        <v>0</v>
      </c>
      <c r="V18" s="104"/>
      <c r="W18" s="104"/>
      <c r="X18" s="104"/>
      <c r="Y18" s="104" t="n">
        <f aca="false" t="array" ref="Y18:Y18">IF(AND(ISNUMBER(RESULTADOS!C18),ISNUMBER(RESULTADOS!E18),ISNUMBER(C18),ISNUMBER(E18),C18=RESULTADOS!C18,E18=RESULTADOS!E18),2,0)</f>
        <v>0</v>
      </c>
      <c r="Z18" s="104" t="n">
        <f aca="false" t="array" ref="Z18: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4" t="n">
        <f aca="false" t="array" ref="AA18:AA18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customFormat="false" ht="13.5" hidden="false" customHeight="true" outlineLevel="0" collapsed="false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2"/>
      <c r="Y19" s="75"/>
      <c r="Z19" s="75"/>
      <c r="AA19" s="75"/>
      <c r="AB19" s="82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customFormat="false" ht="13.5" hidden="false" customHeight="true" outlineLevel="0" collapsed="false">
      <c r="A20" s="69"/>
      <c r="B20" s="85" t="s">
        <v>69</v>
      </c>
      <c r="C20" s="85"/>
      <c r="D20" s="85"/>
      <c r="E20" s="85"/>
      <c r="F20" s="85"/>
      <c r="G20" s="71"/>
      <c r="H20" s="86" t="s">
        <v>26</v>
      </c>
      <c r="I20" s="87" t="s">
        <v>27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04"/>
      <c r="V20" s="104"/>
      <c r="W20" s="104"/>
      <c r="X20" s="104"/>
      <c r="Y20" s="104"/>
      <c r="Z20" s="104"/>
      <c r="AA20" s="104"/>
      <c r="AB20" s="82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customFormat="false" ht="13.5" hidden="false" customHeight="true" outlineLevel="0" collapsed="false">
      <c r="A21" s="69"/>
      <c r="B21" s="92" t="s">
        <v>70</v>
      </c>
      <c r="C21" s="93" t="n">
        <v>2</v>
      </c>
      <c r="D21" s="94" t="s">
        <v>29</v>
      </c>
      <c r="E21" s="95" t="n">
        <v>2</v>
      </c>
      <c r="F21" s="96" t="s">
        <v>71</v>
      </c>
      <c r="G21" s="71"/>
      <c r="H21" s="97" t="n">
        <v>46186</v>
      </c>
      <c r="I21" s="98" t="n">
        <v>1.79166666666667</v>
      </c>
      <c r="J21" s="99"/>
      <c r="K21" s="127"/>
      <c r="L21" s="94" t="s">
        <v>31</v>
      </c>
      <c r="M21" s="94" t="s">
        <v>32</v>
      </c>
      <c r="N21" s="94" t="s">
        <v>33</v>
      </c>
      <c r="O21" s="94" t="s">
        <v>34</v>
      </c>
      <c r="P21" s="94" t="s">
        <v>35</v>
      </c>
      <c r="Q21" s="94" t="s">
        <v>36</v>
      </c>
      <c r="R21" s="101" t="s">
        <v>37</v>
      </c>
      <c r="S21" s="102"/>
      <c r="T21" s="103" t="str">
        <f aca="false" t="array" ref="T21:T21">IF(NOT(AND(ISNUMBER(C21),ISNUMBER(E21))),"XXX","")</f>
        <v/>
      </c>
      <c r="U21" s="104" t="n">
        <f aca="false" t="array" ref="U21:U21">SUM(Y21,Z21,AA21)</f>
        <v>0</v>
      </c>
      <c r="V21" s="104"/>
      <c r="W21" s="104"/>
      <c r="X21" s="104"/>
      <c r="Y21" s="104" t="n">
        <f aca="false" t="array" ref="Y21:Y21">IF(AND(ISNUMBER(RESULTADOS!C21),ISNUMBER(RESULTADOS!E21),ISNUMBER(C21),ISNUMBER(E21),C21=RESULTADOS!C21,E21=RESULTADOS!E21),2,0)</f>
        <v>0</v>
      </c>
      <c r="Z21" s="104" t="n">
        <f aca="false" t="array" ref="Z21: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4" t="n">
        <f aca="false" t="array" ref="AA21:AA21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customFormat="false" ht="13.5" hidden="false" customHeight="true" outlineLevel="0" collapsed="false">
      <c r="A22" s="69"/>
      <c r="B22" s="105" t="s">
        <v>72</v>
      </c>
      <c r="C22" s="106" t="n">
        <v>1</v>
      </c>
      <c r="D22" s="107" t="s">
        <v>29</v>
      </c>
      <c r="E22" s="108" t="n">
        <v>1</v>
      </c>
      <c r="F22" s="128" t="s">
        <v>73</v>
      </c>
      <c r="G22" s="71"/>
      <c r="H22" s="97" t="n">
        <v>46186</v>
      </c>
      <c r="I22" s="98" t="n">
        <v>1.91666666666667</v>
      </c>
      <c r="J22" s="99"/>
      <c r="K22" s="110" t="s">
        <v>70</v>
      </c>
      <c r="L22" s="104" t="n">
        <v>0</v>
      </c>
      <c r="M22" s="104" t="n">
        <f aca="false" t="array" ref="M22:M22">N22-O22</f>
        <v>0</v>
      </c>
      <c r="N22" s="104" t="n">
        <v>0</v>
      </c>
      <c r="O22" s="104" t="n">
        <v>0</v>
      </c>
      <c r="P22" s="104" t="n">
        <v>0</v>
      </c>
      <c r="Q22" s="104" t="n">
        <v>0</v>
      </c>
      <c r="R22" s="111" t="n">
        <v>0</v>
      </c>
      <c r="S22" s="102"/>
      <c r="T22" s="103" t="str">
        <f aca="false" t="array" ref="T22:T22">IF(NOT(AND(ISNUMBER(C22),ISNUMBER(E22))),"XXX","")</f>
        <v/>
      </c>
      <c r="U22" s="104" t="n">
        <f aca="false" t="array" ref="U22:U22">SUM(Y22,Z22,AA22)</f>
        <v>0</v>
      </c>
      <c r="V22" s="104"/>
      <c r="W22" s="104"/>
      <c r="X22" s="104"/>
      <c r="Y22" s="104" t="n">
        <f aca="false" t="array" ref="Y22:Y22">IF(AND(ISNUMBER(RESULTADOS!C22),ISNUMBER(RESULTADOS!E22),ISNUMBER(C22),ISNUMBER(E22),C22=RESULTADOS!C22,E22=RESULTADOS!E22),2,0)</f>
        <v>0</v>
      </c>
      <c r="Z22" s="104" t="n">
        <f aca="false" t="array" ref="Z22: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4" t="n">
        <f aca="false" t="array" ref="AA22:AA22">IF(AND(ISNUMBER(RESULTADOS!C22),ISNUMBER(RESULTADOS!E22),ISNUMBER(C22),ISNUMBER(E22),AND(Z22=1,OR(C22=RESULTADOS!C22,E22=RESULTADOS!E22))),1,0)</f>
        <v>0</v>
      </c>
      <c r="AB22" s="82"/>
      <c r="AC22" s="112" t="s">
        <v>74</v>
      </c>
      <c r="AD22" s="112" t="s">
        <v>75</v>
      </c>
      <c r="AE22" s="112" t="s">
        <v>76</v>
      </c>
      <c r="AF22" s="82" t="str">
        <f aca="false" t="array" ref="AF22:AF22">IF(ISNUMBER(FIND("C",AC22,1)),SUBSTITUTE(AC22,"C","E"),SUBSTITUTE(AC22,"E","C"))</f>
        <v>E21</v>
      </c>
      <c r="AG22" s="82" t="str">
        <f aca="false" t="array" ref="AG22:AG22">IF(ISNUMBER(FIND("C",AD22,1)),SUBSTITUTE(AD22,"C","E"),SUBSTITUTE(AD22,"E","C"))</f>
        <v>E24</v>
      </c>
      <c r="AH22" s="82" t="str">
        <f aca="false" t="array" ref="AH22: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customFormat="false" ht="12.75" hidden="false" customHeight="true" outlineLevel="0" collapsed="false">
      <c r="A23" s="69"/>
      <c r="B23" s="105" t="s">
        <v>73</v>
      </c>
      <c r="C23" s="106" t="n">
        <v>1</v>
      </c>
      <c r="D23" s="107" t="s">
        <v>29</v>
      </c>
      <c r="E23" s="108" t="n">
        <v>3</v>
      </c>
      <c r="F23" s="128" t="s">
        <v>71</v>
      </c>
      <c r="G23" s="71"/>
      <c r="H23" s="97" t="n">
        <v>46192</v>
      </c>
      <c r="I23" s="98" t="n">
        <v>1.79166666666667</v>
      </c>
      <c r="J23" s="99"/>
      <c r="K23" s="110" t="s">
        <v>73</v>
      </c>
      <c r="L23" s="104" t="n">
        <v>0</v>
      </c>
      <c r="M23" s="104" t="n">
        <f aca="false" t="array" ref="M23:M23">N23-O23</f>
        <v>0</v>
      </c>
      <c r="N23" s="104" t="n">
        <v>0</v>
      </c>
      <c r="O23" s="104" t="n">
        <v>0</v>
      </c>
      <c r="P23" s="104" t="n">
        <v>0</v>
      </c>
      <c r="Q23" s="104" t="n">
        <v>0</v>
      </c>
      <c r="R23" s="111" t="n">
        <v>0</v>
      </c>
      <c r="S23" s="113"/>
      <c r="T23" s="103" t="str">
        <f aca="false" t="array" ref="T23:T23">IF(NOT(AND(ISNUMBER(C23),ISNUMBER(E23))),"XXX","")</f>
        <v/>
      </c>
      <c r="U23" s="104" t="n">
        <f aca="false" t="array" ref="U23:U23">SUM(Y23,Z23,AA23)</f>
        <v>0</v>
      </c>
      <c r="V23" s="104"/>
      <c r="W23" s="104"/>
      <c r="X23" s="104"/>
      <c r="Y23" s="104" t="n">
        <f aca="false" t="array" ref="Y23:Y23">IF(AND(ISNUMBER(RESULTADOS!C23),ISNUMBER(RESULTADOS!E23),ISNUMBER(C23),ISNUMBER(E23),C23=RESULTADOS!C23,E23=RESULTADOS!E23),2,0)</f>
        <v>0</v>
      </c>
      <c r="Z23" s="104" t="n">
        <f aca="false" t="array" ref="Z23: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4" t="n">
        <f aca="false" t="array" ref="AA23:AA23">IF(AND(ISNUMBER(RESULTADOS!C23),ISNUMBER(RESULTADOS!E23),ISNUMBER(C23),ISNUMBER(E23),AND(Z23=1,OR(C23=RESULTADOS!C23,E23=RESULTADOS!E23))),1,0)</f>
        <v>0</v>
      </c>
      <c r="AB23" s="82"/>
      <c r="AC23" s="112" t="s">
        <v>77</v>
      </c>
      <c r="AD23" s="112" t="s">
        <v>78</v>
      </c>
      <c r="AE23" s="112" t="s">
        <v>79</v>
      </c>
      <c r="AF23" s="82" t="str">
        <f aca="false" t="array" ref="AF23:AF23">IF(ISNUMBER(FIND("C",AC23,1)),SUBSTITUTE(AC23,"C","E"),SUBSTITUTE(AC23,"E","C"))</f>
        <v>C22</v>
      </c>
      <c r="AG23" s="82" t="str">
        <f aca="false" t="array" ref="AG23:AG23">IF(ISNUMBER(FIND("C",AD23,1)),SUBSTITUTE(AD23,"C","E"),SUBSTITUTE(AD23,"E","C"))</f>
        <v>E23</v>
      </c>
      <c r="AH23" s="82" t="str">
        <f aca="false" t="array" ref="AH23: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customFormat="false" ht="12.75" hidden="false" customHeight="true" outlineLevel="0" collapsed="false">
      <c r="A24" s="69"/>
      <c r="B24" s="105" t="s">
        <v>70</v>
      </c>
      <c r="C24" s="106" t="n">
        <v>4</v>
      </c>
      <c r="D24" s="107" t="s">
        <v>29</v>
      </c>
      <c r="E24" s="108" t="n">
        <v>1</v>
      </c>
      <c r="F24" s="128" t="s">
        <v>72</v>
      </c>
      <c r="G24" s="71"/>
      <c r="H24" s="97" t="n">
        <v>46192</v>
      </c>
      <c r="I24" s="98" t="n">
        <v>1.89583333333333</v>
      </c>
      <c r="J24" s="99"/>
      <c r="K24" s="110" t="s">
        <v>72</v>
      </c>
      <c r="L24" s="104" t="n">
        <v>0</v>
      </c>
      <c r="M24" s="104" t="n">
        <f aca="false" t="array" ref="M24:M24">N24-O24</f>
        <v>0</v>
      </c>
      <c r="N24" s="104" t="n">
        <v>0</v>
      </c>
      <c r="O24" s="104" t="n">
        <v>0</v>
      </c>
      <c r="P24" s="104" t="n">
        <v>0</v>
      </c>
      <c r="Q24" s="104" t="n">
        <v>0</v>
      </c>
      <c r="R24" s="111" t="n">
        <v>0</v>
      </c>
      <c r="S24" s="113"/>
      <c r="T24" s="103" t="str">
        <f aca="false" t="array" ref="T24:T24">IF(NOT(AND(ISNUMBER(C24),ISNUMBER(E24))),"XXX","")</f>
        <v/>
      </c>
      <c r="U24" s="104" t="n">
        <f aca="false" t="array" ref="U24:U24">SUM(Y24,Z24,AA24)</f>
        <v>0</v>
      </c>
      <c r="V24" s="104"/>
      <c r="W24" s="104"/>
      <c r="X24" s="104"/>
      <c r="Y24" s="104" t="n">
        <f aca="false" t="array" ref="Y24:Y24">IF(AND(ISNUMBER(RESULTADOS!C24),ISNUMBER(RESULTADOS!E24),ISNUMBER(C24),ISNUMBER(E24),C24=RESULTADOS!C24,E24=RESULTADOS!E24),2,0)</f>
        <v>0</v>
      </c>
      <c r="Z24" s="104" t="n">
        <f aca="false" t="array" ref="Z24: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4" t="n">
        <f aca="false" t="array" ref="AA24:AA24">IF(AND(ISNUMBER(RESULTADOS!C24),ISNUMBER(RESULTADOS!E24),ISNUMBER(C24),ISNUMBER(E24),AND(Z24=1,OR(C24=RESULTADOS!C24,E24=RESULTADOS!E24))),1,0)</f>
        <v>0</v>
      </c>
      <c r="AB24" s="82"/>
      <c r="AC24" s="112" t="s">
        <v>80</v>
      </c>
      <c r="AD24" s="112" t="s">
        <v>81</v>
      </c>
      <c r="AE24" s="112" t="s">
        <v>82</v>
      </c>
      <c r="AF24" s="82" t="str">
        <f aca="false" t="array" ref="AF24:AF24">IF(ISNUMBER(FIND("C",AC24,1)),SUBSTITUTE(AC24,"C","E"),SUBSTITUTE(AC24,"E","C"))</f>
        <v>E22</v>
      </c>
      <c r="AG24" s="82" t="str">
        <f aca="false" t="array" ref="AG24:AG24">IF(ISNUMBER(FIND("C",AD24,1)),SUBSTITUTE(AD24,"C","E"),SUBSTITUTE(AD24,"E","C"))</f>
        <v>C24</v>
      </c>
      <c r="AH24" s="82" t="str">
        <f aca="false" t="array" ref="AH24: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customFormat="false" ht="12.75" hidden="false" customHeight="true" outlineLevel="0" collapsed="false">
      <c r="A25" s="69"/>
      <c r="B25" s="105" t="s">
        <v>71</v>
      </c>
      <c r="C25" s="106" t="n">
        <v>2</v>
      </c>
      <c r="D25" s="107" t="s">
        <v>29</v>
      </c>
      <c r="E25" s="108" t="n">
        <v>1</v>
      </c>
      <c r="F25" s="128" t="s">
        <v>72</v>
      </c>
      <c r="G25" s="71"/>
      <c r="H25" s="97" t="n">
        <v>46197</v>
      </c>
      <c r="I25" s="98" t="n">
        <v>1.79166666666667</v>
      </c>
      <c r="J25" s="99"/>
      <c r="K25" s="114" t="s">
        <v>71</v>
      </c>
      <c r="L25" s="115" t="n">
        <v>0</v>
      </c>
      <c r="M25" s="115" t="n">
        <f aca="false" t="array" ref="M25:M25">N25-O25</f>
        <v>0</v>
      </c>
      <c r="N25" s="115" t="n">
        <v>0</v>
      </c>
      <c r="O25" s="115" t="n">
        <v>0</v>
      </c>
      <c r="P25" s="115" t="n">
        <v>0</v>
      </c>
      <c r="Q25" s="115" t="n">
        <v>0</v>
      </c>
      <c r="R25" s="116" t="n">
        <v>0</v>
      </c>
      <c r="S25" s="113"/>
      <c r="T25" s="103" t="str">
        <f aca="false" t="array" ref="T25:T25">IF(NOT(AND(ISNUMBER(C25),ISNUMBER(E25))),"XXX","")</f>
        <v/>
      </c>
      <c r="U25" s="104" t="n">
        <f aca="false" t="array" ref="U25:U25">SUM(Y25,Z25,AA25)</f>
        <v>0</v>
      </c>
      <c r="V25" s="104"/>
      <c r="W25" s="104"/>
      <c r="X25" s="104"/>
      <c r="Y25" s="104" t="n">
        <f aca="false" t="array" ref="Y25:Y25">IF(AND(ISNUMBER(RESULTADOS!C25),ISNUMBER(RESULTADOS!E25),ISNUMBER(C25),ISNUMBER(E25),C25=RESULTADOS!C25,E25=RESULTADOS!E25),2,0)</f>
        <v>0</v>
      </c>
      <c r="Z25" s="104" t="n">
        <f aca="false" t="array" ref="Z25: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4" t="n">
        <f aca="false" t="array" ref="AA25:AA25">IF(AND(ISNUMBER(RESULTADOS!C25),ISNUMBER(RESULTADOS!E25),ISNUMBER(C25),ISNUMBER(E25),AND(Z25=1,OR(C25=RESULTADOS!C25,E25=RESULTADOS!E25))),1,0)</f>
        <v>0</v>
      </c>
      <c r="AB25" s="82"/>
      <c r="AC25" s="112" t="s">
        <v>83</v>
      </c>
      <c r="AD25" s="112" t="s">
        <v>84</v>
      </c>
      <c r="AE25" s="112" t="s">
        <v>85</v>
      </c>
      <c r="AF25" s="82" t="str">
        <f aca="false" t="array" ref="AF25:AF25">IF(ISNUMBER(FIND("C",AC25,1)),SUBSTITUTE(AC25,"C","E"),SUBSTITUTE(AC25,"E","C"))</f>
        <v>C21</v>
      </c>
      <c r="AG25" s="82" t="str">
        <f aca="false" t="array" ref="AG25:AG25">IF(ISNUMBER(FIND("C",AD25,1)),SUBSTITUTE(AD25,"C","E"),SUBSTITUTE(AD25,"E","C"))</f>
        <v>C23</v>
      </c>
      <c r="AH25" s="82" t="str">
        <f aca="false" t="array" ref="AH25: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customFormat="false" ht="13.5" hidden="false" customHeight="true" outlineLevel="0" collapsed="false">
      <c r="A26" s="69"/>
      <c r="B26" s="117" t="s">
        <v>73</v>
      </c>
      <c r="C26" s="118" t="n">
        <v>0</v>
      </c>
      <c r="D26" s="119" t="s">
        <v>29</v>
      </c>
      <c r="E26" s="120" t="n">
        <v>1</v>
      </c>
      <c r="F26" s="129" t="s">
        <v>70</v>
      </c>
      <c r="G26" s="71"/>
      <c r="H26" s="122" t="n">
        <v>46197</v>
      </c>
      <c r="I26" s="123" t="n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aca="false" t="array" ref="T26:T26">IF(NOT(AND(ISNUMBER(C26),ISNUMBER(E26))),"XXX","")</f>
        <v/>
      </c>
      <c r="U26" s="104" t="n">
        <f aca="false" t="array" ref="U26:U26">SUM(Y26,Z26,AA26)</f>
        <v>0</v>
      </c>
      <c r="V26" s="104"/>
      <c r="W26" s="104"/>
      <c r="X26" s="104"/>
      <c r="Y26" s="104" t="n">
        <f aca="false" t="array" ref="Y26:Y26">IF(AND(ISNUMBER(RESULTADOS!C26),ISNUMBER(RESULTADOS!E26),ISNUMBER(C26),ISNUMBER(E26),C26=RESULTADOS!C26,E26=RESULTADOS!E26),2,0)</f>
        <v>0</v>
      </c>
      <c r="Z26" s="104" t="n">
        <f aca="false" t="array" ref="Z26: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4" t="n">
        <f aca="false" t="array" ref="AA26:AA26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customFormat="false" ht="13.5" hidden="false" customHeight="true" outlineLevel="0" collapsed="false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2"/>
      <c r="Y27" s="75"/>
      <c r="Z27" s="75"/>
      <c r="AA27" s="75"/>
      <c r="AB27" s="82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customFormat="false" ht="13.5" hidden="false" customHeight="true" outlineLevel="0" collapsed="false">
      <c r="A28" s="69"/>
      <c r="B28" s="85" t="s">
        <v>86</v>
      </c>
      <c r="C28" s="85"/>
      <c r="D28" s="85"/>
      <c r="E28" s="85"/>
      <c r="F28" s="85"/>
      <c r="G28" s="71"/>
      <c r="H28" s="86" t="s">
        <v>26</v>
      </c>
      <c r="I28" s="87" t="s">
        <v>27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04"/>
      <c r="V28" s="104"/>
      <c r="W28" s="104"/>
      <c r="X28" s="104"/>
      <c r="Y28" s="104"/>
      <c r="Z28" s="104"/>
      <c r="AA28" s="104"/>
      <c r="AB28" s="82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customFormat="false" ht="13.5" hidden="false" customHeight="true" outlineLevel="0" collapsed="false">
      <c r="A29" s="69"/>
      <c r="B29" s="92" t="s">
        <v>87</v>
      </c>
      <c r="C29" s="93" t="n">
        <v>3</v>
      </c>
      <c r="D29" s="94" t="s">
        <v>29</v>
      </c>
      <c r="E29" s="95" t="n">
        <v>0</v>
      </c>
      <c r="F29" s="96" t="s">
        <v>88</v>
      </c>
      <c r="G29" s="71"/>
      <c r="H29" s="97" t="n">
        <v>46185</v>
      </c>
      <c r="I29" s="98" t="n">
        <v>1.91666666666667</v>
      </c>
      <c r="J29" s="99"/>
      <c r="K29" s="100"/>
      <c r="L29" s="94" t="s">
        <v>31</v>
      </c>
      <c r="M29" s="94" t="s">
        <v>32</v>
      </c>
      <c r="N29" s="94" t="s">
        <v>33</v>
      </c>
      <c r="O29" s="94" t="s">
        <v>34</v>
      </c>
      <c r="P29" s="94" t="s">
        <v>35</v>
      </c>
      <c r="Q29" s="94" t="s">
        <v>36</v>
      </c>
      <c r="R29" s="101" t="s">
        <v>37</v>
      </c>
      <c r="S29" s="102"/>
      <c r="T29" s="103" t="str">
        <f aca="false" t="array" ref="T29:T29">IF(NOT(AND(ISNUMBER(C29),ISNUMBER(E29))),"XXX","")</f>
        <v/>
      </c>
      <c r="U29" s="104" t="n">
        <f aca="false" t="array" ref="U29:U29">SUM(Y29,Z29,AA29)</f>
        <v>0</v>
      </c>
      <c r="V29" s="104"/>
      <c r="W29" s="104"/>
      <c r="X29" s="104"/>
      <c r="Y29" s="104" t="n">
        <f aca="false" t="array" ref="Y29:Y29">IF(AND(ISNUMBER(RESULTADOS!C29),ISNUMBER(RESULTADOS!E29),ISNUMBER(C29),ISNUMBER(E29),C29=RESULTADOS!C29,E29=RESULTADOS!E29),2,0)</f>
        <v>0</v>
      </c>
      <c r="Z29" s="104" t="n">
        <f aca="false" t="array" ref="Z29: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4" t="n">
        <f aca="false" t="array" ref="AA29:AA29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customFormat="false" ht="13.5" hidden="false" customHeight="true" outlineLevel="0" collapsed="false">
      <c r="A30" s="69"/>
      <c r="B30" s="105" t="s">
        <v>89</v>
      </c>
      <c r="C30" s="106" t="n">
        <v>1</v>
      </c>
      <c r="D30" s="107" t="s">
        <v>29</v>
      </c>
      <c r="E30" s="108" t="n">
        <v>1</v>
      </c>
      <c r="F30" s="128" t="s">
        <v>90</v>
      </c>
      <c r="G30" s="71"/>
      <c r="H30" s="97" t="n">
        <v>46187</v>
      </c>
      <c r="I30" s="98" t="n">
        <v>1.04166666666667</v>
      </c>
      <c r="J30" s="99"/>
      <c r="K30" s="110" t="s">
        <v>89</v>
      </c>
      <c r="L30" s="104" t="n">
        <v>0</v>
      </c>
      <c r="M30" s="104" t="n">
        <f aca="false" t="array" ref="M30:M30">N30-O30</f>
        <v>0</v>
      </c>
      <c r="N30" s="104" t="n">
        <v>0</v>
      </c>
      <c r="O30" s="104" t="n">
        <v>0</v>
      </c>
      <c r="P30" s="104" t="n">
        <v>0</v>
      </c>
      <c r="Q30" s="104" t="n">
        <v>0</v>
      </c>
      <c r="R30" s="111" t="n">
        <v>0</v>
      </c>
      <c r="S30" s="102"/>
      <c r="T30" s="103" t="str">
        <f aca="false" t="array" ref="T30:T30">IF(NOT(AND(ISNUMBER(C30),ISNUMBER(E30))),"XXX","")</f>
        <v/>
      </c>
      <c r="U30" s="104" t="n">
        <f aca="false" t="array" ref="U30:U30">SUM(Y30,Z30,AA30)</f>
        <v>0</v>
      </c>
      <c r="V30" s="104"/>
      <c r="W30" s="104"/>
      <c r="X30" s="104"/>
      <c r="Y30" s="104" t="n">
        <f aca="false" t="array" ref="Y30:Y30">IF(AND(ISNUMBER(RESULTADOS!C30),ISNUMBER(RESULTADOS!E30),ISNUMBER(C30),ISNUMBER(E30),C30=RESULTADOS!C30,E30=RESULTADOS!E30),2,0)</f>
        <v>0</v>
      </c>
      <c r="Z30" s="104" t="n">
        <f aca="false" t="array" ref="Z30: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4" t="n">
        <f aca="false" t="array" ref="AA30:AA30">IF(AND(ISNUMBER(RESULTADOS!C30),ISNUMBER(RESULTADOS!E30),ISNUMBER(C30),ISNUMBER(E30),AND(Z30=1,OR(C30=RESULTADOS!C30,E30=RESULTADOS!E30))),1,0)</f>
        <v>0</v>
      </c>
      <c r="AB30" s="82"/>
      <c r="AC30" s="112" t="s">
        <v>91</v>
      </c>
      <c r="AD30" s="112" t="s">
        <v>92</v>
      </c>
      <c r="AE30" s="112" t="s">
        <v>93</v>
      </c>
      <c r="AF30" s="82" t="str">
        <f aca="false" t="array" ref="AF30:AF30">IF(ISNUMBER(FIND("C",AC30,1)),SUBSTITUTE(AC30,"C","E"),SUBSTITUTE(AC30,"E","C"))</f>
        <v>E30</v>
      </c>
      <c r="AG30" s="82" t="str">
        <f aca="false" t="array" ref="AG30:AG30">IF(ISNUMBER(FIND("C",AD30,1)),SUBSTITUTE(AD30,"C","E"),SUBSTITUTE(AD30,"E","C"))</f>
        <v>C31</v>
      </c>
      <c r="AH30" s="82" t="str">
        <f aca="false" t="array" ref="AH30: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customFormat="false" ht="12.75" hidden="false" customHeight="true" outlineLevel="0" collapsed="false">
      <c r="A31" s="69"/>
      <c r="B31" s="105" t="s">
        <v>87</v>
      </c>
      <c r="C31" s="106" t="n">
        <v>3</v>
      </c>
      <c r="D31" s="107" t="s">
        <v>29</v>
      </c>
      <c r="E31" s="108" t="n">
        <v>1</v>
      </c>
      <c r="F31" s="128" t="s">
        <v>89</v>
      </c>
      <c r="G31" s="71"/>
      <c r="H31" s="97" t="n">
        <v>46192</v>
      </c>
      <c r="I31" s="98" t="n">
        <v>1.66666666666667</v>
      </c>
      <c r="J31" s="99"/>
      <c r="K31" s="110" t="s">
        <v>87</v>
      </c>
      <c r="L31" s="104" t="n">
        <v>0</v>
      </c>
      <c r="M31" s="104" t="n">
        <f aca="false" t="array" ref="M31:M31">N31-O31</f>
        <v>0</v>
      </c>
      <c r="N31" s="104" t="n">
        <v>0</v>
      </c>
      <c r="O31" s="104" t="n">
        <v>0</v>
      </c>
      <c r="P31" s="104" t="n">
        <v>0</v>
      </c>
      <c r="Q31" s="104" t="n">
        <v>0</v>
      </c>
      <c r="R31" s="111" t="n">
        <v>0</v>
      </c>
      <c r="S31" s="113"/>
      <c r="T31" s="103" t="str">
        <f aca="false" t="array" ref="T31:T31">IF(NOT(AND(ISNUMBER(C31),ISNUMBER(E31))),"XXX","")</f>
        <v/>
      </c>
      <c r="U31" s="104" t="n">
        <f aca="false" t="array" ref="U31:U31">SUM(Y31,Z31,AA31)</f>
        <v>0</v>
      </c>
      <c r="V31" s="104"/>
      <c r="W31" s="104"/>
      <c r="X31" s="104"/>
      <c r="Y31" s="104" t="n">
        <f aca="false" t="array" ref="Y31:Y31">IF(AND(ISNUMBER(RESULTADOS!C31),ISNUMBER(RESULTADOS!E31),ISNUMBER(C31),ISNUMBER(E31),C31=RESULTADOS!C31,E31=RESULTADOS!E31),2,0)</f>
        <v>0</v>
      </c>
      <c r="Z31" s="104" t="n">
        <f aca="false" t="array" ref="Z31: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4" t="n">
        <f aca="false" t="array" ref="AA31:AA31">IF(AND(ISNUMBER(RESULTADOS!C31),ISNUMBER(RESULTADOS!E31),ISNUMBER(C31),ISNUMBER(E31),AND(Z31=1,OR(C31=RESULTADOS!C31,E31=RESULTADOS!E31))),1,0)</f>
        <v>0</v>
      </c>
      <c r="AB31" s="82"/>
      <c r="AC31" s="112" t="s">
        <v>94</v>
      </c>
      <c r="AD31" s="112" t="s">
        <v>95</v>
      </c>
      <c r="AE31" s="112" t="s">
        <v>96</v>
      </c>
      <c r="AF31" s="82" t="str">
        <f aca="false" t="array" ref="AF31:AF31">IF(ISNUMBER(FIND("C",AC31,1)),SUBSTITUTE(AC31,"C","E"),SUBSTITUTE(AC31,"E","C"))</f>
        <v>E29</v>
      </c>
      <c r="AG31" s="82" t="str">
        <f aca="false" t="array" ref="AG31:AG31">IF(ISNUMBER(FIND("C",AD31,1)),SUBSTITUTE(AD31,"C","E"),SUBSTITUTE(AD31,"E","C"))</f>
        <v>E31</v>
      </c>
      <c r="AH31" s="82" t="str">
        <f aca="false" t="array" ref="AH31: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customFormat="false" ht="12.75" hidden="false" customHeight="true" outlineLevel="0" collapsed="false">
      <c r="A32" s="69"/>
      <c r="B32" s="105" t="s">
        <v>90</v>
      </c>
      <c r="C32" s="106" t="n">
        <v>2</v>
      </c>
      <c r="D32" s="107" t="s">
        <v>29</v>
      </c>
      <c r="E32" s="108" t="n">
        <v>2</v>
      </c>
      <c r="F32" s="128" t="s">
        <v>88</v>
      </c>
      <c r="G32" s="71"/>
      <c r="H32" s="97" t="n">
        <v>46193</v>
      </c>
      <c r="I32" s="98" t="n">
        <v>1.04166666666667</v>
      </c>
      <c r="J32" s="99"/>
      <c r="K32" s="110" t="s">
        <v>88</v>
      </c>
      <c r="L32" s="104" t="n">
        <v>0</v>
      </c>
      <c r="M32" s="104" t="n">
        <f aca="false" t="array" ref="M32:M32">N32-O32</f>
        <v>0</v>
      </c>
      <c r="N32" s="104" t="n">
        <v>0</v>
      </c>
      <c r="O32" s="104" t="n">
        <v>0</v>
      </c>
      <c r="P32" s="104" t="n">
        <v>0</v>
      </c>
      <c r="Q32" s="104" t="n">
        <v>0</v>
      </c>
      <c r="R32" s="111" t="n">
        <v>0</v>
      </c>
      <c r="S32" s="113"/>
      <c r="T32" s="103" t="str">
        <f aca="false" t="array" ref="T32:T32">IF(NOT(AND(ISNUMBER(C32),ISNUMBER(E32))),"XXX","")</f>
        <v/>
      </c>
      <c r="U32" s="104" t="n">
        <f aca="false" t="array" ref="U32:U32">SUM(Y32,Z32,AA32)</f>
        <v>0</v>
      </c>
      <c r="V32" s="104"/>
      <c r="W32" s="104"/>
      <c r="X32" s="104"/>
      <c r="Y32" s="104" t="n">
        <f aca="false" t="array" ref="Y32:Y32">IF(AND(ISNUMBER(RESULTADOS!C32),ISNUMBER(RESULTADOS!E32),ISNUMBER(C32),ISNUMBER(E32),C32=RESULTADOS!C32,E32=RESULTADOS!E32),2,0)</f>
        <v>0</v>
      </c>
      <c r="Z32" s="104" t="n">
        <f aca="false" t="array" ref="Z32: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4" t="n">
        <f aca="false" t="array" ref="AA32:AA32">IF(AND(ISNUMBER(RESULTADOS!C32),ISNUMBER(RESULTADOS!E32),ISNUMBER(C32),ISNUMBER(E32),AND(Z32=1,OR(C32=RESULTADOS!C32,E32=RESULTADOS!E32))),1,0)</f>
        <v>0</v>
      </c>
      <c r="AB32" s="82"/>
      <c r="AC32" s="112" t="s">
        <v>97</v>
      </c>
      <c r="AD32" s="112" t="s">
        <v>98</v>
      </c>
      <c r="AE32" s="112" t="s">
        <v>93</v>
      </c>
      <c r="AF32" s="82" t="str">
        <f aca="false" t="array" ref="AF32:AF32">IF(ISNUMBER(FIND("C",AC32,1)),SUBSTITUTE(AC32,"C","E"),SUBSTITUTE(AC32,"E","C"))</f>
        <v>C29</v>
      </c>
      <c r="AG32" s="82" t="str">
        <f aca="false" t="array" ref="AG32:AG32">IF(ISNUMBER(FIND("C",AD32,1)),SUBSTITUTE(AD32,"C","E"),SUBSTITUTE(AD32,"E","C"))</f>
        <v>C32</v>
      </c>
      <c r="AH32" s="82" t="str">
        <f aca="false" t="array" ref="AH32: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customFormat="false" ht="12.75" hidden="false" customHeight="true" outlineLevel="0" collapsed="false">
      <c r="A33" s="69"/>
      <c r="B33" s="105" t="s">
        <v>90</v>
      </c>
      <c r="C33" s="106" t="n">
        <v>1</v>
      </c>
      <c r="D33" s="107" t="s">
        <v>29</v>
      </c>
      <c r="E33" s="108" t="n">
        <v>1</v>
      </c>
      <c r="F33" s="128" t="s">
        <v>87</v>
      </c>
      <c r="G33" s="71"/>
      <c r="H33" s="97" t="n">
        <v>46198</v>
      </c>
      <c r="I33" s="98" t="n">
        <v>1.95833333333333</v>
      </c>
      <c r="J33" s="99"/>
      <c r="K33" s="114" t="s">
        <v>90</v>
      </c>
      <c r="L33" s="115" t="n">
        <v>0</v>
      </c>
      <c r="M33" s="115" t="n">
        <f aca="false" t="array" ref="M33:M33">N33-O33</f>
        <v>0</v>
      </c>
      <c r="N33" s="115" t="n">
        <v>0</v>
      </c>
      <c r="O33" s="115" t="n">
        <v>0</v>
      </c>
      <c r="P33" s="115" t="n">
        <v>0</v>
      </c>
      <c r="Q33" s="115" t="n">
        <v>0</v>
      </c>
      <c r="R33" s="116" t="n">
        <v>0</v>
      </c>
      <c r="S33" s="113"/>
      <c r="T33" s="103" t="str">
        <f aca="false" t="array" ref="T33:T33">IF(NOT(AND(ISNUMBER(C33),ISNUMBER(E33))),"XXX","")</f>
        <v/>
      </c>
      <c r="U33" s="104" t="n">
        <f aca="false" t="array" ref="U33:U33">SUM(Y33,Z33,AA33)</f>
        <v>0</v>
      </c>
      <c r="V33" s="104"/>
      <c r="W33" s="104"/>
      <c r="X33" s="104"/>
      <c r="Y33" s="104" t="n">
        <f aca="false" t="array" ref="Y33:Y33">IF(AND(ISNUMBER(RESULTADOS!C33),ISNUMBER(RESULTADOS!E33),ISNUMBER(C33),ISNUMBER(E33),C33=RESULTADOS!C33,E33=RESULTADOS!E33),2,0)</f>
        <v>0</v>
      </c>
      <c r="Z33" s="104" t="n">
        <f aca="false" t="array" ref="Z33: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4" t="n">
        <f aca="false" t="array" ref="AA33:AA33">IF(AND(ISNUMBER(RESULTADOS!C33),ISNUMBER(RESULTADOS!E33),ISNUMBER(C33),ISNUMBER(E33),AND(Z33=1,OR(C33=RESULTADOS!C33,E33=RESULTADOS!E33))),1,0)</f>
        <v>0</v>
      </c>
      <c r="AB33" s="82"/>
      <c r="AC33" s="112" t="s">
        <v>99</v>
      </c>
      <c r="AD33" s="112" t="s">
        <v>100</v>
      </c>
      <c r="AE33" s="112" t="s">
        <v>101</v>
      </c>
      <c r="AF33" s="82" t="str">
        <f aca="false" t="array" ref="AF33:AF33">IF(ISNUMBER(FIND("C",AC33,1)),SUBSTITUTE(AC33,"C","E"),SUBSTITUTE(AC33,"E","C"))</f>
        <v>C30</v>
      </c>
      <c r="AG33" s="82" t="str">
        <f aca="false" t="array" ref="AG33:AG33">IF(ISNUMBER(FIND("C",AD33,1)),SUBSTITUTE(AD33,"C","E"),SUBSTITUTE(AD33,"E","C"))</f>
        <v>E32</v>
      </c>
      <c r="AH33" s="82" t="str">
        <f aca="false" t="array" ref="AH33: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customFormat="false" ht="13.5" hidden="false" customHeight="true" outlineLevel="0" collapsed="false">
      <c r="A34" s="69"/>
      <c r="B34" s="117" t="s">
        <v>88</v>
      </c>
      <c r="C34" s="118" t="n">
        <v>2</v>
      </c>
      <c r="D34" s="119" t="s">
        <v>29</v>
      </c>
      <c r="E34" s="120" t="n">
        <v>1</v>
      </c>
      <c r="F34" s="129" t="s">
        <v>89</v>
      </c>
      <c r="G34" s="71"/>
      <c r="H34" s="122" t="n">
        <v>46198</v>
      </c>
      <c r="I34" s="123" t="n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aca="false" t="array" ref="T34:T34">IF(NOT(AND(ISNUMBER(C34),ISNUMBER(E34))),"XXX","")</f>
        <v/>
      </c>
      <c r="U34" s="104" t="n">
        <f aca="false" t="array" ref="U34:U34">SUM(Y34,Z34,AA34)</f>
        <v>0</v>
      </c>
      <c r="V34" s="104"/>
      <c r="W34" s="104"/>
      <c r="X34" s="104"/>
      <c r="Y34" s="104" t="n">
        <f aca="false" t="array" ref="Y34:Y34">IF(AND(ISNUMBER(RESULTADOS!C34),ISNUMBER(RESULTADOS!E34),ISNUMBER(C34),ISNUMBER(E34),C34=RESULTADOS!C34,E34=RESULTADOS!E34),2,0)</f>
        <v>0</v>
      </c>
      <c r="Z34" s="104" t="n">
        <f aca="false" t="array" ref="Z34: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4" t="n">
        <f aca="false" t="array" ref="AA34:AA34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customFormat="false" ht="13.5" hidden="false" customHeight="true" outlineLevel="0" collapsed="false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2"/>
      <c r="Y35" s="75"/>
      <c r="Z35" s="75"/>
      <c r="AA35" s="75"/>
      <c r="AB35" s="82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customFormat="false" ht="13.5" hidden="false" customHeight="true" outlineLevel="0" collapsed="false">
      <c r="A36" s="69"/>
      <c r="B36" s="85" t="s">
        <v>102</v>
      </c>
      <c r="C36" s="85"/>
      <c r="D36" s="85"/>
      <c r="E36" s="85"/>
      <c r="F36" s="85"/>
      <c r="G36" s="71"/>
      <c r="H36" s="86" t="s">
        <v>26</v>
      </c>
      <c r="I36" s="87" t="s">
        <v>27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04"/>
      <c r="V36" s="104"/>
      <c r="W36" s="104"/>
      <c r="X36" s="104"/>
      <c r="Y36" s="104"/>
      <c r="Z36" s="104"/>
      <c r="AA36" s="104"/>
      <c r="AB36" s="82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customFormat="false" ht="13.5" hidden="false" customHeight="true" outlineLevel="0" collapsed="false">
      <c r="A37" s="69"/>
      <c r="B37" s="92" t="s">
        <v>103</v>
      </c>
      <c r="C37" s="93" t="n">
        <v>4</v>
      </c>
      <c r="D37" s="94" t="s">
        <v>29</v>
      </c>
      <c r="E37" s="95" t="n">
        <v>1</v>
      </c>
      <c r="F37" s="131" t="s">
        <v>104</v>
      </c>
      <c r="G37" s="71"/>
      <c r="H37" s="97" t="n">
        <v>46187</v>
      </c>
      <c r="I37" s="98" t="n">
        <v>1.58333333333333</v>
      </c>
      <c r="J37" s="99"/>
      <c r="K37" s="100"/>
      <c r="L37" s="94" t="s">
        <v>31</v>
      </c>
      <c r="M37" s="94" t="s">
        <v>32</v>
      </c>
      <c r="N37" s="94" t="s">
        <v>33</v>
      </c>
      <c r="O37" s="94" t="s">
        <v>34</v>
      </c>
      <c r="P37" s="94" t="s">
        <v>35</v>
      </c>
      <c r="Q37" s="94" t="s">
        <v>36</v>
      </c>
      <c r="R37" s="101" t="s">
        <v>37</v>
      </c>
      <c r="S37" s="102"/>
      <c r="T37" s="103" t="str">
        <f aca="false" t="array" ref="T37:T37">IF(NOT(AND(ISNUMBER(C37),ISNUMBER(E37))),"XXX","")</f>
        <v/>
      </c>
      <c r="U37" s="104" t="n">
        <f aca="false" t="array" ref="U37:U37">SUM(Y37,Z37,AA37)</f>
        <v>0</v>
      </c>
      <c r="V37" s="104"/>
      <c r="W37" s="104"/>
      <c r="X37" s="104"/>
      <c r="Y37" s="104" t="n">
        <f aca="false" t="array" ref="Y37:Y37">IF(AND(ISNUMBER(RESULTADOS!C37),ISNUMBER(RESULTADOS!E37),ISNUMBER(C37),ISNUMBER(E37),C37=RESULTADOS!C37,E37=RESULTADOS!E37),2,0)</f>
        <v>0</v>
      </c>
      <c r="Z37" s="104" t="n">
        <f aca="false" t="array" ref="Z37: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4" t="n">
        <f aca="false" t="array" ref="AA37:AA37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customFormat="false" ht="13.5" hidden="false" customHeight="true" outlineLevel="0" collapsed="false">
      <c r="A38" s="69"/>
      <c r="B38" s="105" t="s">
        <v>105</v>
      </c>
      <c r="C38" s="106" t="n">
        <v>3</v>
      </c>
      <c r="D38" s="107" t="s">
        <v>29</v>
      </c>
      <c r="E38" s="108" t="n">
        <v>0</v>
      </c>
      <c r="F38" s="109" t="s">
        <v>106</v>
      </c>
      <c r="G38" s="71"/>
      <c r="H38" s="97" t="n">
        <v>46187</v>
      </c>
      <c r="I38" s="98" t="n">
        <v>1.83333333333333</v>
      </c>
      <c r="J38" s="99"/>
      <c r="K38" s="132" t="s">
        <v>103</v>
      </c>
      <c r="L38" s="104" t="n">
        <v>0</v>
      </c>
      <c r="M38" s="104" t="n">
        <f aca="false" t="array" ref="M38:M38">N38-O38</f>
        <v>0</v>
      </c>
      <c r="N38" s="104" t="n">
        <v>0</v>
      </c>
      <c r="O38" s="104" t="n">
        <v>0</v>
      </c>
      <c r="P38" s="104" t="n">
        <v>0</v>
      </c>
      <c r="Q38" s="104" t="n">
        <v>0</v>
      </c>
      <c r="R38" s="111" t="n">
        <v>0</v>
      </c>
      <c r="S38" s="102"/>
      <c r="T38" s="103" t="str">
        <f aca="false" t="array" ref="T38:T38">IF(NOT(AND(ISNUMBER(C38),ISNUMBER(E38))),"XXX","")</f>
        <v/>
      </c>
      <c r="U38" s="104" t="n">
        <f aca="false" t="array" ref="U38:U38">SUM(Y38,Z38,AA38)</f>
        <v>0</v>
      </c>
      <c r="V38" s="104"/>
      <c r="W38" s="104"/>
      <c r="X38" s="104"/>
      <c r="Y38" s="104" t="n">
        <f aca="false" t="array" ref="Y38:Y38">IF(AND(ISNUMBER(RESULTADOS!C38),ISNUMBER(RESULTADOS!E38),ISNUMBER(C38),ISNUMBER(E38),C38=RESULTADOS!C38,E38=RESULTADOS!E38),2,0)</f>
        <v>0</v>
      </c>
      <c r="Z38" s="104" t="n">
        <f aca="false" t="array" ref="Z38: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4" t="n">
        <f aca="false" t="array" ref="AA38:AA38">IF(AND(ISNUMBER(RESULTADOS!C38),ISNUMBER(RESULTADOS!E38),ISNUMBER(C38),ISNUMBER(E38),AND(Z38=1,OR(C38=RESULTADOS!C38,E38=RESULTADOS!E38))),1,0)</f>
        <v>0</v>
      </c>
      <c r="AB38" s="82"/>
      <c r="AC38" s="112" t="s">
        <v>107</v>
      </c>
      <c r="AD38" s="112" t="s">
        <v>108</v>
      </c>
      <c r="AE38" s="112" t="s">
        <v>109</v>
      </c>
      <c r="AF38" s="82" t="str">
        <f aca="false" t="array" ref="AF38:AF38">IF(ISNUMBER(FIND("C",AC38,1)),SUBSTITUTE(AC38,"C","E"),SUBSTITUTE(AC38,"E","C"))</f>
        <v>E37</v>
      </c>
      <c r="AG38" s="82" t="str">
        <f aca="false" t="array" ref="AG38:AG38">IF(ISNUMBER(FIND("C",AD38,1)),SUBSTITUTE(AD38,"C","E"),SUBSTITUTE(AD38,"E","C"))</f>
        <v>E39</v>
      </c>
      <c r="AH38" s="82" t="str">
        <f aca="false" t="array" ref="AH38: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customFormat="false" ht="12.75" hidden="false" customHeight="true" outlineLevel="0" collapsed="false">
      <c r="A39" s="69"/>
      <c r="B39" s="105" t="s">
        <v>103</v>
      </c>
      <c r="C39" s="106" t="n">
        <v>2</v>
      </c>
      <c r="D39" s="107" t="s">
        <v>29</v>
      </c>
      <c r="E39" s="108" t="n">
        <v>2</v>
      </c>
      <c r="F39" s="109" t="s">
        <v>105</v>
      </c>
      <c r="G39" s="71"/>
      <c r="H39" s="97" t="n">
        <v>46193</v>
      </c>
      <c r="I39" s="98" t="n">
        <v>1.70833333333333</v>
      </c>
      <c r="J39" s="99"/>
      <c r="K39" s="132" t="s">
        <v>105</v>
      </c>
      <c r="L39" s="104" t="n">
        <v>0</v>
      </c>
      <c r="M39" s="104" t="n">
        <f aca="false" t="array" ref="M39:M39">N39-O39</f>
        <v>0</v>
      </c>
      <c r="N39" s="104" t="n">
        <v>0</v>
      </c>
      <c r="O39" s="104" t="n">
        <v>0</v>
      </c>
      <c r="P39" s="104" t="n">
        <v>0</v>
      </c>
      <c r="Q39" s="104" t="n">
        <v>0</v>
      </c>
      <c r="R39" s="111" t="n">
        <v>0</v>
      </c>
      <c r="S39" s="113"/>
      <c r="T39" s="103" t="str">
        <f aca="false" t="array" ref="T39:T39">IF(NOT(AND(ISNUMBER(C39),ISNUMBER(E39))),"XXX","")</f>
        <v/>
      </c>
      <c r="U39" s="104" t="n">
        <f aca="false" t="array" ref="U39:U39">SUM(Y39,Z39,AA39)</f>
        <v>0</v>
      </c>
      <c r="V39" s="104"/>
      <c r="W39" s="104"/>
      <c r="X39" s="104"/>
      <c r="Y39" s="104" t="n">
        <f aca="false" t="array" ref="Y39:Y39">IF(AND(ISNUMBER(RESULTADOS!C39),ISNUMBER(RESULTADOS!E39),ISNUMBER(C39),ISNUMBER(E39),C39=RESULTADOS!C39,E39=RESULTADOS!E39),2,0)</f>
        <v>0</v>
      </c>
      <c r="Z39" s="104" t="n">
        <f aca="false" t="array" ref="Z39: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4" t="n">
        <f aca="false" t="array" ref="AA39:AA39">IF(AND(ISNUMBER(RESULTADOS!C39),ISNUMBER(RESULTADOS!E39),ISNUMBER(C39),ISNUMBER(E39),AND(Z39=1,OR(C39=RESULTADOS!C39,E39=RESULTADOS!E39))),1,0)</f>
        <v>0</v>
      </c>
      <c r="AB39" s="82"/>
      <c r="AC39" s="112" t="s">
        <v>110</v>
      </c>
      <c r="AD39" s="112" t="s">
        <v>111</v>
      </c>
      <c r="AE39" s="112" t="s">
        <v>112</v>
      </c>
      <c r="AF39" s="82" t="str">
        <f aca="false" t="array" ref="AF39:AF39">IF(ISNUMBER(FIND("C",AC39,1)),SUBSTITUTE(AC39,"C","E"),SUBSTITUTE(AC39,"E","C"))</f>
        <v>E38</v>
      </c>
      <c r="AG39" s="82" t="str">
        <f aca="false" t="array" ref="AG39:AG39">IF(ISNUMBER(FIND("C",AD39,1)),SUBSTITUTE(AD39,"C","E"),SUBSTITUTE(AD39,"E","C"))</f>
        <v>C39</v>
      </c>
      <c r="AH39" s="82" t="str">
        <f aca="false" t="array" ref="AH39: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customFormat="false" ht="12.75" hidden="false" customHeight="true" outlineLevel="0" collapsed="false">
      <c r="A40" s="69"/>
      <c r="B40" s="105" t="s">
        <v>106</v>
      </c>
      <c r="C40" s="106" t="n">
        <v>3</v>
      </c>
      <c r="D40" s="107" t="s">
        <v>29</v>
      </c>
      <c r="E40" s="108" t="n">
        <v>0</v>
      </c>
      <c r="F40" s="109" t="s">
        <v>104</v>
      </c>
      <c r="G40" s="71"/>
      <c r="H40" s="97" t="n">
        <v>46193</v>
      </c>
      <c r="I40" s="98" t="n">
        <v>1.875</v>
      </c>
      <c r="J40" s="99"/>
      <c r="K40" s="132" t="s">
        <v>104</v>
      </c>
      <c r="L40" s="104" t="n">
        <v>0</v>
      </c>
      <c r="M40" s="104" t="n">
        <f aca="false" t="array" ref="M40:M40">N40-O40</f>
        <v>0</v>
      </c>
      <c r="N40" s="104" t="n">
        <v>0</v>
      </c>
      <c r="O40" s="104" t="n">
        <v>0</v>
      </c>
      <c r="P40" s="104" t="n">
        <v>0</v>
      </c>
      <c r="Q40" s="104" t="n">
        <v>0</v>
      </c>
      <c r="R40" s="111" t="n">
        <v>0</v>
      </c>
      <c r="S40" s="113"/>
      <c r="T40" s="103" t="str">
        <f aca="false" t="array" ref="T40:T40">IF(NOT(AND(ISNUMBER(C40),ISNUMBER(E40))),"XXX","")</f>
        <v/>
      </c>
      <c r="U40" s="104" t="n">
        <f aca="false" t="array" ref="U40:U40">SUM(Y40,Z40,AA40)</f>
        <v>0</v>
      </c>
      <c r="V40" s="104"/>
      <c r="W40" s="104"/>
      <c r="X40" s="104"/>
      <c r="Y40" s="104" t="n">
        <f aca="false" t="array" ref="Y40:Y40">IF(AND(ISNUMBER(RESULTADOS!C40),ISNUMBER(RESULTADOS!E40),ISNUMBER(C40),ISNUMBER(E40),C40=RESULTADOS!C40,E40=RESULTADOS!E40),2,0)</f>
        <v>0</v>
      </c>
      <c r="Z40" s="104" t="n">
        <f aca="false" t="array" ref="Z40: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4" t="n">
        <f aca="false" t="array" ref="AA40:AA40">IF(AND(ISNUMBER(RESULTADOS!C40),ISNUMBER(RESULTADOS!E40),ISNUMBER(C40),ISNUMBER(E40),AND(Z40=1,OR(C40=RESULTADOS!C40,E40=RESULTADOS!E40))),1,0)</f>
        <v>0</v>
      </c>
      <c r="AB40" s="82"/>
      <c r="AC40" s="112" t="s">
        <v>113</v>
      </c>
      <c r="AD40" s="112" t="s">
        <v>114</v>
      </c>
      <c r="AE40" s="112" t="s">
        <v>115</v>
      </c>
      <c r="AF40" s="82" t="str">
        <f aca="false" t="array" ref="AF40:AF40">IF(ISNUMBER(FIND("C",AC40,1)),SUBSTITUTE(AC40,"C","E"),SUBSTITUTE(AC40,"E","C"))</f>
        <v>C37</v>
      </c>
      <c r="AG40" s="82" t="str">
        <f aca="false" t="array" ref="AG40:AG40">IF(ISNUMBER(FIND("C",AD40,1)),SUBSTITUTE(AD40,"C","E"),SUBSTITUTE(AD40,"E","C"))</f>
        <v>C40</v>
      </c>
      <c r="AH40" s="82" t="str">
        <f aca="false" t="array" ref="AH40: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customFormat="false" ht="12.75" hidden="false" customHeight="true" outlineLevel="0" collapsed="false">
      <c r="A41" s="69"/>
      <c r="B41" s="105" t="s">
        <v>106</v>
      </c>
      <c r="C41" s="106" t="n">
        <v>1</v>
      </c>
      <c r="D41" s="107" t="s">
        <v>29</v>
      </c>
      <c r="E41" s="108" t="n">
        <v>3</v>
      </c>
      <c r="F41" s="109" t="s">
        <v>103</v>
      </c>
      <c r="G41" s="71"/>
      <c r="H41" s="97" t="n">
        <v>46198</v>
      </c>
      <c r="I41" s="98" t="n">
        <v>1.70833333333333</v>
      </c>
      <c r="J41" s="99"/>
      <c r="K41" s="133" t="s">
        <v>106</v>
      </c>
      <c r="L41" s="115" t="n">
        <v>0</v>
      </c>
      <c r="M41" s="115" t="n">
        <f aca="false" t="array" ref="M41:M41">N41-O41</f>
        <v>0</v>
      </c>
      <c r="N41" s="115" t="n">
        <v>0</v>
      </c>
      <c r="O41" s="115" t="n">
        <v>0</v>
      </c>
      <c r="P41" s="115" t="n">
        <v>0</v>
      </c>
      <c r="Q41" s="115" t="n">
        <v>0</v>
      </c>
      <c r="R41" s="116" t="n">
        <v>0</v>
      </c>
      <c r="S41" s="113"/>
      <c r="T41" s="103" t="str">
        <f aca="false" t="array" ref="T41:T41">IF(NOT(AND(ISNUMBER(C41),ISNUMBER(E41))),"XXX","")</f>
        <v/>
      </c>
      <c r="U41" s="104" t="n">
        <f aca="false" t="array" ref="U41:U41">SUM(Y41,Z41,AA41)</f>
        <v>0</v>
      </c>
      <c r="V41" s="104"/>
      <c r="W41" s="104"/>
      <c r="X41" s="104"/>
      <c r="Y41" s="104" t="n">
        <f aca="false" t="array" ref="Y41:Y41">IF(AND(ISNUMBER(RESULTADOS!C41),ISNUMBER(RESULTADOS!E41),ISNUMBER(C41),ISNUMBER(E41),C41=RESULTADOS!C41,E41=RESULTADOS!E41),2,0)</f>
        <v>0</v>
      </c>
      <c r="Z41" s="104" t="n">
        <f aca="false" t="array" ref="Z41: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4" t="n">
        <f aca="false" t="array" ref="AA41:AA41">IF(AND(ISNUMBER(RESULTADOS!C41),ISNUMBER(RESULTADOS!E41),ISNUMBER(C41),ISNUMBER(E41),AND(Z41=1,OR(C41=RESULTADOS!C41,E41=RESULTADOS!E41))),1,0)</f>
        <v>0</v>
      </c>
      <c r="AB41" s="82"/>
      <c r="AC41" s="112" t="s">
        <v>116</v>
      </c>
      <c r="AD41" s="112" t="s">
        <v>117</v>
      </c>
      <c r="AE41" s="112" t="s">
        <v>118</v>
      </c>
      <c r="AF41" s="82" t="str">
        <f aca="false" t="array" ref="AF41:AF41">IF(ISNUMBER(FIND("C",AC41,1)),SUBSTITUTE(AC41,"C","E"),SUBSTITUTE(AC41,"E","C"))</f>
        <v>C38</v>
      </c>
      <c r="AG41" s="82" t="str">
        <f aca="false" t="array" ref="AG41:AG41">IF(ISNUMBER(FIND("C",AD41,1)),SUBSTITUTE(AD41,"C","E"),SUBSTITUTE(AD41,"E","C"))</f>
        <v>E40</v>
      </c>
      <c r="AH41" s="82" t="str">
        <f aca="false" t="array" ref="AH41: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customFormat="false" ht="13.5" hidden="false" customHeight="true" outlineLevel="0" collapsed="false">
      <c r="A42" s="69"/>
      <c r="B42" s="117" t="s">
        <v>104</v>
      </c>
      <c r="C42" s="118" t="n">
        <v>1</v>
      </c>
      <c r="D42" s="119" t="s">
        <v>29</v>
      </c>
      <c r="E42" s="120" t="n">
        <v>2</v>
      </c>
      <c r="F42" s="121" t="s">
        <v>105</v>
      </c>
      <c r="G42" s="71"/>
      <c r="H42" s="122" t="n">
        <v>46198</v>
      </c>
      <c r="I42" s="123" t="n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aca="false" t="array" ref="T42:T42">IF(NOT(AND(ISNUMBER(C42),ISNUMBER(E42))),"XXX","")</f>
        <v/>
      </c>
      <c r="U42" s="104" t="n">
        <f aca="false" t="array" ref="U42:U42">SUM(Y42,Z42,AA42)</f>
        <v>0</v>
      </c>
      <c r="V42" s="104"/>
      <c r="W42" s="104"/>
      <c r="X42" s="104"/>
      <c r="Y42" s="104" t="n">
        <f aca="false" t="array" ref="Y42:Y42">IF(AND(ISNUMBER(RESULTADOS!C42),ISNUMBER(RESULTADOS!E42),ISNUMBER(C42),ISNUMBER(E42),C42=RESULTADOS!C42,E42=RESULTADOS!E42),2,0)</f>
        <v>0</v>
      </c>
      <c r="Z42" s="104" t="n">
        <f aca="false" t="array" ref="Z42: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4" t="n">
        <f aca="false" t="array" ref="AA42:AA42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customFormat="false" ht="13.5" hidden="false" customHeight="true" outlineLevel="0" collapsed="false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2"/>
      <c r="Y43" s="75"/>
      <c r="Z43" s="75"/>
      <c r="AA43" s="75"/>
      <c r="AB43" s="82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customFormat="false" ht="13.5" hidden="false" customHeight="true" outlineLevel="0" collapsed="false">
      <c r="A44" s="69"/>
      <c r="B44" s="85" t="s">
        <v>119</v>
      </c>
      <c r="C44" s="85"/>
      <c r="D44" s="85"/>
      <c r="E44" s="85"/>
      <c r="F44" s="85"/>
      <c r="G44" s="71"/>
      <c r="H44" s="86" t="s">
        <v>26</v>
      </c>
      <c r="I44" s="87" t="s">
        <v>27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04"/>
      <c r="V44" s="104"/>
      <c r="W44" s="104"/>
      <c r="X44" s="104"/>
      <c r="Y44" s="104"/>
      <c r="Z44" s="104"/>
      <c r="AA44" s="104"/>
      <c r="AB44" s="82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customFormat="false" ht="13.5" hidden="false" customHeight="true" outlineLevel="0" collapsed="false">
      <c r="A45" s="69"/>
      <c r="B45" s="92" t="s">
        <v>120</v>
      </c>
      <c r="C45" s="93" t="n">
        <v>2</v>
      </c>
      <c r="D45" s="94" t="s">
        <v>29</v>
      </c>
      <c r="E45" s="95" t="n">
        <v>2</v>
      </c>
      <c r="F45" s="131" t="s">
        <v>121</v>
      </c>
      <c r="G45" s="71"/>
      <c r="H45" s="97" t="n">
        <v>46187</v>
      </c>
      <c r="I45" s="98" t="n">
        <v>1.70833333333333</v>
      </c>
      <c r="J45" s="99"/>
      <c r="K45" s="100"/>
      <c r="L45" s="94" t="s">
        <v>31</v>
      </c>
      <c r="M45" s="94" t="s">
        <v>32</v>
      </c>
      <c r="N45" s="94" t="s">
        <v>33</v>
      </c>
      <c r="O45" s="94" t="s">
        <v>34</v>
      </c>
      <c r="P45" s="94" t="s">
        <v>35</v>
      </c>
      <c r="Q45" s="94" t="s">
        <v>36</v>
      </c>
      <c r="R45" s="101" t="s">
        <v>37</v>
      </c>
      <c r="S45" s="102"/>
      <c r="T45" s="103" t="str">
        <f aca="false" t="array" ref="T45:T45">IF(NOT(AND(ISNUMBER(C45),ISNUMBER(E45))),"XXX","")</f>
        <v/>
      </c>
      <c r="U45" s="104" t="n">
        <f aca="false" t="array" ref="U45:U45">SUM(Y45,Z45,AA45)</f>
        <v>0</v>
      </c>
      <c r="V45" s="104"/>
      <c r="W45" s="104"/>
      <c r="X45" s="104"/>
      <c r="Y45" s="104" t="n">
        <f aca="false" t="array" ref="Y45:Y45">IF(AND(ISNUMBER(RESULTADOS!C45),ISNUMBER(RESULTADOS!E45),ISNUMBER(C45),ISNUMBER(E45),C45=RESULTADOS!C45,E45=RESULTADOS!E45),2,0)</f>
        <v>0</v>
      </c>
      <c r="Z45" s="104" t="n">
        <f aca="false" t="array" ref="Z45: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4" t="n">
        <f aca="false" t="array" ref="AA45:AA45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customFormat="false" ht="13.5" hidden="false" customHeight="true" outlineLevel="0" collapsed="false">
      <c r="A46" s="69"/>
      <c r="B46" s="105" t="s">
        <v>122</v>
      </c>
      <c r="C46" s="106" t="n">
        <v>2</v>
      </c>
      <c r="D46" s="107" t="s">
        <v>29</v>
      </c>
      <c r="E46" s="108" t="n">
        <v>0</v>
      </c>
      <c r="F46" s="109" t="s">
        <v>123</v>
      </c>
      <c r="G46" s="71"/>
      <c r="H46" s="97" t="n">
        <v>46187</v>
      </c>
      <c r="I46" s="98" t="n">
        <v>1.95833333333333</v>
      </c>
      <c r="J46" s="99"/>
      <c r="K46" s="132" t="s">
        <v>120</v>
      </c>
      <c r="L46" s="104" t="n">
        <v>0</v>
      </c>
      <c r="M46" s="104" t="n">
        <f aca="false" t="array" ref="M46:M46">N46-O46</f>
        <v>0</v>
      </c>
      <c r="N46" s="104" t="n">
        <v>0</v>
      </c>
      <c r="O46" s="104" t="n">
        <v>0</v>
      </c>
      <c r="P46" s="104" t="n">
        <v>0</v>
      </c>
      <c r="Q46" s="104" t="n">
        <v>0</v>
      </c>
      <c r="R46" s="111" t="n">
        <v>0</v>
      </c>
      <c r="S46" s="102"/>
      <c r="T46" s="103" t="str">
        <f aca="false" t="array" ref="T46:T46">IF(NOT(AND(ISNUMBER(C46),ISNUMBER(E46))),"XXX","")</f>
        <v/>
      </c>
      <c r="U46" s="104" t="n">
        <f aca="false" t="array" ref="U46:U46">SUM(Y46,Z46,AA46)</f>
        <v>0</v>
      </c>
      <c r="V46" s="104"/>
      <c r="W46" s="104"/>
      <c r="X46" s="104"/>
      <c r="Y46" s="104" t="n">
        <f aca="false" t="array" ref="Y46:Y46">IF(AND(ISNUMBER(RESULTADOS!C46),ISNUMBER(RESULTADOS!E46),ISNUMBER(C46),ISNUMBER(E46),C46=RESULTADOS!C46,E46=RESULTADOS!E46),2,0)</f>
        <v>0</v>
      </c>
      <c r="Z46" s="104" t="n">
        <f aca="false" t="array" ref="Z46: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4" t="n">
        <f aca="false" t="array" ref="AA46:AA46">IF(AND(ISNUMBER(RESULTADOS!C46),ISNUMBER(RESULTADOS!E46),ISNUMBER(C46),ISNUMBER(E46),AND(Z46=1,OR(C46=RESULTADOS!C46,E46=RESULTADOS!E46))),1,0)</f>
        <v>0</v>
      </c>
      <c r="AB46" s="82"/>
      <c r="AC46" s="112" t="s">
        <v>124</v>
      </c>
      <c r="AD46" s="112" t="s">
        <v>125</v>
      </c>
      <c r="AE46" s="112" t="s">
        <v>126</v>
      </c>
      <c r="AF46" s="82" t="str">
        <f aca="false" t="array" ref="AF46:AF46">IF(ISNUMBER(FIND("C",AC46,1)),SUBSTITUTE(AC46,"C","E"),SUBSTITUTE(AC46,"E","C"))</f>
        <v>E45</v>
      </c>
      <c r="AG46" s="82" t="str">
        <f aca="false" t="array" ref="AG46:AG46">IF(ISNUMBER(FIND("C",AD46,1)),SUBSTITUTE(AD46,"C","E"),SUBSTITUTE(AD46,"E","C"))</f>
        <v>E47</v>
      </c>
      <c r="AH46" s="82" t="str">
        <f aca="false" t="array" ref="AH46: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customFormat="false" ht="12.75" hidden="false" customHeight="true" outlineLevel="0" collapsed="false">
      <c r="A47" s="69"/>
      <c r="B47" s="105" t="s">
        <v>120</v>
      </c>
      <c r="C47" s="106" t="n">
        <v>3</v>
      </c>
      <c r="D47" s="107" t="s">
        <v>29</v>
      </c>
      <c r="E47" s="108" t="n">
        <v>1</v>
      </c>
      <c r="F47" s="109" t="s">
        <v>122</v>
      </c>
      <c r="G47" s="71"/>
      <c r="H47" s="97" t="n">
        <v>46193</v>
      </c>
      <c r="I47" s="98" t="n">
        <v>1.58333333333333</v>
      </c>
      <c r="J47" s="99"/>
      <c r="K47" s="132" t="s">
        <v>121</v>
      </c>
      <c r="L47" s="104" t="n">
        <v>0</v>
      </c>
      <c r="M47" s="104" t="n">
        <f aca="false" t="array" ref="M47:M47">N47-O47</f>
        <v>0</v>
      </c>
      <c r="N47" s="104" t="n">
        <v>0</v>
      </c>
      <c r="O47" s="104" t="n">
        <v>0</v>
      </c>
      <c r="P47" s="104" t="n">
        <v>0</v>
      </c>
      <c r="Q47" s="104" t="n">
        <v>0</v>
      </c>
      <c r="R47" s="111" t="n">
        <v>0</v>
      </c>
      <c r="S47" s="113"/>
      <c r="T47" s="103" t="str">
        <f aca="false" t="array" ref="T47:T47">IF(NOT(AND(ISNUMBER(C47),ISNUMBER(E47))),"XXX","")</f>
        <v/>
      </c>
      <c r="U47" s="104" t="n">
        <f aca="false" t="array" ref="U47:U47">SUM(Y47,Z47,AA47)</f>
        <v>0</v>
      </c>
      <c r="V47" s="104"/>
      <c r="W47" s="104"/>
      <c r="X47" s="104"/>
      <c r="Y47" s="104" t="n">
        <f aca="false" t="array" ref="Y47:Y47">IF(AND(ISNUMBER(RESULTADOS!C47),ISNUMBER(RESULTADOS!E47),ISNUMBER(C47),ISNUMBER(E47),C47=RESULTADOS!C47,E47=RESULTADOS!E47),2,0)</f>
        <v>0</v>
      </c>
      <c r="Z47" s="104" t="n">
        <f aca="false" t="array" ref="Z47: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4" t="n">
        <f aca="false" t="array" ref="AA47:AA47">IF(AND(ISNUMBER(RESULTADOS!C47),ISNUMBER(RESULTADOS!E47),ISNUMBER(C47),ISNUMBER(E47),AND(Z47=1,OR(C47=RESULTADOS!C47,E47=RESULTADOS!E47))),1,0)</f>
        <v>0</v>
      </c>
      <c r="AB47" s="82"/>
      <c r="AC47" s="112" t="s">
        <v>127</v>
      </c>
      <c r="AD47" s="112" t="s">
        <v>128</v>
      </c>
      <c r="AE47" s="112" t="s">
        <v>129</v>
      </c>
      <c r="AF47" s="82" t="str">
        <f aca="false" t="array" ref="AF47:AF47">IF(ISNUMBER(FIND("C",AC47,1)),SUBSTITUTE(AC47,"C","E"),SUBSTITUTE(AC47,"E","C"))</f>
        <v>C45</v>
      </c>
      <c r="AG47" s="82" t="str">
        <f aca="false" t="array" ref="AG47:AG47">IF(ISNUMBER(FIND("C",AD47,1)),SUBSTITUTE(AD47,"C","E"),SUBSTITUTE(AD47,"E","C"))</f>
        <v>C48</v>
      </c>
      <c r="AH47" s="82" t="str">
        <f aca="false" t="array" ref="AH47: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customFormat="false" ht="12.75" hidden="false" customHeight="true" outlineLevel="0" collapsed="false">
      <c r="A48" s="69"/>
      <c r="B48" s="105" t="s">
        <v>123</v>
      </c>
      <c r="C48" s="106" t="n">
        <v>0</v>
      </c>
      <c r="D48" s="107" t="s">
        <v>29</v>
      </c>
      <c r="E48" s="108" t="n">
        <v>2</v>
      </c>
      <c r="F48" s="109" t="s">
        <v>121</v>
      </c>
      <c r="G48" s="71"/>
      <c r="H48" s="97" t="n">
        <v>46194</v>
      </c>
      <c r="I48" s="98" t="n">
        <v>1.04166666666667</v>
      </c>
      <c r="J48" s="99"/>
      <c r="K48" s="132" t="s">
        <v>122</v>
      </c>
      <c r="L48" s="104" t="n">
        <v>0</v>
      </c>
      <c r="M48" s="104" t="n">
        <f aca="false" t="array" ref="M48:M48">N48-O48</f>
        <v>0</v>
      </c>
      <c r="N48" s="104" t="n">
        <v>0</v>
      </c>
      <c r="O48" s="104" t="n">
        <v>0</v>
      </c>
      <c r="P48" s="104" t="n">
        <v>0</v>
      </c>
      <c r="Q48" s="104" t="n">
        <v>0</v>
      </c>
      <c r="R48" s="111" t="n">
        <v>0</v>
      </c>
      <c r="S48" s="113"/>
      <c r="T48" s="103" t="str">
        <f aca="false" t="array" ref="T48:T48">IF(NOT(AND(ISNUMBER(C48),ISNUMBER(E48))),"XXX","")</f>
        <v/>
      </c>
      <c r="U48" s="104" t="n">
        <f aca="false" t="array" ref="U48:U48">SUM(Y48,Z48,AA48)</f>
        <v>0</v>
      </c>
      <c r="V48" s="104"/>
      <c r="W48" s="104"/>
      <c r="X48" s="104"/>
      <c r="Y48" s="104" t="n">
        <f aca="false" t="array" ref="Y48:Y48">IF(AND(ISNUMBER(RESULTADOS!C48),ISNUMBER(RESULTADOS!E48),ISNUMBER(C48),ISNUMBER(E48),C48=RESULTADOS!C48,E48=RESULTADOS!E48),2,0)</f>
        <v>0</v>
      </c>
      <c r="Z48" s="104" t="n">
        <f aca="false" t="array" ref="Z48: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4" t="n">
        <f aca="false" t="array" ref="AA48:AA48">IF(AND(ISNUMBER(RESULTADOS!C48),ISNUMBER(RESULTADOS!E48),ISNUMBER(C48),ISNUMBER(E48),AND(Z48=1,OR(C48=RESULTADOS!C48,E48=RESULTADOS!E48))),1,0)</f>
        <v>0</v>
      </c>
      <c r="AB48" s="82"/>
      <c r="AC48" s="112" t="s">
        <v>130</v>
      </c>
      <c r="AD48" s="112" t="s">
        <v>131</v>
      </c>
      <c r="AE48" s="112" t="s">
        <v>132</v>
      </c>
      <c r="AF48" s="82" t="str">
        <f aca="false" t="array" ref="AF48:AF48">IF(ISNUMBER(FIND("C",AC48,1)),SUBSTITUTE(AC48,"C","E"),SUBSTITUTE(AC48,"E","C"))</f>
        <v>E46</v>
      </c>
      <c r="AG48" s="82" t="str">
        <f aca="false" t="array" ref="AG48:AG48">IF(ISNUMBER(FIND("C",AD48,1)),SUBSTITUTE(AD48,"C","E"),SUBSTITUTE(AD48,"E","C"))</f>
        <v>C47</v>
      </c>
      <c r="AH48" s="82" t="str">
        <f aca="false" t="array" ref="AH48: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customFormat="false" ht="12.75" hidden="false" customHeight="true" outlineLevel="0" collapsed="false">
      <c r="A49" s="69"/>
      <c r="B49" s="105" t="s">
        <v>123</v>
      </c>
      <c r="C49" s="106" t="n">
        <v>1</v>
      </c>
      <c r="D49" s="107" t="s">
        <v>29</v>
      </c>
      <c r="E49" s="108" t="n">
        <v>3</v>
      </c>
      <c r="F49" s="109" t="s">
        <v>120</v>
      </c>
      <c r="G49" s="71"/>
      <c r="H49" s="97" t="n">
        <v>46198</v>
      </c>
      <c r="I49" s="98" t="n">
        <v>1.83333333333333</v>
      </c>
      <c r="J49" s="99"/>
      <c r="K49" s="133" t="s">
        <v>123</v>
      </c>
      <c r="L49" s="115" t="n">
        <v>0</v>
      </c>
      <c r="M49" s="115" t="n">
        <f aca="false" t="array" ref="M49:M49">N49-O49</f>
        <v>0</v>
      </c>
      <c r="N49" s="115" t="n">
        <v>0</v>
      </c>
      <c r="O49" s="115" t="n">
        <v>0</v>
      </c>
      <c r="P49" s="115" t="n">
        <v>0</v>
      </c>
      <c r="Q49" s="115" t="n">
        <v>0</v>
      </c>
      <c r="R49" s="116" t="n">
        <v>0</v>
      </c>
      <c r="S49" s="113"/>
      <c r="T49" s="103" t="str">
        <f aca="false" t="array" ref="T49:T49">IF(NOT(AND(ISNUMBER(C49),ISNUMBER(E49))),"XXX","")</f>
        <v/>
      </c>
      <c r="U49" s="104" t="n">
        <f aca="false" t="array" ref="U49:U49">SUM(Y49,Z49,AA49)</f>
        <v>0</v>
      </c>
      <c r="V49" s="104"/>
      <c r="W49" s="104"/>
      <c r="X49" s="104"/>
      <c r="Y49" s="104" t="n">
        <f aca="false" t="array" ref="Y49:Y49">IF(AND(ISNUMBER(RESULTADOS!C49),ISNUMBER(RESULTADOS!E49),ISNUMBER(C49),ISNUMBER(E49),C49=RESULTADOS!C49,E49=RESULTADOS!E49),2,0)</f>
        <v>0</v>
      </c>
      <c r="Z49" s="104" t="n">
        <f aca="false" t="array" ref="Z49: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4" t="n">
        <f aca="false" t="array" ref="AA49:AA49">IF(AND(ISNUMBER(RESULTADOS!C49),ISNUMBER(RESULTADOS!E49),ISNUMBER(C49),ISNUMBER(E49),AND(Z49=1,OR(C49=RESULTADOS!C49,E49=RESULTADOS!E49))),1,0)</f>
        <v>0</v>
      </c>
      <c r="AB49" s="82"/>
      <c r="AC49" s="112" t="s">
        <v>133</v>
      </c>
      <c r="AD49" s="112" t="s">
        <v>134</v>
      </c>
      <c r="AE49" s="112" t="s">
        <v>135</v>
      </c>
      <c r="AF49" s="82" t="str">
        <f aca="false" t="array" ref="AF49:AF49">IF(ISNUMBER(FIND("C",AC49,1)),SUBSTITUTE(AC49,"C","E"),SUBSTITUTE(AC49,"E","C"))</f>
        <v>C46</v>
      </c>
      <c r="AG49" s="82" t="str">
        <f aca="false" t="array" ref="AG49:AG49">IF(ISNUMBER(FIND("C",AD49,1)),SUBSTITUTE(AD49,"C","E"),SUBSTITUTE(AD49,"E","C"))</f>
        <v>E48</v>
      </c>
      <c r="AH49" s="82" t="str">
        <f aca="false" t="array" ref="AH49: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customFormat="false" ht="13.5" hidden="false" customHeight="true" outlineLevel="0" collapsed="false">
      <c r="A50" s="69"/>
      <c r="B50" s="117" t="s">
        <v>121</v>
      </c>
      <c r="C50" s="118" t="n">
        <v>1</v>
      </c>
      <c r="D50" s="119" t="s">
        <v>29</v>
      </c>
      <c r="E50" s="120" t="n">
        <v>1</v>
      </c>
      <c r="F50" s="121" t="s">
        <v>122</v>
      </c>
      <c r="G50" s="71"/>
      <c r="H50" s="122" t="n">
        <v>46198</v>
      </c>
      <c r="I50" s="123" t="n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aca="false" t="array" ref="T50:T50">IF(NOT(AND(ISNUMBER(C50),ISNUMBER(E50))),"XXX","")</f>
        <v/>
      </c>
      <c r="U50" s="104" t="n">
        <f aca="false" t="array" ref="U50:U50">SUM(Y50,Z50,AA50)</f>
        <v>0</v>
      </c>
      <c r="V50" s="104"/>
      <c r="W50" s="104"/>
      <c r="X50" s="104"/>
      <c r="Y50" s="104" t="n">
        <f aca="false" t="array" ref="Y50:Y50">IF(AND(ISNUMBER(RESULTADOS!C50),ISNUMBER(RESULTADOS!E50),ISNUMBER(C50),ISNUMBER(E50),C50=RESULTADOS!C50,E50=RESULTADOS!E50),2,0)</f>
        <v>0</v>
      </c>
      <c r="Z50" s="104" t="n">
        <f aca="false" t="array" ref="Z50: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4" t="n">
        <f aca="false" t="array" ref="AA50:AA50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customFormat="false" ht="13.5" hidden="false" customHeight="true" outlineLevel="0" collapsed="false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2"/>
      <c r="Y51" s="75"/>
      <c r="Z51" s="75"/>
      <c r="AA51" s="75"/>
      <c r="AB51" s="82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customFormat="false" ht="13.5" hidden="false" customHeight="true" outlineLevel="0" collapsed="false">
      <c r="A52" s="69"/>
      <c r="B52" s="85" t="s">
        <v>136</v>
      </c>
      <c r="C52" s="85"/>
      <c r="D52" s="85"/>
      <c r="E52" s="85"/>
      <c r="F52" s="85"/>
      <c r="G52" s="71"/>
      <c r="H52" s="86" t="s">
        <v>26</v>
      </c>
      <c r="I52" s="87" t="s">
        <v>27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04"/>
      <c r="V52" s="104"/>
      <c r="W52" s="104"/>
      <c r="X52" s="104"/>
      <c r="Y52" s="104"/>
      <c r="Z52" s="104"/>
      <c r="AA52" s="104"/>
      <c r="AB52" s="82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customFormat="false" ht="13.5" hidden="false" customHeight="true" outlineLevel="0" collapsed="false">
      <c r="A53" s="69"/>
      <c r="B53" s="92" t="s">
        <v>137</v>
      </c>
      <c r="C53" s="93" t="n">
        <v>2</v>
      </c>
      <c r="D53" s="94" t="s">
        <v>29</v>
      </c>
      <c r="E53" s="95" t="n">
        <v>2</v>
      </c>
      <c r="F53" s="131" t="s">
        <v>138</v>
      </c>
      <c r="G53" s="71"/>
      <c r="H53" s="97" t="n">
        <v>46188</v>
      </c>
      <c r="I53" s="98" t="n">
        <v>1.66666666666667</v>
      </c>
      <c r="J53" s="99"/>
      <c r="K53" s="100"/>
      <c r="L53" s="94" t="s">
        <v>31</v>
      </c>
      <c r="M53" s="94" t="s">
        <v>32</v>
      </c>
      <c r="N53" s="94" t="s">
        <v>33</v>
      </c>
      <c r="O53" s="94" t="s">
        <v>34</v>
      </c>
      <c r="P53" s="94" t="s">
        <v>35</v>
      </c>
      <c r="Q53" s="94" t="s">
        <v>36</v>
      </c>
      <c r="R53" s="101" t="s">
        <v>37</v>
      </c>
      <c r="S53" s="102"/>
      <c r="T53" s="103" t="str">
        <f aca="false" t="array" ref="T53:T53">IF(NOT(AND(ISNUMBER(C53),ISNUMBER(E53))),"XXX","")</f>
        <v/>
      </c>
      <c r="U53" s="104" t="n">
        <f aca="false" t="array" ref="U53:U53">SUM(Y53,Z53,AA53)</f>
        <v>0</v>
      </c>
      <c r="V53" s="104"/>
      <c r="W53" s="104"/>
      <c r="X53" s="104"/>
      <c r="Y53" s="104" t="n">
        <f aca="false" t="array" ref="Y53:Y53">IF(AND(ISNUMBER(RESULTADOS!C53),ISNUMBER(RESULTADOS!E53),ISNUMBER(C53),ISNUMBER(E53),C53=RESULTADOS!C53,E53=RESULTADOS!E53),2,0)</f>
        <v>0</v>
      </c>
      <c r="Z53" s="104" t="n">
        <f aca="false" t="array" ref="Z53: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4" t="n">
        <f aca="false" t="array" ref="AA53:AA53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customFormat="false" ht="13.5" hidden="false" customHeight="true" outlineLevel="0" collapsed="false">
      <c r="A54" s="69"/>
      <c r="B54" s="105" t="s">
        <v>139</v>
      </c>
      <c r="C54" s="106" t="n">
        <v>2</v>
      </c>
      <c r="D54" s="107" t="s">
        <v>29</v>
      </c>
      <c r="E54" s="108" t="n">
        <v>0</v>
      </c>
      <c r="F54" s="109" t="s">
        <v>140</v>
      </c>
      <c r="G54" s="71"/>
      <c r="H54" s="97" t="n">
        <v>46188</v>
      </c>
      <c r="I54" s="98" t="n">
        <v>1.91666666666667</v>
      </c>
      <c r="J54" s="99"/>
      <c r="K54" s="132" t="s">
        <v>137</v>
      </c>
      <c r="L54" s="104" t="n">
        <v>0</v>
      </c>
      <c r="M54" s="104" t="n">
        <f aca="false" t="array" ref="M54:M54">N54-O54</f>
        <v>0</v>
      </c>
      <c r="N54" s="104" t="n">
        <v>0</v>
      </c>
      <c r="O54" s="104" t="n">
        <v>0</v>
      </c>
      <c r="P54" s="104" t="n">
        <v>0</v>
      </c>
      <c r="Q54" s="104" t="n">
        <v>0</v>
      </c>
      <c r="R54" s="111" t="n">
        <v>0</v>
      </c>
      <c r="S54" s="102"/>
      <c r="T54" s="103" t="str">
        <f aca="false" t="array" ref="T54:T54">IF(NOT(AND(ISNUMBER(C54),ISNUMBER(E54))),"XXX","")</f>
        <v/>
      </c>
      <c r="U54" s="104" t="n">
        <f aca="false" t="array" ref="U54:U54">SUM(Y54,Z54,AA54)</f>
        <v>0</v>
      </c>
      <c r="V54" s="104"/>
      <c r="W54" s="104"/>
      <c r="X54" s="104"/>
      <c r="Y54" s="104" t="n">
        <f aca="false" t="array" ref="Y54:Y54">IF(AND(ISNUMBER(RESULTADOS!C54),ISNUMBER(RESULTADOS!E54),ISNUMBER(C54),ISNUMBER(E54),C54=RESULTADOS!C54,E54=RESULTADOS!E54),2,0)</f>
        <v>0</v>
      </c>
      <c r="Z54" s="104" t="n">
        <f aca="false" t="array" ref="Z54: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4" t="n">
        <f aca="false" t="array" ref="AA54:AA54">IF(AND(ISNUMBER(RESULTADOS!C54),ISNUMBER(RESULTADOS!E54),ISNUMBER(C54),ISNUMBER(E54),AND(Z54=1,OR(C54=RESULTADOS!C54,E54=RESULTADOS!E54))),1,0)</f>
        <v>0</v>
      </c>
      <c r="AB54" s="82"/>
      <c r="AC54" s="112" t="s">
        <v>141</v>
      </c>
      <c r="AD54" s="112" t="s">
        <v>142</v>
      </c>
      <c r="AE54" s="112" t="s">
        <v>143</v>
      </c>
      <c r="AF54" s="82" t="str">
        <f aca="false" t="array" ref="AF54:AF54">IF(ISNUMBER(FIND("C",AC54,1)),SUBSTITUTE(AC54,"C","E"),SUBSTITUTE(AC54,"E","C"))</f>
        <v>E53</v>
      </c>
      <c r="AG54" s="82" t="str">
        <f aca="false" t="array" ref="AG54:AG54">IF(ISNUMBER(FIND("C",AD54,1)),SUBSTITUTE(AD54,"C","E"),SUBSTITUTE(AD54,"E","C"))</f>
        <v>E55</v>
      </c>
      <c r="AH54" s="82" t="str">
        <f aca="false" t="array" ref="AH54: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customFormat="false" ht="12.75" hidden="false" customHeight="true" outlineLevel="0" collapsed="false">
      <c r="A55" s="69"/>
      <c r="B55" s="105" t="s">
        <v>137</v>
      </c>
      <c r="C55" s="106" t="n">
        <v>1</v>
      </c>
      <c r="D55" s="107" t="s">
        <v>29</v>
      </c>
      <c r="E55" s="108" t="n">
        <v>1</v>
      </c>
      <c r="F55" s="109" t="s">
        <v>139</v>
      </c>
      <c r="G55" s="71"/>
      <c r="H55" s="97" t="n">
        <v>46194</v>
      </c>
      <c r="I55" s="98" t="n">
        <v>1.66666666666667</v>
      </c>
      <c r="J55" s="99"/>
      <c r="K55" s="132" t="s">
        <v>138</v>
      </c>
      <c r="L55" s="104" t="n">
        <v>0</v>
      </c>
      <c r="M55" s="104" t="n">
        <f aca="false" t="array" ref="M55:M55">N55-O55</f>
        <v>0</v>
      </c>
      <c r="N55" s="104" t="n">
        <v>0</v>
      </c>
      <c r="O55" s="104" t="n">
        <v>0</v>
      </c>
      <c r="P55" s="104" t="n">
        <v>0</v>
      </c>
      <c r="Q55" s="104" t="n">
        <v>0</v>
      </c>
      <c r="R55" s="111" t="n">
        <v>0</v>
      </c>
      <c r="S55" s="113"/>
      <c r="T55" s="103" t="str">
        <f aca="false" t="array" ref="T55:T55">IF(NOT(AND(ISNUMBER(C55),ISNUMBER(E55))),"XXX","")</f>
        <v/>
      </c>
      <c r="U55" s="104" t="n">
        <f aca="false" t="array" ref="U55:U55">SUM(Y55,Z55,AA55)</f>
        <v>0</v>
      </c>
      <c r="V55" s="104"/>
      <c r="W55" s="104"/>
      <c r="X55" s="104"/>
      <c r="Y55" s="104" t="n">
        <f aca="false" t="array" ref="Y55:Y55">IF(AND(ISNUMBER(RESULTADOS!C55),ISNUMBER(RESULTADOS!E55),ISNUMBER(C55),ISNUMBER(E55),C55=RESULTADOS!C55,E55=RESULTADOS!E55),2,0)</f>
        <v>0</v>
      </c>
      <c r="Z55" s="104" t="n">
        <f aca="false" t="array" ref="Z55: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4" t="n">
        <f aca="false" t="array" ref="AA55:AA55">IF(AND(ISNUMBER(RESULTADOS!C55),ISNUMBER(RESULTADOS!E55),ISNUMBER(C55),ISNUMBER(E55),AND(Z55=1,OR(C55=RESULTADOS!C55,E55=RESULTADOS!E55))),1,0)</f>
        <v>0</v>
      </c>
      <c r="AB55" s="82"/>
      <c r="AC55" s="112" t="s">
        <v>144</v>
      </c>
      <c r="AD55" s="112" t="s">
        <v>145</v>
      </c>
      <c r="AE55" s="112" t="s">
        <v>146</v>
      </c>
      <c r="AF55" s="82" t="str">
        <f aca="false" t="array" ref="AF55:AF55">IF(ISNUMBER(FIND("C",AC55,1)),SUBSTITUTE(AC55,"C","E"),SUBSTITUTE(AC55,"E","C"))</f>
        <v>C53</v>
      </c>
      <c r="AG55" s="82" t="str">
        <f aca="false" t="array" ref="AG55:AG55">IF(ISNUMBER(FIND("C",AD55,1)),SUBSTITUTE(AD55,"C","E"),SUBSTITUTE(AD55,"E","C"))</f>
        <v>C56</v>
      </c>
      <c r="AH55" s="82" t="str">
        <f aca="false" t="array" ref="AH55: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customFormat="false" ht="12.75" hidden="false" customHeight="true" outlineLevel="0" collapsed="false">
      <c r="A56" s="69"/>
      <c r="B56" s="105" t="s">
        <v>140</v>
      </c>
      <c r="C56" s="106" t="n">
        <v>0</v>
      </c>
      <c r="D56" s="107" t="s">
        <v>29</v>
      </c>
      <c r="E56" s="108" t="n">
        <v>3</v>
      </c>
      <c r="F56" s="109" t="s">
        <v>138</v>
      </c>
      <c r="G56" s="71"/>
      <c r="H56" s="97" t="n">
        <v>46194</v>
      </c>
      <c r="I56" s="98" t="n">
        <v>1.91666666666667</v>
      </c>
      <c r="J56" s="99"/>
      <c r="K56" s="132" t="s">
        <v>139</v>
      </c>
      <c r="L56" s="104" t="n">
        <v>0</v>
      </c>
      <c r="M56" s="104" t="n">
        <f aca="false" t="array" ref="M56:M56">N56-O56</f>
        <v>0</v>
      </c>
      <c r="N56" s="104" t="n">
        <v>0</v>
      </c>
      <c r="O56" s="104" t="n">
        <v>0</v>
      </c>
      <c r="P56" s="104" t="n">
        <v>0</v>
      </c>
      <c r="Q56" s="104" t="n">
        <v>0</v>
      </c>
      <c r="R56" s="111" t="n">
        <v>0</v>
      </c>
      <c r="S56" s="113"/>
      <c r="T56" s="103" t="str">
        <f aca="false" t="array" ref="T56:T56">IF(NOT(AND(ISNUMBER(C56),ISNUMBER(E56))),"XXX","")</f>
        <v/>
      </c>
      <c r="U56" s="104" t="n">
        <f aca="false" t="array" ref="U56:U56">SUM(Y56,Z56,AA56)</f>
        <v>0</v>
      </c>
      <c r="V56" s="104"/>
      <c r="W56" s="104"/>
      <c r="X56" s="104"/>
      <c r="Y56" s="104" t="n">
        <f aca="false" t="array" ref="Y56:Y56">IF(AND(ISNUMBER(RESULTADOS!C56),ISNUMBER(RESULTADOS!E56),ISNUMBER(C56),ISNUMBER(E56),C56=RESULTADOS!C56,E56=RESULTADOS!E56),2,0)</f>
        <v>0</v>
      </c>
      <c r="Z56" s="104" t="n">
        <f aca="false" t="array" ref="Z56: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4" t="n">
        <f aca="false" t="array" ref="AA56:AA56">IF(AND(ISNUMBER(RESULTADOS!C56),ISNUMBER(RESULTADOS!E56),ISNUMBER(C56),ISNUMBER(E56),AND(Z56=1,OR(C56=RESULTADOS!C56,E56=RESULTADOS!E56))),1,0)</f>
        <v>0</v>
      </c>
      <c r="AB56" s="82"/>
      <c r="AC56" s="112" t="s">
        <v>147</v>
      </c>
      <c r="AD56" s="112" t="s">
        <v>148</v>
      </c>
      <c r="AE56" s="112" t="s">
        <v>149</v>
      </c>
      <c r="AF56" s="82" t="str">
        <f aca="false" t="array" ref="AF56:AF56">IF(ISNUMBER(FIND("C",AC56,1)),SUBSTITUTE(AC56,"C","E"),SUBSTITUTE(AC56,"E","C"))</f>
        <v>E54</v>
      </c>
      <c r="AG56" s="82" t="str">
        <f aca="false" t="array" ref="AG56:AG56">IF(ISNUMBER(FIND("C",AD56,1)),SUBSTITUTE(AD56,"C","E"),SUBSTITUTE(AD56,"E","C"))</f>
        <v>C55</v>
      </c>
      <c r="AH56" s="82" t="str">
        <f aca="false" t="array" ref="AH56: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customFormat="false" ht="12.75" hidden="false" customHeight="true" outlineLevel="0" collapsed="false">
      <c r="A57" s="69"/>
      <c r="B57" s="105" t="s">
        <v>138</v>
      </c>
      <c r="C57" s="106" t="n">
        <v>0</v>
      </c>
      <c r="D57" s="107" t="s">
        <v>29</v>
      </c>
      <c r="E57" s="108" t="n">
        <v>0</v>
      </c>
      <c r="F57" s="109" t="s">
        <v>139</v>
      </c>
      <c r="G57" s="71"/>
      <c r="H57" s="97" t="n">
        <v>46200</v>
      </c>
      <c r="I57" s="98" t="n">
        <v>1</v>
      </c>
      <c r="J57" s="99"/>
      <c r="K57" s="133" t="s">
        <v>140</v>
      </c>
      <c r="L57" s="115" t="n">
        <v>0</v>
      </c>
      <c r="M57" s="115" t="n">
        <f aca="false" t="array" ref="M57:M57">N57-O57</f>
        <v>0</v>
      </c>
      <c r="N57" s="115" t="n">
        <v>0</v>
      </c>
      <c r="O57" s="115" t="n">
        <v>0</v>
      </c>
      <c r="P57" s="115" t="n">
        <v>0</v>
      </c>
      <c r="Q57" s="115" t="n">
        <v>0</v>
      </c>
      <c r="R57" s="116" t="n">
        <v>0</v>
      </c>
      <c r="S57" s="113"/>
      <c r="T57" s="103" t="str">
        <f aca="false" t="array" ref="T57:T57">IF(NOT(AND(ISNUMBER(C57),ISNUMBER(E57))),"XXX","")</f>
        <v/>
      </c>
      <c r="U57" s="104" t="n">
        <f aca="false" t="array" ref="U57:U57">SUM(Y57,Z57,AA57)</f>
        <v>0</v>
      </c>
      <c r="V57" s="104"/>
      <c r="W57" s="104"/>
      <c r="X57" s="104"/>
      <c r="Y57" s="104" t="n">
        <f aca="false" t="array" ref="Y57:Y57">IF(AND(ISNUMBER(RESULTADOS!C57),ISNUMBER(RESULTADOS!E57),ISNUMBER(C57),ISNUMBER(E57),C57=RESULTADOS!C57,E57=RESULTADOS!E57),2,0)</f>
        <v>0</v>
      </c>
      <c r="Z57" s="104" t="n">
        <f aca="false" t="array" ref="Z57: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4" t="n">
        <f aca="false" t="array" ref="AA57:AA57">IF(AND(ISNUMBER(RESULTADOS!C57),ISNUMBER(RESULTADOS!E57),ISNUMBER(C57),ISNUMBER(E57),AND(Z57=1,OR(C57=RESULTADOS!C57,E57=RESULTADOS!E57))),1,0)</f>
        <v>0</v>
      </c>
      <c r="AB57" s="82"/>
      <c r="AC57" s="112" t="s">
        <v>150</v>
      </c>
      <c r="AD57" s="112" t="s">
        <v>151</v>
      </c>
      <c r="AE57" s="112" t="s">
        <v>152</v>
      </c>
      <c r="AF57" s="82" t="str">
        <f aca="false" t="array" ref="AF57:AF57">IF(ISNUMBER(FIND("C",AC57,1)),SUBSTITUTE(AC57,"C","E"),SUBSTITUTE(AC57,"E","C"))</f>
        <v>C54</v>
      </c>
      <c r="AG57" s="82" t="str">
        <f aca="false" t="array" ref="AG57:AG57">IF(ISNUMBER(FIND("C",AD57,1)),SUBSTITUTE(AD57,"C","E"),SUBSTITUTE(AD57,"E","C"))</f>
        <v>E56</v>
      </c>
      <c r="AH57" s="82" t="str">
        <f aca="false" t="array" ref="AH57: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customFormat="false" ht="13.5" hidden="false" customHeight="true" outlineLevel="0" collapsed="false">
      <c r="A58" s="69"/>
      <c r="B58" s="117" t="s">
        <v>140</v>
      </c>
      <c r="C58" s="118" t="n">
        <v>0</v>
      </c>
      <c r="D58" s="119" t="s">
        <v>29</v>
      </c>
      <c r="E58" s="120" t="n">
        <v>4</v>
      </c>
      <c r="F58" s="121" t="s">
        <v>137</v>
      </c>
      <c r="G58" s="71"/>
      <c r="H58" s="122" t="n">
        <v>46200</v>
      </c>
      <c r="I58" s="123" t="n">
        <v>1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aca="false" t="array" ref="T58:T58">IF(NOT(AND(ISNUMBER(C58),ISNUMBER(E58))),"XXX","")</f>
        <v/>
      </c>
      <c r="U58" s="104" t="n">
        <f aca="false" t="array" ref="U58:U58">SUM(Y58,Z58,AA58)</f>
        <v>0</v>
      </c>
      <c r="V58" s="104"/>
      <c r="W58" s="104"/>
      <c r="X58" s="104"/>
      <c r="Y58" s="104" t="n">
        <f aca="false" t="array" ref="Y58:Y58">IF(AND(ISNUMBER(RESULTADOS!C58),ISNUMBER(RESULTADOS!E58),ISNUMBER(C58),ISNUMBER(E58),C58=RESULTADOS!C58,E58=RESULTADOS!E58),2,0)</f>
        <v>0</v>
      </c>
      <c r="Z58" s="104" t="n">
        <f aca="false" t="array" ref="Z58: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4" t="n">
        <f aca="false" t="array" ref="AA58:AA58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customFormat="false" ht="13.5" hidden="false" customHeight="true" outlineLevel="0" collapsed="false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2"/>
      <c r="Y59" s="75"/>
      <c r="Z59" s="75"/>
      <c r="AA59" s="75"/>
      <c r="AB59" s="82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customFormat="false" ht="13.5" hidden="false" customHeight="true" outlineLevel="0" collapsed="false">
      <c r="A60" s="69"/>
      <c r="B60" s="85" t="s">
        <v>153</v>
      </c>
      <c r="C60" s="85"/>
      <c r="D60" s="85"/>
      <c r="E60" s="85"/>
      <c r="F60" s="85"/>
      <c r="G60" s="71"/>
      <c r="H60" s="86" t="s">
        <v>26</v>
      </c>
      <c r="I60" s="87" t="s">
        <v>27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04"/>
      <c r="V60" s="104"/>
      <c r="W60" s="104"/>
      <c r="X60" s="104"/>
      <c r="Y60" s="104"/>
      <c r="Z60" s="104"/>
      <c r="AA60" s="104"/>
      <c r="AB60" s="82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customFormat="false" ht="13.5" hidden="false" customHeight="true" outlineLevel="0" collapsed="false">
      <c r="A61" s="69"/>
      <c r="B61" s="92" t="s">
        <v>154</v>
      </c>
      <c r="C61" s="93" t="n">
        <v>4</v>
      </c>
      <c r="D61" s="94" t="s">
        <v>29</v>
      </c>
      <c r="E61" s="95" t="n">
        <v>0</v>
      </c>
      <c r="F61" s="131" t="s">
        <v>155</v>
      </c>
      <c r="G61" s="71"/>
      <c r="H61" s="97" t="n">
        <v>46188</v>
      </c>
      <c r="I61" s="98" t="n">
        <v>1.54166666666667</v>
      </c>
      <c r="J61" s="99"/>
      <c r="K61" s="100"/>
      <c r="L61" s="94" t="s">
        <v>31</v>
      </c>
      <c r="M61" s="94" t="s">
        <v>32</v>
      </c>
      <c r="N61" s="94" t="s">
        <v>33</v>
      </c>
      <c r="O61" s="94" t="s">
        <v>34</v>
      </c>
      <c r="P61" s="94" t="s">
        <v>35</v>
      </c>
      <c r="Q61" s="94" t="s">
        <v>36</v>
      </c>
      <c r="R61" s="101" t="s">
        <v>37</v>
      </c>
      <c r="S61" s="102"/>
      <c r="T61" s="103" t="str">
        <f aca="false" t="array" ref="T61:T61">IF(NOT(AND(ISNUMBER(C61),ISNUMBER(E61))),"XXX","")</f>
        <v/>
      </c>
      <c r="U61" s="104" t="n">
        <f aca="false" t="array" ref="U61:U61">SUM(Y61,Z61,AA61)</f>
        <v>0</v>
      </c>
      <c r="V61" s="104"/>
      <c r="W61" s="104"/>
      <c r="X61" s="104"/>
      <c r="Y61" s="104" t="n">
        <f aca="false" t="array" ref="Y61:Y61">IF(AND(ISNUMBER(RESULTADOS!C61),ISNUMBER(RESULTADOS!E61),ISNUMBER(C61),ISNUMBER(E61),C61=RESULTADOS!C61,E61=RESULTADOS!E61),2,0)</f>
        <v>0</v>
      </c>
      <c r="Z61" s="104" t="n">
        <f aca="false" t="array" ref="Z61: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4" t="n">
        <f aca="false" t="array" ref="AA61:AA61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customFormat="false" ht="13.5" hidden="false" customHeight="true" outlineLevel="0" collapsed="false">
      <c r="A62" s="69"/>
      <c r="B62" s="105" t="s">
        <v>156</v>
      </c>
      <c r="C62" s="106" t="n">
        <v>2</v>
      </c>
      <c r="D62" s="107" t="s">
        <v>29</v>
      </c>
      <c r="E62" s="108" t="n">
        <v>1</v>
      </c>
      <c r="F62" s="109" t="s">
        <v>157</v>
      </c>
      <c r="G62" s="71"/>
      <c r="H62" s="97" t="n">
        <v>46188</v>
      </c>
      <c r="I62" s="98" t="n">
        <v>1.79166666666667</v>
      </c>
      <c r="J62" s="99"/>
      <c r="K62" s="132" t="s">
        <v>156</v>
      </c>
      <c r="L62" s="104" t="n">
        <v>0</v>
      </c>
      <c r="M62" s="104" t="n">
        <f aca="false" t="array" ref="M62:M62">N62-O62</f>
        <v>0</v>
      </c>
      <c r="N62" s="104" t="n">
        <v>0</v>
      </c>
      <c r="O62" s="104" t="n">
        <v>0</v>
      </c>
      <c r="P62" s="104" t="n">
        <v>0</v>
      </c>
      <c r="Q62" s="104" t="n">
        <v>0</v>
      </c>
      <c r="R62" s="111" t="n">
        <v>0</v>
      </c>
      <c r="S62" s="102"/>
      <c r="T62" s="103" t="str">
        <f aca="false" t="array" ref="T62:T62">IF(NOT(AND(ISNUMBER(C62),ISNUMBER(E62))),"XXX","")</f>
        <v/>
      </c>
      <c r="U62" s="104" t="n">
        <f aca="false" t="array" ref="U62:U62">SUM(Y62,Z62,AA62)</f>
        <v>0</v>
      </c>
      <c r="V62" s="104"/>
      <c r="W62" s="104"/>
      <c r="X62" s="104"/>
      <c r="Y62" s="104" t="n">
        <f aca="false" t="array" ref="Y62:Y62">IF(AND(ISNUMBER(RESULTADOS!C62),ISNUMBER(RESULTADOS!E62),ISNUMBER(C62),ISNUMBER(E62),C62=RESULTADOS!C62,E62=RESULTADOS!E62),2,0)</f>
        <v>0</v>
      </c>
      <c r="Z62" s="104" t="n">
        <f aca="false" t="array" ref="Z62: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4" t="n">
        <f aca="false" t="array" ref="AA62:AA62">IF(AND(ISNUMBER(RESULTADOS!C62),ISNUMBER(RESULTADOS!E62),ISNUMBER(C62),ISNUMBER(E62),AND(Z62=1,OR(C62=RESULTADOS!C62,E62=RESULTADOS!E62))),1,0)</f>
        <v>0</v>
      </c>
      <c r="AB62" s="82"/>
      <c r="AC62" s="112" t="s">
        <v>158</v>
      </c>
      <c r="AD62" s="112" t="s">
        <v>159</v>
      </c>
      <c r="AE62" s="112" t="s">
        <v>160</v>
      </c>
      <c r="AF62" s="82" t="str">
        <f aca="false" t="array" ref="AF62:AF62">IF(ISNUMBER(FIND("C",AC62,1)),SUBSTITUTE(AC62,"C","E"),SUBSTITUTE(AC62,"E","C"))</f>
        <v>E62</v>
      </c>
      <c r="AG62" s="82" t="str">
        <f aca="false" t="array" ref="AG62:AG62">IF(ISNUMBER(FIND("C",AD62,1)),SUBSTITUTE(AD62,"C","E"),SUBSTITUTE(AD62,"E","C"))</f>
        <v>C63</v>
      </c>
      <c r="AH62" s="82" t="str">
        <f aca="false" t="array" ref="AH62: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customFormat="false" ht="12.75" hidden="false" customHeight="true" outlineLevel="0" collapsed="false">
      <c r="A63" s="69"/>
      <c r="B63" s="105" t="s">
        <v>154</v>
      </c>
      <c r="C63" s="106" t="n">
        <v>2</v>
      </c>
      <c r="D63" s="107" t="s">
        <v>29</v>
      </c>
      <c r="E63" s="108" t="n">
        <v>2</v>
      </c>
      <c r="F63" s="109" t="s">
        <v>156</v>
      </c>
      <c r="G63" s="71"/>
      <c r="H63" s="97" t="n">
        <v>46194</v>
      </c>
      <c r="I63" s="98" t="n">
        <v>1.54166666666667</v>
      </c>
      <c r="J63" s="99"/>
      <c r="K63" s="132" t="s">
        <v>155</v>
      </c>
      <c r="L63" s="104" t="n">
        <v>0</v>
      </c>
      <c r="M63" s="104" t="n">
        <f aca="false" t="array" ref="M63:M63">N63-O63</f>
        <v>0</v>
      </c>
      <c r="N63" s="104" t="n">
        <v>0</v>
      </c>
      <c r="O63" s="104" t="n">
        <v>0</v>
      </c>
      <c r="P63" s="104" t="n">
        <v>0</v>
      </c>
      <c r="Q63" s="104" t="n">
        <v>0</v>
      </c>
      <c r="R63" s="111" t="n">
        <v>0</v>
      </c>
      <c r="S63" s="113"/>
      <c r="T63" s="103" t="str">
        <f aca="false" t="array" ref="T63:T63">IF(NOT(AND(ISNUMBER(C63),ISNUMBER(E63))),"XXX","")</f>
        <v/>
      </c>
      <c r="U63" s="104" t="n">
        <f aca="false" t="array" ref="U63:U63">SUM(Y63,Z63,AA63)</f>
        <v>0</v>
      </c>
      <c r="V63" s="104"/>
      <c r="W63" s="104"/>
      <c r="X63" s="104"/>
      <c r="Y63" s="104" t="n">
        <f aca="false" t="array" ref="Y63:Y63">IF(AND(ISNUMBER(RESULTADOS!C63),ISNUMBER(RESULTADOS!E63),ISNUMBER(C63),ISNUMBER(E63),C63=RESULTADOS!C63,E63=RESULTADOS!E63),2,0)</f>
        <v>0</v>
      </c>
      <c r="Z63" s="104" t="n">
        <f aca="false" t="array" ref="Z63: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4" t="n">
        <f aca="false" t="array" ref="AA63:AA63">IF(AND(ISNUMBER(RESULTADOS!C63),ISNUMBER(RESULTADOS!E63),ISNUMBER(C63),ISNUMBER(E63),AND(Z63=1,OR(C63=RESULTADOS!C63,E63=RESULTADOS!E63))),1,0)</f>
        <v>0</v>
      </c>
      <c r="AB63" s="82"/>
      <c r="AC63" s="112" t="s">
        <v>161</v>
      </c>
      <c r="AD63" s="112" t="s">
        <v>162</v>
      </c>
      <c r="AE63" s="112" t="s">
        <v>163</v>
      </c>
      <c r="AF63" s="82" t="str">
        <f aca="false" t="array" ref="AF63:AF63">IF(ISNUMBER(FIND("C",AC63,1)),SUBSTITUTE(AC63,"C","E"),SUBSTITUTE(AC63,"E","C"))</f>
        <v>C61</v>
      </c>
      <c r="AG63" s="82" t="str">
        <f aca="false" t="array" ref="AG63:AG63">IF(ISNUMBER(FIND("C",AD63,1)),SUBSTITUTE(AD63,"C","E"),SUBSTITUTE(AD63,"E","C"))</f>
        <v>C64</v>
      </c>
      <c r="AH63" s="82" t="str">
        <f aca="false" t="array" ref="AH63: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customFormat="false" ht="12.75" hidden="false" customHeight="true" outlineLevel="0" collapsed="false">
      <c r="A64" s="69"/>
      <c r="B64" s="105" t="s">
        <v>157</v>
      </c>
      <c r="C64" s="106" t="n">
        <v>2</v>
      </c>
      <c r="D64" s="107" t="s">
        <v>29</v>
      </c>
      <c r="E64" s="108" t="n">
        <v>1</v>
      </c>
      <c r="F64" s="109" t="s">
        <v>155</v>
      </c>
      <c r="G64" s="71"/>
      <c r="H64" s="97" t="n">
        <v>46194</v>
      </c>
      <c r="I64" s="98" t="n">
        <v>1.79166666666667</v>
      </c>
      <c r="J64" s="99"/>
      <c r="K64" s="132" t="s">
        <v>154</v>
      </c>
      <c r="L64" s="104" t="n">
        <v>0</v>
      </c>
      <c r="M64" s="104" t="n">
        <f aca="false" t="array" ref="M64:M64">N64-O64</f>
        <v>0</v>
      </c>
      <c r="N64" s="104" t="n">
        <v>0</v>
      </c>
      <c r="O64" s="104" t="n">
        <v>0</v>
      </c>
      <c r="P64" s="104" t="n">
        <v>0</v>
      </c>
      <c r="Q64" s="104" t="n">
        <v>0</v>
      </c>
      <c r="R64" s="111" t="n">
        <v>0</v>
      </c>
      <c r="S64" s="113"/>
      <c r="T64" s="103" t="str">
        <f aca="false" t="array" ref="T64:T64">IF(NOT(AND(ISNUMBER(C64),ISNUMBER(E64))),"XXX","")</f>
        <v/>
      </c>
      <c r="U64" s="104" t="n">
        <f aca="false" t="array" ref="U64:U64">SUM(Y64,Z64,AA64)</f>
        <v>0</v>
      </c>
      <c r="V64" s="104"/>
      <c r="W64" s="104"/>
      <c r="X64" s="104"/>
      <c r="Y64" s="104" t="n">
        <f aca="false" t="array" ref="Y64:Y64">IF(AND(ISNUMBER(RESULTADOS!C64),ISNUMBER(RESULTADOS!E64),ISNUMBER(C64),ISNUMBER(E64),C64=RESULTADOS!C64,E64=RESULTADOS!E64),2,0)</f>
        <v>0</v>
      </c>
      <c r="Z64" s="104" t="n">
        <f aca="false" t="array" ref="Z64: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4" t="n">
        <f aca="false" t="array" ref="AA64:AA64">IF(AND(ISNUMBER(RESULTADOS!C64),ISNUMBER(RESULTADOS!E64),ISNUMBER(C64),ISNUMBER(E64),AND(Z64=1,OR(C64=RESULTADOS!C64,E64=RESULTADOS!E64))),1,0)</f>
        <v>0</v>
      </c>
      <c r="AB64" s="82"/>
      <c r="AC64" s="112" t="s">
        <v>164</v>
      </c>
      <c r="AD64" s="112" t="s">
        <v>165</v>
      </c>
      <c r="AE64" s="112" t="s">
        <v>166</v>
      </c>
      <c r="AF64" s="82" t="str">
        <f aca="false" t="array" ref="AF64:AF64">IF(ISNUMBER(FIND("C",AC64,1)),SUBSTITUTE(AC64,"C","E"),SUBSTITUTE(AC64,"E","C"))</f>
        <v>E61</v>
      </c>
      <c r="AG64" s="82" t="str">
        <f aca="false" t="array" ref="AG64:AG64">IF(ISNUMBER(FIND("C",AD64,1)),SUBSTITUTE(AD64,"C","E"),SUBSTITUTE(AD64,"E","C"))</f>
        <v>E63</v>
      </c>
      <c r="AH64" s="82" t="str">
        <f aca="false" t="array" ref="AH64: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customFormat="false" ht="12.75" hidden="false" customHeight="true" outlineLevel="0" collapsed="false">
      <c r="A65" s="69"/>
      <c r="B65" s="105" t="s">
        <v>155</v>
      </c>
      <c r="C65" s="106" t="n">
        <v>1</v>
      </c>
      <c r="D65" s="107" t="s">
        <v>29</v>
      </c>
      <c r="E65" s="108" t="n">
        <v>1</v>
      </c>
      <c r="F65" s="109" t="s">
        <v>156</v>
      </c>
      <c r="G65" s="71"/>
      <c r="H65" s="97" t="n">
        <v>46199</v>
      </c>
      <c r="I65" s="98" t="n">
        <v>1.875</v>
      </c>
      <c r="J65" s="99"/>
      <c r="K65" s="133" t="s">
        <v>157</v>
      </c>
      <c r="L65" s="115" t="n">
        <v>0</v>
      </c>
      <c r="M65" s="115" t="n">
        <f aca="false" t="array" ref="M65:M65">N65-O65</f>
        <v>0</v>
      </c>
      <c r="N65" s="115" t="n">
        <v>0</v>
      </c>
      <c r="O65" s="115" t="n">
        <v>0</v>
      </c>
      <c r="P65" s="115" t="n">
        <v>0</v>
      </c>
      <c r="Q65" s="115" t="n">
        <v>0</v>
      </c>
      <c r="R65" s="116" t="n">
        <v>0</v>
      </c>
      <c r="S65" s="113"/>
      <c r="T65" s="103" t="str">
        <f aca="false" t="array" ref="T65:T65">IF(NOT(AND(ISNUMBER(C65),ISNUMBER(E65))),"XXX","")</f>
        <v/>
      </c>
      <c r="U65" s="104" t="n">
        <f aca="false" t="array" ref="U65:U65">SUM(Y65,Z65,AA65)</f>
        <v>0</v>
      </c>
      <c r="V65" s="104"/>
      <c r="W65" s="104"/>
      <c r="X65" s="104"/>
      <c r="Y65" s="104" t="n">
        <f aca="false" t="array" ref="Y65:Y65">IF(AND(ISNUMBER(RESULTADOS!C65),ISNUMBER(RESULTADOS!E65),ISNUMBER(C65),ISNUMBER(E65),C65=RESULTADOS!C65,E65=RESULTADOS!E65),2,0)</f>
        <v>0</v>
      </c>
      <c r="Z65" s="104" t="n">
        <f aca="false" t="array" ref="Z65: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4" t="n">
        <f aca="false" t="array" ref="AA65:AA65">IF(AND(ISNUMBER(RESULTADOS!C65),ISNUMBER(RESULTADOS!E65),ISNUMBER(C65),ISNUMBER(E65),AND(Z65=1,OR(C65=RESULTADOS!C65,E65=RESULTADOS!E65))),1,0)</f>
        <v>0</v>
      </c>
      <c r="AB65" s="82"/>
      <c r="AC65" s="112" t="s">
        <v>167</v>
      </c>
      <c r="AD65" s="112" t="s">
        <v>168</v>
      </c>
      <c r="AE65" s="112" t="s">
        <v>169</v>
      </c>
      <c r="AF65" s="82" t="str">
        <f aca="false" t="array" ref="AF65:AF65">IF(ISNUMBER(FIND("C",AC65,1)),SUBSTITUTE(AC65,"C","E"),SUBSTITUTE(AC65,"E","C"))</f>
        <v>C62</v>
      </c>
      <c r="AG65" s="82" t="str">
        <f aca="false" t="array" ref="AG65:AG65">IF(ISNUMBER(FIND("C",AD65,1)),SUBSTITUTE(AD65,"C","E"),SUBSTITUTE(AD65,"E","C"))</f>
        <v>E64</v>
      </c>
      <c r="AH65" s="82" t="str">
        <f aca="false" t="array" ref="AH65: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customFormat="false" ht="13.5" hidden="false" customHeight="true" outlineLevel="0" collapsed="false">
      <c r="A66" s="69"/>
      <c r="B66" s="117" t="s">
        <v>157</v>
      </c>
      <c r="C66" s="118" t="n">
        <v>0</v>
      </c>
      <c r="D66" s="119" t="s">
        <v>29</v>
      </c>
      <c r="E66" s="120" t="n">
        <v>3</v>
      </c>
      <c r="F66" s="121" t="s">
        <v>154</v>
      </c>
      <c r="G66" s="71"/>
      <c r="H66" s="122" t="n">
        <v>46199</v>
      </c>
      <c r="I66" s="123" t="n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aca="false" t="array" ref="T66:T66">IF(NOT(AND(ISNUMBER(C66),ISNUMBER(E66))),"XXX","")</f>
        <v/>
      </c>
      <c r="U66" s="104" t="n">
        <f aca="false" t="array" ref="U66:U66">SUM(Y66,Z66,AA66)</f>
        <v>0</v>
      </c>
      <c r="V66" s="104"/>
      <c r="W66" s="104"/>
      <c r="X66" s="104"/>
      <c r="Y66" s="104" t="n">
        <f aca="false" t="array" ref="Y66:Y66">IF(AND(ISNUMBER(RESULTADOS!C66),ISNUMBER(RESULTADOS!E66),ISNUMBER(C66),ISNUMBER(E66),C66=RESULTADOS!C66,E66=RESULTADOS!E66),2,0)</f>
        <v>0</v>
      </c>
      <c r="Z66" s="104" t="n">
        <f aca="false" t="array" ref="Z66: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4" t="n">
        <f aca="false" t="array" ref="AA66:AA66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customFormat="false" ht="12.75" hidden="false" customHeight="true" outlineLevel="0" collapsed="false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customFormat="false" ht="12.75" hidden="false" customHeight="true" outlineLevel="0" collapsed="false">
      <c r="A68" s="69"/>
      <c r="B68" s="85" t="s">
        <v>170</v>
      </c>
      <c r="C68" s="85"/>
      <c r="D68" s="85"/>
      <c r="E68" s="85"/>
      <c r="F68" s="85"/>
      <c r="G68" s="71"/>
      <c r="H68" s="86" t="s">
        <v>26</v>
      </c>
      <c r="I68" s="87" t="s">
        <v>27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04"/>
      <c r="V68" s="104"/>
      <c r="W68" s="104"/>
      <c r="X68" s="104"/>
      <c r="Y68" s="82"/>
      <c r="Z68" s="82"/>
      <c r="AA68" s="82"/>
      <c r="AB68" s="82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customFormat="false" ht="12.75" hidden="false" customHeight="true" outlineLevel="0" collapsed="false">
      <c r="A69" s="69"/>
      <c r="B69" s="92" t="s">
        <v>171</v>
      </c>
      <c r="C69" s="93" t="n">
        <v>2</v>
      </c>
      <c r="D69" s="94" t="s">
        <v>29</v>
      </c>
      <c r="E69" s="95" t="n">
        <v>2</v>
      </c>
      <c r="F69" s="131" t="s">
        <v>172</v>
      </c>
      <c r="G69" s="71"/>
      <c r="H69" s="97" t="n">
        <v>46189</v>
      </c>
      <c r="I69" s="98" t="n">
        <v>1.66666666666667</v>
      </c>
      <c r="J69" s="99"/>
      <c r="K69" s="100"/>
      <c r="L69" s="94" t="s">
        <v>31</v>
      </c>
      <c r="M69" s="94" t="s">
        <v>32</v>
      </c>
      <c r="N69" s="94" t="s">
        <v>33</v>
      </c>
      <c r="O69" s="94" t="s">
        <v>34</v>
      </c>
      <c r="P69" s="94" t="s">
        <v>35</v>
      </c>
      <c r="Q69" s="94" t="s">
        <v>36</v>
      </c>
      <c r="R69" s="101" t="s">
        <v>37</v>
      </c>
      <c r="S69" s="102"/>
      <c r="T69" s="103" t="str">
        <f aca="false" t="array" ref="T69:T69">IF(NOT(AND(ISNUMBER(C69),ISNUMBER(E69))),"XXX","")</f>
        <v/>
      </c>
      <c r="U69" s="104" t="n">
        <f aca="false" t="array" ref="U69:U69">SUM(Y69,Z69,AA69)</f>
        <v>0</v>
      </c>
      <c r="V69" s="104"/>
      <c r="W69" s="104"/>
      <c r="X69" s="104"/>
      <c r="Y69" s="104" t="n">
        <f aca="false" t="array" ref="Y69:Y69">IF(AND(ISNUMBER(RESULTADOS!C69),ISNUMBER(RESULTADOS!E69),ISNUMBER(C69),ISNUMBER(E69),C69=RESULTADOS!C69,E69=RESULTADOS!E69),2,0)</f>
        <v>0</v>
      </c>
      <c r="Z69" s="104" t="n">
        <f aca="false" t="array" ref="Z69: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4" t="n">
        <f aca="false" t="array" ref="AA69:AA69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customFormat="false" ht="12.75" hidden="false" customHeight="true" outlineLevel="0" collapsed="false">
      <c r="A70" s="69"/>
      <c r="B70" s="105" t="s">
        <v>173</v>
      </c>
      <c r="C70" s="106" t="n">
        <v>1</v>
      </c>
      <c r="D70" s="107" t="s">
        <v>29</v>
      </c>
      <c r="E70" s="108" t="n">
        <v>3</v>
      </c>
      <c r="F70" s="109" t="s">
        <v>174</v>
      </c>
      <c r="G70" s="71"/>
      <c r="H70" s="97" t="n">
        <v>46189</v>
      </c>
      <c r="I70" s="98" t="n">
        <v>1.79166666666667</v>
      </c>
      <c r="J70" s="99"/>
      <c r="K70" s="132" t="s">
        <v>171</v>
      </c>
      <c r="L70" s="104" t="n">
        <v>0</v>
      </c>
      <c r="M70" s="104" t="n">
        <f aca="false" t="array" ref="M70:M70">N70-O70</f>
        <v>0</v>
      </c>
      <c r="N70" s="104" t="n">
        <v>0</v>
      </c>
      <c r="O70" s="104" t="n">
        <v>0</v>
      </c>
      <c r="P70" s="104" t="n">
        <v>0</v>
      </c>
      <c r="Q70" s="104" t="n">
        <v>0</v>
      </c>
      <c r="R70" s="111" t="n">
        <v>0</v>
      </c>
      <c r="S70" s="102"/>
      <c r="T70" s="103" t="str">
        <f aca="false" t="array" ref="T70:T70">IF(NOT(AND(ISNUMBER(C70),ISNUMBER(E70))),"XXX","")</f>
        <v/>
      </c>
      <c r="U70" s="104" t="n">
        <f aca="false" t="array" ref="U70:U70">SUM(Y70,Z70,AA70)</f>
        <v>0</v>
      </c>
      <c r="V70" s="104"/>
      <c r="W70" s="104"/>
      <c r="X70" s="104"/>
      <c r="Y70" s="104" t="n">
        <f aca="false" t="array" ref="Y70:Y70">IF(AND(ISNUMBER(RESULTADOS!C70),ISNUMBER(RESULTADOS!E70),ISNUMBER(C70),ISNUMBER(E70),C70=RESULTADOS!C70,E70=RESULTADOS!E70),2,0)</f>
        <v>0</v>
      </c>
      <c r="Z70" s="104" t="n">
        <f aca="false" t="array" ref="Z70: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4" t="n">
        <f aca="false" t="array" ref="AA70:AA70">IF(AND(ISNUMBER(RESULTADOS!C70),ISNUMBER(RESULTADOS!E70),ISNUMBER(C70),ISNUMBER(E70),AND(Z70=1,OR(C70=RESULTADOS!C70,E70=RESULTADOS!E70))),1,0)</f>
        <v>0</v>
      </c>
      <c r="AB70" s="82"/>
      <c r="AC70" s="112" t="s">
        <v>175</v>
      </c>
      <c r="AD70" s="112" t="s">
        <v>176</v>
      </c>
      <c r="AE70" s="112" t="s">
        <v>177</v>
      </c>
      <c r="AF70" s="82" t="str">
        <f aca="false" t="array" ref="AF70:AF70">IF(ISNUMBER(FIND("C",AC70,1)),SUBSTITUTE(AC70,"C","E"),SUBSTITUTE(AC70,"E","C"))</f>
        <v>E69</v>
      </c>
      <c r="AG70" s="82" t="str">
        <f aca="false" t="array" ref="AG70:AG70">IF(ISNUMBER(FIND("C",AD70,1)),SUBSTITUTE(AD70,"C","E"),SUBSTITUTE(AD70,"E","C"))</f>
        <v>E71</v>
      </c>
      <c r="AH70" s="82" t="str">
        <f aca="false" t="array" ref="AH70: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customFormat="false" ht="12.75" hidden="false" customHeight="true" outlineLevel="0" collapsed="false">
      <c r="A71" s="69"/>
      <c r="B71" s="105" t="s">
        <v>171</v>
      </c>
      <c r="C71" s="106" t="n">
        <v>1</v>
      </c>
      <c r="D71" s="107" t="s">
        <v>29</v>
      </c>
      <c r="E71" s="108" t="n">
        <v>1</v>
      </c>
      <c r="F71" s="109" t="s">
        <v>173</v>
      </c>
      <c r="G71" s="71"/>
      <c r="H71" s="97" t="n">
        <v>46195</v>
      </c>
      <c r="I71" s="98" t="n">
        <v>1.75</v>
      </c>
      <c r="J71" s="99"/>
      <c r="K71" s="132" t="s">
        <v>173</v>
      </c>
      <c r="L71" s="104" t="n">
        <v>0</v>
      </c>
      <c r="M71" s="104" t="n">
        <f aca="false" t="array" ref="M71:M71">N71-O71</f>
        <v>0</v>
      </c>
      <c r="N71" s="104" t="n">
        <v>0</v>
      </c>
      <c r="O71" s="104" t="n">
        <v>0</v>
      </c>
      <c r="P71" s="104" t="n">
        <v>0</v>
      </c>
      <c r="Q71" s="104" t="n">
        <v>0</v>
      </c>
      <c r="R71" s="111" t="n">
        <v>0</v>
      </c>
      <c r="S71" s="113"/>
      <c r="T71" s="103" t="str">
        <f aca="false" t="array" ref="T71:T71">IF(NOT(AND(ISNUMBER(C71),ISNUMBER(E71))),"XXX","")</f>
        <v/>
      </c>
      <c r="U71" s="104" t="n">
        <f aca="false" t="array" ref="U71:U71">SUM(Y71,Z71,AA71)</f>
        <v>0</v>
      </c>
      <c r="V71" s="104"/>
      <c r="W71" s="104"/>
      <c r="X71" s="104"/>
      <c r="Y71" s="104" t="n">
        <f aca="false" t="array" ref="Y71:Y71">IF(AND(ISNUMBER(RESULTADOS!C71),ISNUMBER(RESULTADOS!E71),ISNUMBER(C71),ISNUMBER(E71),C71=RESULTADOS!C71,E71=RESULTADOS!E71),2,0)</f>
        <v>0</v>
      </c>
      <c r="Z71" s="104" t="n">
        <f aca="false" t="array" ref="Z71: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4" t="n">
        <f aca="false" t="array" ref="AA71:AA71">IF(AND(ISNUMBER(RESULTADOS!C71),ISNUMBER(RESULTADOS!E71),ISNUMBER(C71),ISNUMBER(E71),AND(Z71=1,OR(C71=RESULTADOS!C71,E71=RESULTADOS!E71))),1,0)</f>
        <v>0</v>
      </c>
      <c r="AB71" s="82"/>
      <c r="AC71" s="112" t="s">
        <v>178</v>
      </c>
      <c r="AD71" s="112" t="s">
        <v>179</v>
      </c>
      <c r="AE71" s="112" t="s">
        <v>180</v>
      </c>
      <c r="AF71" s="82" t="str">
        <f aca="false" t="array" ref="AF71:AF71">IF(ISNUMBER(FIND("C",AC71,1)),SUBSTITUTE(AC71,"C","E"),SUBSTITUTE(AC71,"E","C"))</f>
        <v>E70</v>
      </c>
      <c r="AG71" s="82" t="str">
        <f aca="false" t="array" ref="AG71:AG71">IF(ISNUMBER(FIND("C",AD71,1)),SUBSTITUTE(AD71,"C","E"),SUBSTITUTE(AD71,"E","C"))</f>
        <v>C71</v>
      </c>
      <c r="AH71" s="82" t="str">
        <f aca="false" t="array" ref="AH71: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customFormat="false" ht="12.75" hidden="false" customHeight="true" outlineLevel="0" collapsed="false">
      <c r="A72" s="69"/>
      <c r="B72" s="105" t="s">
        <v>174</v>
      </c>
      <c r="C72" s="106" t="n">
        <v>2</v>
      </c>
      <c r="D72" s="107" t="s">
        <v>29</v>
      </c>
      <c r="E72" s="108" t="n">
        <v>2</v>
      </c>
      <c r="F72" s="109" t="s">
        <v>172</v>
      </c>
      <c r="G72" s="71"/>
      <c r="H72" s="97" t="n">
        <v>46195</v>
      </c>
      <c r="I72" s="98" t="n">
        <v>1.875</v>
      </c>
      <c r="J72" s="99"/>
      <c r="K72" s="132" t="s">
        <v>174</v>
      </c>
      <c r="L72" s="104" t="n">
        <v>0</v>
      </c>
      <c r="M72" s="104" t="n">
        <f aca="false" t="array" ref="M72:M72">N72-O72</f>
        <v>0</v>
      </c>
      <c r="N72" s="104" t="n">
        <v>0</v>
      </c>
      <c r="O72" s="104" t="n">
        <v>0</v>
      </c>
      <c r="P72" s="104" t="n">
        <v>0</v>
      </c>
      <c r="Q72" s="104" t="n">
        <v>0</v>
      </c>
      <c r="R72" s="111" t="n">
        <v>0</v>
      </c>
      <c r="S72" s="113"/>
      <c r="T72" s="103" t="str">
        <f aca="false" t="array" ref="T72:T72">IF(NOT(AND(ISNUMBER(C72),ISNUMBER(E72))),"XXX","")</f>
        <v/>
      </c>
      <c r="U72" s="104" t="n">
        <f aca="false" t="array" ref="U72:U72">SUM(Y72,Z72,AA72)</f>
        <v>0</v>
      </c>
      <c r="V72" s="104"/>
      <c r="W72" s="104"/>
      <c r="X72" s="104"/>
      <c r="Y72" s="104" t="n">
        <f aca="false" t="array" ref="Y72:Y72">IF(AND(ISNUMBER(RESULTADOS!C72),ISNUMBER(RESULTADOS!E72),ISNUMBER(C72),ISNUMBER(E72),C72=RESULTADOS!C72,E72=RESULTADOS!E72),2,0)</f>
        <v>0</v>
      </c>
      <c r="Z72" s="104" t="n">
        <f aca="false" t="array" ref="Z72: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4" t="n">
        <f aca="false" t="array" ref="AA72:AA72">IF(AND(ISNUMBER(RESULTADOS!C72),ISNUMBER(RESULTADOS!E72),ISNUMBER(C72),ISNUMBER(E72),AND(Z72=1,OR(C72=RESULTADOS!C72,E72=RESULTADOS!E72))),1,0)</f>
        <v>0</v>
      </c>
      <c r="AB72" s="82"/>
      <c r="AC72" s="112" t="s">
        <v>181</v>
      </c>
      <c r="AD72" s="112" t="s">
        <v>182</v>
      </c>
      <c r="AE72" s="112" t="s">
        <v>183</v>
      </c>
      <c r="AF72" s="82" t="str">
        <f aca="false" t="array" ref="AF72:AF72">IF(ISNUMBER(FIND("C",AC72,1)),SUBSTITUTE(AC72,"C","E"),SUBSTITUTE(AC72,"E","C"))</f>
        <v>C70</v>
      </c>
      <c r="AG72" s="82" t="str">
        <f aca="false" t="array" ref="AG72:AG72">IF(ISNUMBER(FIND("C",AD72,1)),SUBSTITUTE(AD72,"C","E"),SUBSTITUTE(AD72,"E","C"))</f>
        <v>E72</v>
      </c>
      <c r="AH72" s="82" t="str">
        <f aca="false" t="array" ref="AH72: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customFormat="false" ht="12.75" hidden="false" customHeight="true" outlineLevel="0" collapsed="false">
      <c r="A73" s="69"/>
      <c r="B73" s="105" t="s">
        <v>172</v>
      </c>
      <c r="C73" s="106" t="n">
        <v>3</v>
      </c>
      <c r="D73" s="107" t="s">
        <v>29</v>
      </c>
      <c r="E73" s="108" t="n">
        <v>1</v>
      </c>
      <c r="F73" s="109" t="s">
        <v>173</v>
      </c>
      <c r="G73" s="71"/>
      <c r="H73" s="97" t="n">
        <v>46199</v>
      </c>
      <c r="I73" s="98" t="n">
        <v>1.66666666666667</v>
      </c>
      <c r="J73" s="99"/>
      <c r="K73" s="133" t="s">
        <v>172</v>
      </c>
      <c r="L73" s="115" t="n">
        <v>0</v>
      </c>
      <c r="M73" s="115" t="n">
        <f aca="false" t="array" ref="M73:M73">N73-O73</f>
        <v>0</v>
      </c>
      <c r="N73" s="115" t="n">
        <v>0</v>
      </c>
      <c r="O73" s="115" t="n">
        <v>0</v>
      </c>
      <c r="P73" s="115" t="n">
        <v>0</v>
      </c>
      <c r="Q73" s="115" t="n">
        <v>0</v>
      </c>
      <c r="R73" s="116" t="n">
        <v>0</v>
      </c>
      <c r="S73" s="113"/>
      <c r="T73" s="103" t="str">
        <f aca="false" t="array" ref="T73:T73">IF(NOT(AND(ISNUMBER(C73),ISNUMBER(E73))),"XXX","")</f>
        <v/>
      </c>
      <c r="U73" s="104" t="n">
        <f aca="false" t="array" ref="U73:U73">SUM(Y73,Z73,AA73)</f>
        <v>0</v>
      </c>
      <c r="V73" s="104"/>
      <c r="W73" s="104"/>
      <c r="X73" s="104"/>
      <c r="Y73" s="104" t="n">
        <f aca="false" t="array" ref="Y73:Y73">IF(AND(ISNUMBER(RESULTADOS!C73),ISNUMBER(RESULTADOS!E73),ISNUMBER(C73),ISNUMBER(E73),C73=RESULTADOS!C73,E73=RESULTADOS!E73),2,0)</f>
        <v>0</v>
      </c>
      <c r="Z73" s="104" t="n">
        <f aca="false" t="array" ref="Z73: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4" t="n">
        <f aca="false" t="array" ref="AA73:AA73">IF(AND(ISNUMBER(RESULTADOS!C73),ISNUMBER(RESULTADOS!E73),ISNUMBER(C73),ISNUMBER(E73),AND(Z73=1,OR(C73=RESULTADOS!C73,E73=RESULTADOS!E73))),1,0)</f>
        <v>0</v>
      </c>
      <c r="AB73" s="82"/>
      <c r="AC73" s="112" t="s">
        <v>184</v>
      </c>
      <c r="AD73" s="112" t="s">
        <v>185</v>
      </c>
      <c r="AE73" s="112" t="s">
        <v>186</v>
      </c>
      <c r="AF73" s="82" t="str">
        <f aca="false" t="array" ref="AF73:AF73">IF(ISNUMBER(FIND("C",AC73,1)),SUBSTITUTE(AC73,"C","E"),SUBSTITUTE(AC73,"E","C"))</f>
        <v>C69</v>
      </c>
      <c r="AG73" s="82" t="str">
        <f aca="false" t="array" ref="AG73:AG73">IF(ISNUMBER(FIND("C",AD73,1)),SUBSTITUTE(AD73,"C","E"),SUBSTITUTE(AD73,"E","C"))</f>
        <v>C72</v>
      </c>
      <c r="AH73" s="82" t="str">
        <f aca="false" t="array" ref="AH73: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customFormat="false" ht="12.75" hidden="false" customHeight="true" outlineLevel="0" collapsed="false">
      <c r="A74" s="69"/>
      <c r="B74" s="117" t="s">
        <v>174</v>
      </c>
      <c r="C74" s="118" t="n">
        <v>1</v>
      </c>
      <c r="D74" s="119" t="s">
        <v>29</v>
      </c>
      <c r="E74" s="120" t="n">
        <v>2</v>
      </c>
      <c r="F74" s="121" t="s">
        <v>171</v>
      </c>
      <c r="G74" s="71"/>
      <c r="H74" s="122" t="n">
        <v>46199</v>
      </c>
      <c r="I74" s="123" t="n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aca="false" t="array" ref="T74:T74">IF(NOT(AND(ISNUMBER(C74),ISNUMBER(E74))),"XXX","")</f>
        <v/>
      </c>
      <c r="U74" s="104" t="n">
        <f aca="false" t="array" ref="U74:U74">SUM(Y74,Z74,AA74)</f>
        <v>0</v>
      </c>
      <c r="V74" s="104"/>
      <c r="W74" s="104"/>
      <c r="X74" s="104"/>
      <c r="Y74" s="104" t="n">
        <f aca="false" t="array" ref="Y74:Y74">IF(AND(ISNUMBER(RESULTADOS!C74),ISNUMBER(RESULTADOS!E74),ISNUMBER(C74),ISNUMBER(E74),C74=RESULTADOS!C74,E74=RESULTADOS!E74),2,0)</f>
        <v>0</v>
      </c>
      <c r="Z74" s="104" t="n">
        <f aca="false" t="array" ref="Z74: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4" t="n">
        <f aca="false" t="array" ref="AA74:AA74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customFormat="false" ht="12.75" hidden="false" customHeight="true" outlineLevel="0" collapsed="false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2"/>
      <c r="Y75" s="82"/>
      <c r="Z75" s="82"/>
      <c r="AA75" s="82"/>
      <c r="AB75" s="82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customFormat="false" ht="12.75" hidden="false" customHeight="true" outlineLevel="0" collapsed="false">
      <c r="A76" s="69"/>
      <c r="B76" s="85" t="s">
        <v>187</v>
      </c>
      <c r="C76" s="85"/>
      <c r="D76" s="85"/>
      <c r="E76" s="85"/>
      <c r="F76" s="85"/>
      <c r="G76" s="71"/>
      <c r="H76" s="86" t="s">
        <v>26</v>
      </c>
      <c r="I76" s="87" t="s">
        <v>27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04"/>
      <c r="V76" s="104"/>
      <c r="W76" s="104"/>
      <c r="X76" s="104"/>
      <c r="Y76" s="82"/>
      <c r="Z76" s="82"/>
      <c r="AA76" s="82"/>
      <c r="AB76" s="82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customFormat="false" ht="12.75" hidden="false" customHeight="true" outlineLevel="0" collapsed="false">
      <c r="A77" s="69"/>
      <c r="B77" s="92" t="s">
        <v>188</v>
      </c>
      <c r="C77" s="93" t="n">
        <v>2</v>
      </c>
      <c r="D77" s="94" t="s">
        <v>29</v>
      </c>
      <c r="E77" s="95" t="n">
        <v>1</v>
      </c>
      <c r="F77" s="131" t="s">
        <v>189</v>
      </c>
      <c r="G77" s="71"/>
      <c r="H77" s="97" t="n">
        <v>46189</v>
      </c>
      <c r="I77" s="98" t="n">
        <v>1.91666666666667</v>
      </c>
      <c r="J77" s="99"/>
      <c r="K77" s="100"/>
      <c r="L77" s="94" t="s">
        <v>31</v>
      </c>
      <c r="M77" s="94" t="s">
        <v>32</v>
      </c>
      <c r="N77" s="94" t="s">
        <v>33</v>
      </c>
      <c r="O77" s="94" t="s">
        <v>34</v>
      </c>
      <c r="P77" s="94" t="s">
        <v>35</v>
      </c>
      <c r="Q77" s="94" t="s">
        <v>36</v>
      </c>
      <c r="R77" s="101" t="s">
        <v>37</v>
      </c>
      <c r="S77" s="102"/>
      <c r="T77" s="103" t="str">
        <f aca="false" t="array" ref="T77:T77">IF(NOT(AND(ISNUMBER(C77),ISNUMBER(E77))),"XXX","")</f>
        <v/>
      </c>
      <c r="U77" s="104" t="n">
        <f aca="false" t="array" ref="U77:U77">SUM(Y77,Z77,AA77)</f>
        <v>0</v>
      </c>
      <c r="V77" s="104"/>
      <c r="W77" s="104"/>
      <c r="X77" s="104"/>
      <c r="Y77" s="104" t="n">
        <f aca="false" t="array" ref="Y77:Y77">IF(AND(ISNUMBER(RESULTADOS!C77),ISNUMBER(RESULTADOS!E77),ISNUMBER(C77),ISNUMBER(E77),C77=RESULTADOS!C77,E77=RESULTADOS!E77),2,0)</f>
        <v>0</v>
      </c>
      <c r="Z77" s="104" t="n">
        <f aca="false" t="array" ref="Z77: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4" t="n">
        <f aca="false" t="array" ref="AA77:AA77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customFormat="false" ht="12.75" hidden="false" customHeight="true" outlineLevel="0" collapsed="false">
      <c r="A78" s="69"/>
      <c r="B78" s="105" t="s">
        <v>190</v>
      </c>
      <c r="C78" s="106" t="n">
        <v>2</v>
      </c>
      <c r="D78" s="107" t="s">
        <v>29</v>
      </c>
      <c r="E78" s="108" t="n">
        <v>2</v>
      </c>
      <c r="F78" s="109" t="s">
        <v>191</v>
      </c>
      <c r="G78" s="71"/>
      <c r="H78" s="97" t="n">
        <v>46190</v>
      </c>
      <c r="I78" s="98" t="n">
        <v>1.04166666666667</v>
      </c>
      <c r="J78" s="99"/>
      <c r="K78" s="132" t="s">
        <v>188</v>
      </c>
      <c r="L78" s="104" t="n">
        <v>0</v>
      </c>
      <c r="M78" s="104" t="n">
        <f aca="false" t="array" ref="M78:M78">N78-O78</f>
        <v>0</v>
      </c>
      <c r="N78" s="104" t="n">
        <v>0</v>
      </c>
      <c r="O78" s="104" t="n">
        <v>0</v>
      </c>
      <c r="P78" s="104" t="n">
        <v>0</v>
      </c>
      <c r="Q78" s="104" t="n">
        <v>0</v>
      </c>
      <c r="R78" s="111" t="n">
        <v>0</v>
      </c>
      <c r="S78" s="102"/>
      <c r="T78" s="103" t="str">
        <f aca="false" t="array" ref="T78:T78">IF(NOT(AND(ISNUMBER(C78),ISNUMBER(E78))),"XXX","")</f>
        <v/>
      </c>
      <c r="U78" s="104" t="n">
        <f aca="false" t="array" ref="U78:U78">SUM(Y78,Z78,AA78)</f>
        <v>0</v>
      </c>
      <c r="V78" s="104"/>
      <c r="W78" s="104"/>
      <c r="X78" s="104"/>
      <c r="Y78" s="104" t="n">
        <f aca="false" t="array" ref="Y78:Y78">IF(AND(ISNUMBER(RESULTADOS!C78),ISNUMBER(RESULTADOS!E78),ISNUMBER(C78),ISNUMBER(E78),C78=RESULTADOS!C78,E78=RESULTADOS!E78),2,0)</f>
        <v>0</v>
      </c>
      <c r="Z78" s="104" t="n">
        <f aca="false" t="array" ref="Z78: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4" t="n">
        <f aca="false" t="array" ref="AA78:AA78">IF(AND(ISNUMBER(RESULTADOS!C78),ISNUMBER(RESULTADOS!E78),ISNUMBER(C78),ISNUMBER(E78),AND(Z78=1,OR(C78=RESULTADOS!C78,E78=RESULTADOS!E78))),1,0)</f>
        <v>0</v>
      </c>
      <c r="AB78" s="82"/>
      <c r="AC78" s="112" t="s">
        <v>192</v>
      </c>
      <c r="AD78" s="112" t="s">
        <v>193</v>
      </c>
      <c r="AE78" s="112" t="s">
        <v>194</v>
      </c>
      <c r="AF78" s="82" t="str">
        <f aca="false" t="array" ref="AF78:AF78">IF(ISNUMBER(FIND("C",AC78,1)),SUBSTITUTE(AC78,"C","E"),SUBSTITUTE(AC78,"E","C"))</f>
        <v>E77</v>
      </c>
      <c r="AG78" s="82" t="str">
        <f aca="false" t="array" ref="AG78:AG78">IF(ISNUMBER(FIND("C",AD78,1)),SUBSTITUTE(AD78,"C","E"),SUBSTITUTE(AD78,"E","C"))</f>
        <v>E79</v>
      </c>
      <c r="AH78" s="82" t="str">
        <f aca="false" t="array" ref="AH78: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customFormat="false" ht="12.75" hidden="false" customHeight="true" outlineLevel="0" collapsed="false">
      <c r="A79" s="69"/>
      <c r="B79" s="105" t="s">
        <v>188</v>
      </c>
      <c r="C79" s="106" t="n">
        <v>2</v>
      </c>
      <c r="D79" s="107" t="s">
        <v>29</v>
      </c>
      <c r="E79" s="108" t="n">
        <v>2</v>
      </c>
      <c r="F79" s="109" t="s">
        <v>190</v>
      </c>
      <c r="G79" s="71"/>
      <c r="H79" s="97" t="n">
        <v>46195</v>
      </c>
      <c r="I79" s="98" t="n">
        <v>1.58333333333333</v>
      </c>
      <c r="J79" s="99"/>
      <c r="K79" s="132" t="s">
        <v>189</v>
      </c>
      <c r="L79" s="104" t="n">
        <v>0</v>
      </c>
      <c r="M79" s="104" t="n">
        <f aca="false" t="array" ref="M79:M79">N79-O79</f>
        <v>0</v>
      </c>
      <c r="N79" s="104" t="n">
        <v>0</v>
      </c>
      <c r="O79" s="104" t="n">
        <v>0</v>
      </c>
      <c r="P79" s="104" t="n">
        <v>0</v>
      </c>
      <c r="Q79" s="104" t="n">
        <v>0</v>
      </c>
      <c r="R79" s="111" t="n">
        <v>0</v>
      </c>
      <c r="S79" s="113"/>
      <c r="T79" s="103" t="str">
        <f aca="false" t="array" ref="T79:T79">IF(NOT(AND(ISNUMBER(C79),ISNUMBER(E79))),"XXX","")</f>
        <v/>
      </c>
      <c r="U79" s="104" t="n">
        <f aca="false" t="array" ref="U79:U79">SUM(Y79,Z79,AA79)</f>
        <v>0</v>
      </c>
      <c r="V79" s="104"/>
      <c r="W79" s="104"/>
      <c r="X79" s="104"/>
      <c r="Y79" s="104" t="n">
        <f aca="false" t="array" ref="Y79:Y79">IF(AND(ISNUMBER(RESULTADOS!C79),ISNUMBER(RESULTADOS!E79),ISNUMBER(C79),ISNUMBER(E79),C79=RESULTADOS!C79,E79=RESULTADOS!E79),2,0)</f>
        <v>0</v>
      </c>
      <c r="Z79" s="104" t="n">
        <f aca="false" t="array" ref="Z79: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4" t="n">
        <f aca="false" t="array" ref="AA79:AA79">IF(AND(ISNUMBER(RESULTADOS!C79),ISNUMBER(RESULTADOS!E79),ISNUMBER(C79),ISNUMBER(E79),AND(Z79=1,OR(C79=RESULTADOS!C79,E79=RESULTADOS!E79))),1,0)</f>
        <v>0</v>
      </c>
      <c r="AB79" s="82"/>
      <c r="AC79" s="112" t="s">
        <v>195</v>
      </c>
      <c r="AD79" s="112" t="s">
        <v>196</v>
      </c>
      <c r="AE79" s="112" t="s">
        <v>197</v>
      </c>
      <c r="AF79" s="82" t="str">
        <f aca="false" t="array" ref="AF79:AF79">IF(ISNUMBER(FIND("C",AC79,1)),SUBSTITUTE(AC79,"C","E"),SUBSTITUTE(AC79,"E","C"))</f>
        <v>C77</v>
      </c>
      <c r="AG79" s="82" t="str">
        <f aca="false" t="array" ref="AG79:AG79">IF(ISNUMBER(FIND("C",AD79,1)),SUBSTITUTE(AD79,"C","E"),SUBSTITUTE(AD79,"E","C"))</f>
        <v>C80</v>
      </c>
      <c r="AH79" s="82" t="str">
        <f aca="false" t="array" ref="AH79: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customFormat="false" ht="12.75" hidden="false" customHeight="true" outlineLevel="0" collapsed="false">
      <c r="A80" s="69"/>
      <c r="B80" s="105" t="s">
        <v>191</v>
      </c>
      <c r="C80" s="106" t="n">
        <v>1</v>
      </c>
      <c r="D80" s="107" t="s">
        <v>29</v>
      </c>
      <c r="E80" s="108" t="n">
        <v>1</v>
      </c>
      <c r="F80" s="109" t="s">
        <v>189</v>
      </c>
      <c r="G80" s="71"/>
      <c r="H80" s="97" t="n">
        <v>46196</v>
      </c>
      <c r="I80" s="98" t="n">
        <v>1</v>
      </c>
      <c r="J80" s="99"/>
      <c r="K80" s="132" t="s">
        <v>191</v>
      </c>
      <c r="L80" s="104" t="n">
        <v>0</v>
      </c>
      <c r="M80" s="104" t="n">
        <f aca="false" t="array" ref="M80:M80">N80-O80</f>
        <v>0</v>
      </c>
      <c r="N80" s="104" t="n">
        <v>0</v>
      </c>
      <c r="O80" s="104" t="n">
        <v>0</v>
      </c>
      <c r="P80" s="104" t="n">
        <v>0</v>
      </c>
      <c r="Q80" s="104" t="n">
        <v>0</v>
      </c>
      <c r="R80" s="111" t="n">
        <v>0</v>
      </c>
      <c r="S80" s="113"/>
      <c r="T80" s="103" t="str">
        <f aca="false" t="array" ref="T80:T80">IF(NOT(AND(ISNUMBER(C80),ISNUMBER(E80))),"XXX","")</f>
        <v/>
      </c>
      <c r="U80" s="104" t="n">
        <f aca="false" t="array" ref="U80:U80">SUM(Y80,Z80,AA80)</f>
        <v>0</v>
      </c>
      <c r="V80" s="104"/>
      <c r="W80" s="104"/>
      <c r="X80" s="104"/>
      <c r="Y80" s="104" t="n">
        <f aca="false" t="array" ref="Y80:Y80">IF(AND(ISNUMBER(RESULTADOS!C80),ISNUMBER(RESULTADOS!E80),ISNUMBER(C80),ISNUMBER(E80),C80=RESULTADOS!C80,E80=RESULTADOS!E80),2,0)</f>
        <v>0</v>
      </c>
      <c r="Z80" s="104" t="n">
        <f aca="false" t="array" ref="Z80: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4" t="n">
        <f aca="false" t="array" ref="AA80:AA80">IF(AND(ISNUMBER(RESULTADOS!C80),ISNUMBER(RESULTADOS!E80),ISNUMBER(C80),ISNUMBER(E80),AND(Z80=1,OR(C80=RESULTADOS!C80,E80=RESULTADOS!E80))),1,0)</f>
        <v>0</v>
      </c>
      <c r="AB80" s="82"/>
      <c r="AC80" s="112" t="s">
        <v>198</v>
      </c>
      <c r="AD80" s="112" t="s">
        <v>199</v>
      </c>
      <c r="AE80" s="112" t="s">
        <v>200</v>
      </c>
      <c r="AF80" s="82" t="str">
        <f aca="false" t="array" ref="AF80:AF80">IF(ISNUMBER(FIND("C",AC80,1)),SUBSTITUTE(AC80,"C","E"),SUBSTITUTE(AC80,"E","C"))</f>
        <v>C78</v>
      </c>
      <c r="AG80" s="82" t="str">
        <f aca="false" t="array" ref="AG80:AG80">IF(ISNUMBER(FIND("C",AD80,1)),SUBSTITUTE(AD80,"C","E"),SUBSTITUTE(AD80,"E","C"))</f>
        <v>E80</v>
      </c>
      <c r="AH80" s="82" t="str">
        <f aca="false" t="array" ref="AH80: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customFormat="false" ht="12.75" hidden="false" customHeight="true" outlineLevel="0" collapsed="false">
      <c r="A81" s="69"/>
      <c r="B81" s="105" t="s">
        <v>191</v>
      </c>
      <c r="C81" s="106" t="n">
        <v>1</v>
      </c>
      <c r="D81" s="107" t="s">
        <v>29</v>
      </c>
      <c r="E81" s="108" t="n">
        <v>2</v>
      </c>
      <c r="F81" s="109" t="s">
        <v>188</v>
      </c>
      <c r="G81" s="71"/>
      <c r="H81" s="97" t="n">
        <v>46200</v>
      </c>
      <c r="I81" s="98" t="n">
        <v>1.95833333333333</v>
      </c>
      <c r="J81" s="99"/>
      <c r="K81" s="133" t="s">
        <v>190</v>
      </c>
      <c r="L81" s="115" t="n">
        <v>0</v>
      </c>
      <c r="M81" s="115" t="n">
        <f aca="false" t="array" ref="M81:M81">N81-O81</f>
        <v>0</v>
      </c>
      <c r="N81" s="115" t="n">
        <v>0</v>
      </c>
      <c r="O81" s="115" t="n">
        <v>0</v>
      </c>
      <c r="P81" s="115" t="n">
        <v>0</v>
      </c>
      <c r="Q81" s="115" t="n">
        <v>0</v>
      </c>
      <c r="R81" s="116" t="n">
        <v>0</v>
      </c>
      <c r="S81" s="113"/>
      <c r="T81" s="103" t="str">
        <f aca="false" t="array" ref="T81:T81">IF(NOT(AND(ISNUMBER(C81),ISNUMBER(E81))),"XXX","")</f>
        <v/>
      </c>
      <c r="U81" s="104" t="n">
        <f aca="false" t="array" ref="U81:U81">SUM(Y81,Z81,AA81)</f>
        <v>0</v>
      </c>
      <c r="V81" s="104"/>
      <c r="W81" s="104"/>
      <c r="X81" s="104"/>
      <c r="Y81" s="104" t="n">
        <f aca="false" t="array" ref="Y81:Y81">IF(AND(ISNUMBER(RESULTADOS!C81),ISNUMBER(RESULTADOS!E81),ISNUMBER(C81),ISNUMBER(E81),C81=RESULTADOS!C81,E81=RESULTADOS!E81),2,0)</f>
        <v>0</v>
      </c>
      <c r="Z81" s="104" t="n">
        <f aca="false" t="array" ref="Z81: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4" t="n">
        <f aca="false" t="array" ref="AA81:AA81">IF(AND(ISNUMBER(RESULTADOS!C81),ISNUMBER(RESULTADOS!E81),ISNUMBER(C81),ISNUMBER(E81),AND(Z81=1,OR(C81=RESULTADOS!C81,E81=RESULTADOS!E81))),1,0)</f>
        <v>0</v>
      </c>
      <c r="AB81" s="82"/>
      <c r="AC81" s="112" t="s">
        <v>201</v>
      </c>
      <c r="AD81" s="112" t="s">
        <v>202</v>
      </c>
      <c r="AE81" s="112" t="s">
        <v>203</v>
      </c>
      <c r="AF81" s="82" t="str">
        <f aca="false" t="array" ref="AF81:AF81">IF(ISNUMBER(FIND("C",AC81,1)),SUBSTITUTE(AC81,"C","E"),SUBSTITUTE(AC81,"E","C"))</f>
        <v>E78</v>
      </c>
      <c r="AG81" s="82" t="str">
        <f aca="false" t="array" ref="AG81:AG81">IF(ISNUMBER(FIND("C",AD81,1)),SUBSTITUTE(AD81,"C","E"),SUBSTITUTE(AD81,"E","C"))</f>
        <v>C79</v>
      </c>
      <c r="AH81" s="82" t="str">
        <f aca="false" t="array" ref="AH81: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customFormat="false" ht="12.75" hidden="false" customHeight="true" outlineLevel="0" collapsed="false">
      <c r="A82" s="69"/>
      <c r="B82" s="117" t="s">
        <v>189</v>
      </c>
      <c r="C82" s="118" t="n">
        <v>2</v>
      </c>
      <c r="D82" s="119" t="s">
        <v>29</v>
      </c>
      <c r="E82" s="120" t="n">
        <v>1</v>
      </c>
      <c r="F82" s="121" t="s">
        <v>190</v>
      </c>
      <c r="G82" s="71"/>
      <c r="H82" s="122" t="n">
        <v>46200</v>
      </c>
      <c r="I82" s="123" t="n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aca="false" t="array" ref="T82:T82">IF(NOT(AND(ISNUMBER(C82),ISNUMBER(E82))),"XXX","")</f>
        <v/>
      </c>
      <c r="U82" s="104" t="n">
        <f aca="false" t="array" ref="U82:U82">SUM(Y82,Z82,AA82)</f>
        <v>0</v>
      </c>
      <c r="V82" s="104"/>
      <c r="W82" s="104"/>
      <c r="X82" s="104"/>
      <c r="Y82" s="104" t="n">
        <f aca="false" t="array" ref="Y82:Y82">IF(AND(ISNUMBER(RESULTADOS!C82),ISNUMBER(RESULTADOS!E82),ISNUMBER(C82),ISNUMBER(E82),C82=RESULTADOS!C82,E82=RESULTADOS!E82),2,0)</f>
        <v>0</v>
      </c>
      <c r="Z82" s="104" t="n">
        <f aca="false" t="array" ref="Z82: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4" t="n">
        <f aca="false" t="array" ref="AA82:AA82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customFormat="false" ht="12.75" hidden="false" customHeight="true" outlineLevel="0" collapsed="false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2"/>
      <c r="Y83" s="82"/>
      <c r="Z83" s="82"/>
      <c r="AA83" s="82"/>
      <c r="AB83" s="82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customFormat="false" ht="12.75" hidden="false" customHeight="true" outlineLevel="0" collapsed="false">
      <c r="A84" s="69"/>
      <c r="B84" s="85" t="s">
        <v>204</v>
      </c>
      <c r="C84" s="85"/>
      <c r="D84" s="85"/>
      <c r="E84" s="85"/>
      <c r="F84" s="85"/>
      <c r="G84" s="71"/>
      <c r="H84" s="86" t="s">
        <v>26</v>
      </c>
      <c r="I84" s="87" t="s">
        <v>27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04"/>
      <c r="V84" s="104"/>
      <c r="W84" s="104"/>
      <c r="X84" s="104"/>
      <c r="Y84" s="82"/>
      <c r="Z84" s="82"/>
      <c r="AA84" s="82"/>
      <c r="AB84" s="82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customFormat="false" ht="12.75" hidden="false" customHeight="true" outlineLevel="0" collapsed="false">
      <c r="A85" s="69"/>
      <c r="B85" s="92" t="s">
        <v>205</v>
      </c>
      <c r="C85" s="93" t="n">
        <v>3</v>
      </c>
      <c r="D85" s="94" t="s">
        <v>29</v>
      </c>
      <c r="E85" s="95" t="n">
        <v>1</v>
      </c>
      <c r="F85" s="131" t="s">
        <v>206</v>
      </c>
      <c r="G85" s="71"/>
      <c r="H85" s="97" t="n">
        <v>46190</v>
      </c>
      <c r="I85" s="98" t="n">
        <v>1.58333333333333</v>
      </c>
      <c r="J85" s="99"/>
      <c r="K85" s="100"/>
      <c r="L85" s="94" t="s">
        <v>31</v>
      </c>
      <c r="M85" s="94" t="s">
        <v>32</v>
      </c>
      <c r="N85" s="94" t="s">
        <v>33</v>
      </c>
      <c r="O85" s="94" t="s">
        <v>34</v>
      </c>
      <c r="P85" s="94" t="s">
        <v>35</v>
      </c>
      <c r="Q85" s="94" t="s">
        <v>36</v>
      </c>
      <c r="R85" s="101" t="s">
        <v>37</v>
      </c>
      <c r="S85" s="102"/>
      <c r="T85" s="103" t="str">
        <f aca="false" t="array" ref="T85:T85">IF(NOT(AND(ISNUMBER(C85),ISNUMBER(E85))),"XXX","")</f>
        <v/>
      </c>
      <c r="U85" s="104" t="n">
        <f aca="false" t="array" ref="U85:U85">SUM(Y85,Z85,AA85)</f>
        <v>0</v>
      </c>
      <c r="V85" s="104"/>
      <c r="W85" s="104"/>
      <c r="X85" s="104"/>
      <c r="Y85" s="104" t="n">
        <f aca="false" t="array" ref="Y85:Y85">IF(AND(ISNUMBER(RESULTADOS!C85),ISNUMBER(RESULTADOS!E85),ISNUMBER(C85),ISNUMBER(E85),C85=RESULTADOS!C85,E85=RESULTADOS!E85),2,0)</f>
        <v>0</v>
      </c>
      <c r="Z85" s="104" t="n">
        <f aca="false" t="array" ref="Z85: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4" t="n">
        <f aca="false" t="array" ref="AA85:AA85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customFormat="false" ht="12.75" hidden="false" customHeight="true" outlineLevel="0" collapsed="false">
      <c r="A86" s="69"/>
      <c r="B86" s="105" t="s">
        <v>207</v>
      </c>
      <c r="C86" s="106" t="n">
        <v>0</v>
      </c>
      <c r="D86" s="107" t="s">
        <v>29</v>
      </c>
      <c r="E86" s="108" t="n">
        <v>2</v>
      </c>
      <c r="F86" s="109" t="s">
        <v>208</v>
      </c>
      <c r="G86" s="71"/>
      <c r="H86" s="97" t="n">
        <v>46190</v>
      </c>
      <c r="I86" s="98" t="n">
        <v>1.95833333333333</v>
      </c>
      <c r="J86" s="99"/>
      <c r="K86" s="132" t="s">
        <v>208</v>
      </c>
      <c r="L86" s="104" t="n">
        <v>0</v>
      </c>
      <c r="M86" s="104" t="n">
        <f aca="false" t="array" ref="M86:M86">N86-O86</f>
        <v>0</v>
      </c>
      <c r="N86" s="104" t="n">
        <v>0</v>
      </c>
      <c r="O86" s="104" t="n">
        <v>0</v>
      </c>
      <c r="P86" s="104" t="n">
        <v>0</v>
      </c>
      <c r="Q86" s="104" t="n">
        <v>0</v>
      </c>
      <c r="R86" s="111" t="n">
        <v>0</v>
      </c>
      <c r="S86" s="102"/>
      <c r="T86" s="103" t="str">
        <f aca="false" t="array" ref="T86:T86">IF(NOT(AND(ISNUMBER(C86),ISNUMBER(E86))),"XXX","")</f>
        <v/>
      </c>
      <c r="U86" s="104" t="n">
        <f aca="false" t="array" ref="U86:U86">SUM(Y86,Z86,AA86)</f>
        <v>0</v>
      </c>
      <c r="V86" s="104"/>
      <c r="W86" s="104"/>
      <c r="X86" s="104"/>
      <c r="Y86" s="104" t="n">
        <f aca="false" t="array" ref="Y86:Y86">IF(AND(ISNUMBER(RESULTADOS!C86),ISNUMBER(RESULTADOS!E86),ISNUMBER(C86),ISNUMBER(E86),C86=RESULTADOS!C86,E86=RESULTADOS!E86),2,0)</f>
        <v>0</v>
      </c>
      <c r="Z86" s="104" t="n">
        <f aca="false" t="array" ref="Z86: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4" t="n">
        <f aca="false" t="array" ref="AA86:AA86">IF(AND(ISNUMBER(RESULTADOS!C86),ISNUMBER(RESULTADOS!E86),ISNUMBER(C86),ISNUMBER(E86),AND(Z86=1,OR(C86=RESULTADOS!C86,E86=RESULTADOS!E86))),1,0)</f>
        <v>0</v>
      </c>
      <c r="AB86" s="82"/>
      <c r="AC86" s="112" t="s">
        <v>209</v>
      </c>
      <c r="AD86" s="112" t="s">
        <v>210</v>
      </c>
      <c r="AE86" s="112" t="s">
        <v>211</v>
      </c>
      <c r="AF86" s="82" t="str">
        <f aca="false" t="array" ref="AF86:AF86">IF(ISNUMBER(FIND("C",AC86,1)),SUBSTITUTE(AC86,"C","E"),SUBSTITUTE(AC86,"E","C"))</f>
        <v>C86</v>
      </c>
      <c r="AG86" s="82" t="str">
        <f aca="false" t="array" ref="AG86:AG86">IF(ISNUMBER(FIND("C",AD86,1)),SUBSTITUTE(AD86,"C","E"),SUBSTITUTE(AD86,"E","C"))</f>
        <v>E88</v>
      </c>
      <c r="AH86" s="82" t="str">
        <f aca="false" t="array" ref="AH86: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customFormat="false" ht="12.75" hidden="false" customHeight="true" outlineLevel="0" collapsed="false">
      <c r="A87" s="69"/>
      <c r="B87" s="105" t="s">
        <v>205</v>
      </c>
      <c r="C87" s="106" t="n">
        <v>4</v>
      </c>
      <c r="D87" s="107" t="s">
        <v>29</v>
      </c>
      <c r="E87" s="108" t="n">
        <v>1</v>
      </c>
      <c r="F87" s="109" t="s">
        <v>207</v>
      </c>
      <c r="G87" s="71"/>
      <c r="H87" s="97" t="n">
        <v>46196</v>
      </c>
      <c r="I87" s="98" t="n">
        <v>1.58333333333333</v>
      </c>
      <c r="J87" s="99"/>
      <c r="K87" s="132" t="s">
        <v>205</v>
      </c>
      <c r="L87" s="104" t="n">
        <v>0</v>
      </c>
      <c r="M87" s="104" t="n">
        <f aca="false" t="array" ref="M87:M87">N87-O87</f>
        <v>0</v>
      </c>
      <c r="N87" s="104" t="n">
        <v>0</v>
      </c>
      <c r="O87" s="104" t="n">
        <v>0</v>
      </c>
      <c r="P87" s="104" t="n">
        <v>0</v>
      </c>
      <c r="Q87" s="104" t="n">
        <v>0</v>
      </c>
      <c r="R87" s="111" t="n">
        <v>0</v>
      </c>
      <c r="S87" s="113"/>
      <c r="T87" s="103" t="str">
        <f aca="false" t="array" ref="T87:T87">IF(NOT(AND(ISNUMBER(C87),ISNUMBER(E87))),"XXX","")</f>
        <v/>
      </c>
      <c r="U87" s="104" t="n">
        <f aca="false" t="array" ref="U87:U87">SUM(Y87,Z87,AA87)</f>
        <v>0</v>
      </c>
      <c r="V87" s="104"/>
      <c r="W87" s="104"/>
      <c r="X87" s="104"/>
      <c r="Y87" s="104" t="n">
        <f aca="false" t="array" ref="Y87:Y87">IF(AND(ISNUMBER(RESULTADOS!C87),ISNUMBER(RESULTADOS!E87),ISNUMBER(C87),ISNUMBER(E87),C87=RESULTADOS!C87,E87=RESULTADOS!E87),2,0)</f>
        <v>0</v>
      </c>
      <c r="Z87" s="104" t="n">
        <f aca="false" t="array" ref="Z87: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4" t="n">
        <f aca="false" t="array" ref="AA87:AA87">IF(AND(ISNUMBER(RESULTADOS!C87),ISNUMBER(RESULTADOS!E87),ISNUMBER(C87),ISNUMBER(E87),AND(Z87=1,OR(C87=RESULTADOS!C87,E87=RESULTADOS!E87))),1,0)</f>
        <v>0</v>
      </c>
      <c r="AB87" s="82"/>
      <c r="AC87" s="112" t="s">
        <v>212</v>
      </c>
      <c r="AD87" s="112" t="s">
        <v>213</v>
      </c>
      <c r="AE87" s="112" t="s">
        <v>214</v>
      </c>
      <c r="AF87" s="82" t="str">
        <f aca="false" t="array" ref="AF87:AF87">IF(ISNUMBER(FIND("C",AC87,1)),SUBSTITUTE(AC87,"C","E"),SUBSTITUTE(AC87,"E","C"))</f>
        <v>E85</v>
      </c>
      <c r="AG87" s="82" t="str">
        <f aca="false" t="array" ref="AG87:AG87">IF(ISNUMBER(FIND("C",AD87,1)),SUBSTITUTE(AD87,"C","E"),SUBSTITUTE(AD87,"E","C"))</f>
        <v>E87</v>
      </c>
      <c r="AH87" s="82" t="str">
        <f aca="false" t="array" ref="AH87: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customFormat="false" ht="12.75" hidden="false" customHeight="true" outlineLevel="0" collapsed="false">
      <c r="A88" s="69"/>
      <c r="B88" s="105" t="s">
        <v>208</v>
      </c>
      <c r="C88" s="106" t="n">
        <v>2</v>
      </c>
      <c r="D88" s="107" t="s">
        <v>29</v>
      </c>
      <c r="E88" s="108" t="n">
        <v>0</v>
      </c>
      <c r="F88" s="109" t="s">
        <v>206</v>
      </c>
      <c r="G88" s="71"/>
      <c r="H88" s="97" t="n">
        <v>46196</v>
      </c>
      <c r="I88" s="98" t="n">
        <v>1.95833333333333</v>
      </c>
      <c r="J88" s="99"/>
      <c r="K88" s="132" t="s">
        <v>206</v>
      </c>
      <c r="L88" s="104" t="n">
        <v>0</v>
      </c>
      <c r="M88" s="104" t="n">
        <f aca="false" t="array" ref="M88:M88">N88-O88</f>
        <v>0</v>
      </c>
      <c r="N88" s="104" t="n">
        <v>0</v>
      </c>
      <c r="O88" s="104" t="n">
        <v>0</v>
      </c>
      <c r="P88" s="104" t="n">
        <v>0</v>
      </c>
      <c r="Q88" s="104" t="n">
        <v>0</v>
      </c>
      <c r="R88" s="111" t="n">
        <v>0</v>
      </c>
      <c r="S88" s="113"/>
      <c r="T88" s="103" t="str">
        <f aca="false" t="array" ref="T88:T88">IF(NOT(AND(ISNUMBER(C88),ISNUMBER(E88))),"XXX","")</f>
        <v/>
      </c>
      <c r="U88" s="104" t="n">
        <f aca="false" t="array" ref="U88:U88">SUM(Y88,Z88,AA88)</f>
        <v>0</v>
      </c>
      <c r="V88" s="104"/>
      <c r="W88" s="104"/>
      <c r="X88" s="104"/>
      <c r="Y88" s="104" t="n">
        <f aca="false" t="array" ref="Y88:Y88">IF(AND(ISNUMBER(RESULTADOS!C88),ISNUMBER(RESULTADOS!E88),ISNUMBER(C88),ISNUMBER(E88),C88=RESULTADOS!C88,E88=RESULTADOS!E88),2,0)</f>
        <v>0</v>
      </c>
      <c r="Z88" s="104" t="n">
        <f aca="false" t="array" ref="Z88: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4" t="n">
        <f aca="false" t="array" ref="AA88:AA88">IF(AND(ISNUMBER(RESULTADOS!C88),ISNUMBER(RESULTADOS!E88),ISNUMBER(C88),ISNUMBER(E88),AND(Z88=1,OR(C88=RESULTADOS!C88,E88=RESULTADOS!E88))),1,0)</f>
        <v>0</v>
      </c>
      <c r="AB88" s="82"/>
      <c r="AC88" s="112" t="s">
        <v>215</v>
      </c>
      <c r="AD88" s="112" t="s">
        <v>216</v>
      </c>
      <c r="AE88" s="112" t="s">
        <v>217</v>
      </c>
      <c r="AF88" s="82" t="str">
        <f aca="false" t="array" ref="AF88:AF88">IF(ISNUMBER(FIND("C",AC88,1)),SUBSTITUTE(AC88,"C","E"),SUBSTITUTE(AC88,"E","C"))</f>
        <v>C85</v>
      </c>
      <c r="AG88" s="82" t="str">
        <f aca="false" t="array" ref="AG88:AG88">IF(ISNUMBER(FIND("C",AD88,1)),SUBSTITUTE(AD88,"C","E"),SUBSTITUTE(AD88,"E","C"))</f>
        <v>C88</v>
      </c>
      <c r="AH88" s="82" t="str">
        <f aca="false" t="array" ref="AH88: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customFormat="false" ht="12.75" hidden="false" customHeight="true" outlineLevel="0" collapsed="false">
      <c r="A89" s="69"/>
      <c r="B89" s="105" t="s">
        <v>206</v>
      </c>
      <c r="C89" s="106" t="n">
        <v>0</v>
      </c>
      <c r="D89" s="107" t="s">
        <v>29</v>
      </c>
      <c r="E89" s="108" t="n">
        <v>0</v>
      </c>
      <c r="F89" s="109" t="s">
        <v>207</v>
      </c>
      <c r="G89" s="71"/>
      <c r="H89" s="97" t="n">
        <v>46200</v>
      </c>
      <c r="I89" s="98" t="n">
        <v>1.85416666666667</v>
      </c>
      <c r="J89" s="99"/>
      <c r="K89" s="133" t="s">
        <v>207</v>
      </c>
      <c r="L89" s="115" t="n">
        <v>0</v>
      </c>
      <c r="M89" s="115" t="n">
        <f aca="false" t="array" ref="M89:M89">N89-O89</f>
        <v>0</v>
      </c>
      <c r="N89" s="115" t="n">
        <v>0</v>
      </c>
      <c r="O89" s="115" t="n">
        <v>0</v>
      </c>
      <c r="P89" s="115" t="n">
        <v>0</v>
      </c>
      <c r="Q89" s="115" t="n">
        <v>0</v>
      </c>
      <c r="R89" s="116" t="n">
        <v>0</v>
      </c>
      <c r="S89" s="113"/>
      <c r="T89" s="103" t="str">
        <f aca="false" t="array" ref="T89:T89">IF(NOT(AND(ISNUMBER(C89),ISNUMBER(E89))),"XXX","")</f>
        <v/>
      </c>
      <c r="U89" s="104" t="n">
        <f aca="false" t="array" ref="U89:U89">SUM(Y89,Z89,AA89)</f>
        <v>0</v>
      </c>
      <c r="V89" s="104"/>
      <c r="W89" s="104"/>
      <c r="X89" s="104"/>
      <c r="Y89" s="104" t="n">
        <f aca="false" t="array" ref="Y89:Y89">IF(AND(ISNUMBER(RESULTADOS!C89),ISNUMBER(RESULTADOS!E89),ISNUMBER(C89),ISNUMBER(E89),C89=RESULTADOS!C89,E89=RESULTADOS!E89),2,0)</f>
        <v>0</v>
      </c>
      <c r="Z89" s="104" t="n">
        <f aca="false" t="array" ref="Z89: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4" t="n">
        <f aca="false" t="array" ref="AA89:AA89">IF(AND(ISNUMBER(RESULTADOS!C89),ISNUMBER(RESULTADOS!E89),ISNUMBER(C89),ISNUMBER(E89),AND(Z89=1,OR(C89=RESULTADOS!C89,E89=RESULTADOS!E89))),1,0)</f>
        <v>0</v>
      </c>
      <c r="AB89" s="82"/>
      <c r="AC89" s="112" t="s">
        <v>218</v>
      </c>
      <c r="AD89" s="112" t="s">
        <v>219</v>
      </c>
      <c r="AE89" s="112" t="s">
        <v>220</v>
      </c>
      <c r="AF89" s="82" t="str">
        <f aca="false" t="array" ref="AF89:AF89">IF(ISNUMBER(FIND("C",AC89,1)),SUBSTITUTE(AC89,"C","E"),SUBSTITUTE(AC89,"E","C"))</f>
        <v>E86</v>
      </c>
      <c r="AG89" s="82" t="str">
        <f aca="false" t="array" ref="AG89:AG89">IF(ISNUMBER(FIND("C",AD89,1)),SUBSTITUTE(AD89,"C","E"),SUBSTITUTE(AD89,"E","C"))</f>
        <v>C87</v>
      </c>
      <c r="AH89" s="82" t="str">
        <f aca="false" t="array" ref="AH89: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customFormat="false" ht="12.75" hidden="false" customHeight="true" outlineLevel="0" collapsed="false">
      <c r="A90" s="69"/>
      <c r="B90" s="117" t="s">
        <v>208</v>
      </c>
      <c r="C90" s="118" t="n">
        <v>1</v>
      </c>
      <c r="D90" s="119" t="s">
        <v>29</v>
      </c>
      <c r="E90" s="120" t="n">
        <v>2</v>
      </c>
      <c r="F90" s="121" t="s">
        <v>205</v>
      </c>
      <c r="G90" s="71"/>
      <c r="H90" s="122" t="n">
        <v>46200</v>
      </c>
      <c r="I90" s="123" t="n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aca="false" t="array" ref="T90:T90">IF(NOT(AND(ISNUMBER(C90),ISNUMBER(E90))),"XXX","")</f>
        <v/>
      </c>
      <c r="U90" s="104" t="n">
        <f aca="false" t="array" ref="U90:U90">SUM(Y90,Z90,AA90)</f>
        <v>0</v>
      </c>
      <c r="V90" s="104"/>
      <c r="W90" s="104"/>
      <c r="X90" s="104"/>
      <c r="Y90" s="104" t="n">
        <f aca="false" t="array" ref="Y90:Y90">IF(AND(ISNUMBER(RESULTADOS!C90),ISNUMBER(RESULTADOS!E90),ISNUMBER(C90),ISNUMBER(E90),C90=RESULTADOS!C90,E90=RESULTADOS!E90),2,0)</f>
        <v>0</v>
      </c>
      <c r="Z90" s="104" t="n">
        <f aca="false" t="array" ref="Z90: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4" t="n">
        <f aca="false" t="array" ref="AA90:AA90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customFormat="false" ht="12.75" hidden="false" customHeight="true" outlineLevel="0" collapsed="false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2"/>
      <c r="Y91" s="82"/>
      <c r="Z91" s="82"/>
      <c r="AA91" s="82"/>
      <c r="AB91" s="82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customFormat="false" ht="12.75" hidden="false" customHeight="true" outlineLevel="0" collapsed="false">
      <c r="A92" s="69"/>
      <c r="B92" s="85" t="s">
        <v>221</v>
      </c>
      <c r="C92" s="85"/>
      <c r="D92" s="85"/>
      <c r="E92" s="85"/>
      <c r="F92" s="85"/>
      <c r="G92" s="71"/>
      <c r="H92" s="86" t="s">
        <v>26</v>
      </c>
      <c r="I92" s="87" t="s">
        <v>27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04"/>
      <c r="V92" s="104"/>
      <c r="W92" s="104"/>
      <c r="X92" s="104"/>
      <c r="Y92" s="82"/>
      <c r="Z92" s="82"/>
      <c r="AA92" s="82"/>
      <c r="AB92" s="82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customFormat="false" ht="12.75" hidden="false" customHeight="true" outlineLevel="0" collapsed="false">
      <c r="A93" s="69"/>
      <c r="B93" s="92" t="s">
        <v>222</v>
      </c>
      <c r="C93" s="93" t="n">
        <v>1</v>
      </c>
      <c r="D93" s="94" t="s">
        <v>29</v>
      </c>
      <c r="E93" s="95" t="n">
        <v>2</v>
      </c>
      <c r="F93" s="131" t="s">
        <v>223</v>
      </c>
      <c r="G93" s="71"/>
      <c r="H93" s="97" t="n">
        <v>46190</v>
      </c>
      <c r="I93" s="98" t="n">
        <v>1.70833333333333</v>
      </c>
      <c r="J93" s="99"/>
      <c r="K93" s="100"/>
      <c r="L93" s="94" t="s">
        <v>31</v>
      </c>
      <c r="M93" s="94" t="s">
        <v>32</v>
      </c>
      <c r="N93" s="94" t="s">
        <v>33</v>
      </c>
      <c r="O93" s="94" t="s">
        <v>34</v>
      </c>
      <c r="P93" s="94" t="s">
        <v>35</v>
      </c>
      <c r="Q93" s="94" t="s">
        <v>36</v>
      </c>
      <c r="R93" s="101" t="s">
        <v>37</v>
      </c>
      <c r="S93" s="102"/>
      <c r="T93" s="103" t="str">
        <f aca="false" t="array" ref="T93:T93">IF(NOT(AND(ISNUMBER(C93),ISNUMBER(E93))),"XXX","")</f>
        <v/>
      </c>
      <c r="U93" s="104" t="n">
        <f aca="false" t="array" ref="U93:U93">SUM(Y93,Z93,AA93)</f>
        <v>0</v>
      </c>
      <c r="V93" s="104"/>
      <c r="W93" s="104"/>
      <c r="X93" s="104"/>
      <c r="Y93" s="104" t="n">
        <f aca="false" t="array" ref="Y93:Y93">IF(AND(ISNUMBER(RESULTADOS!C93),ISNUMBER(RESULTADOS!E93),ISNUMBER(C93),ISNUMBER(E93),C93=RESULTADOS!C93,E93=RESULTADOS!E93),2,0)</f>
        <v>0</v>
      </c>
      <c r="Z93" s="104" t="n">
        <f aca="false" t="array" ref="Z93: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4" t="n">
        <f aca="false" t="array" ref="AA93:AA93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customFormat="false" ht="12.75" hidden="false" customHeight="true" outlineLevel="0" collapsed="false">
      <c r="A94" s="69"/>
      <c r="B94" s="105" t="s">
        <v>224</v>
      </c>
      <c r="C94" s="106" t="n">
        <v>4</v>
      </c>
      <c r="D94" s="107" t="s">
        <v>29</v>
      </c>
      <c r="E94" s="108" t="n">
        <v>0</v>
      </c>
      <c r="F94" s="109" t="s">
        <v>225</v>
      </c>
      <c r="G94" s="71"/>
      <c r="H94" s="97" t="n">
        <v>46190</v>
      </c>
      <c r="I94" s="98" t="n">
        <v>1.83333333333333</v>
      </c>
      <c r="J94" s="99"/>
      <c r="K94" s="132" t="s">
        <v>223</v>
      </c>
      <c r="L94" s="104" t="n">
        <v>0</v>
      </c>
      <c r="M94" s="104" t="n">
        <f aca="false" t="array" ref="M94:M94">N94-O94</f>
        <v>0</v>
      </c>
      <c r="N94" s="104" t="n">
        <v>0</v>
      </c>
      <c r="O94" s="104" t="n">
        <v>0</v>
      </c>
      <c r="P94" s="104" t="n">
        <v>0</v>
      </c>
      <c r="Q94" s="104" t="n">
        <v>0</v>
      </c>
      <c r="R94" s="111" t="n">
        <v>0</v>
      </c>
      <c r="S94" s="102"/>
      <c r="T94" s="103" t="str">
        <f aca="false" t="array" ref="T94:T94">IF(NOT(AND(ISNUMBER(C94),ISNUMBER(E94))),"XXX","")</f>
        <v/>
      </c>
      <c r="U94" s="104" t="n">
        <f aca="false" t="array" ref="U94:U94">SUM(Y94,Z94,AA94)</f>
        <v>0</v>
      </c>
      <c r="V94" s="104"/>
      <c r="W94" s="104"/>
      <c r="X94" s="104"/>
      <c r="Y94" s="104" t="n">
        <f aca="false" t="array" ref="Y94:Y94">IF(AND(ISNUMBER(RESULTADOS!C94),ISNUMBER(RESULTADOS!E94),ISNUMBER(C94),ISNUMBER(E94),C94=RESULTADOS!C94,E94=RESULTADOS!E94),2,0)</f>
        <v>0</v>
      </c>
      <c r="Z94" s="104" t="n">
        <f aca="false" t="array" ref="Z94: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4" t="n">
        <f aca="false" t="array" ref="AA94:AA94">IF(AND(ISNUMBER(RESULTADOS!C94),ISNUMBER(RESULTADOS!E94),ISNUMBER(C94),ISNUMBER(E94),AND(Z94=1,OR(C94=RESULTADOS!C94,E94=RESULTADOS!E94))),1,0)</f>
        <v>0</v>
      </c>
      <c r="AB94" s="82"/>
      <c r="AC94" s="112" t="s">
        <v>226</v>
      </c>
      <c r="AD94" s="112" t="s">
        <v>227</v>
      </c>
      <c r="AE94" s="112" t="s">
        <v>228</v>
      </c>
      <c r="AF94" s="82" t="str">
        <f aca="false" t="array" ref="AF94:AF94">IF(ISNUMBER(FIND("C",AC94,1)),SUBSTITUTE(AC94,"C","E"),SUBSTITUTE(AC94,"E","C"))</f>
        <v>C93</v>
      </c>
      <c r="AG94" s="82" t="str">
        <f aca="false" t="array" ref="AG94:AG94">IF(ISNUMBER(FIND("C",AD94,1)),SUBSTITUTE(AD94,"C","E"),SUBSTITUTE(AD94,"E","C"))</f>
        <v>C96</v>
      </c>
      <c r="AH94" s="82" t="str">
        <f aca="false" t="array" ref="AH94: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customFormat="false" ht="12.75" hidden="false" customHeight="true" outlineLevel="0" collapsed="false">
      <c r="A95" s="69"/>
      <c r="B95" s="105" t="s">
        <v>222</v>
      </c>
      <c r="C95" s="106" t="n">
        <v>2</v>
      </c>
      <c r="D95" s="107" t="s">
        <v>29</v>
      </c>
      <c r="E95" s="108" t="n">
        <v>2</v>
      </c>
      <c r="F95" s="109" t="s">
        <v>224</v>
      </c>
      <c r="G95" s="71"/>
      <c r="H95" s="97" t="n">
        <v>46196</v>
      </c>
      <c r="I95" s="98" t="n">
        <v>1.70833333333333</v>
      </c>
      <c r="J95" s="99"/>
      <c r="K95" s="132" t="s">
        <v>224</v>
      </c>
      <c r="L95" s="104" t="n">
        <v>0</v>
      </c>
      <c r="M95" s="104" t="n">
        <f aca="false" t="array" ref="M95:M95">N95-O95</f>
        <v>0</v>
      </c>
      <c r="N95" s="104" t="n">
        <v>0</v>
      </c>
      <c r="O95" s="104" t="n">
        <v>0</v>
      </c>
      <c r="P95" s="104" t="n">
        <v>0</v>
      </c>
      <c r="Q95" s="104" t="n">
        <v>0</v>
      </c>
      <c r="R95" s="111" t="n">
        <v>0</v>
      </c>
      <c r="S95" s="113"/>
      <c r="T95" s="103" t="str">
        <f aca="false" t="array" ref="T95:T95">IF(NOT(AND(ISNUMBER(C95),ISNUMBER(E95))),"XXX","")</f>
        <v/>
      </c>
      <c r="U95" s="104" t="n">
        <f aca="false" t="array" ref="U95:U95">SUM(Y95,Z95,AA95)</f>
        <v>0</v>
      </c>
      <c r="V95" s="104"/>
      <c r="W95" s="104"/>
      <c r="X95" s="104"/>
      <c r="Y95" s="104" t="n">
        <f aca="false" t="array" ref="Y95:Y95">IF(AND(ISNUMBER(RESULTADOS!C95),ISNUMBER(RESULTADOS!E95),ISNUMBER(C95),ISNUMBER(E95),C95=RESULTADOS!C95,E95=RESULTADOS!E95),2,0)</f>
        <v>0</v>
      </c>
      <c r="Z95" s="104" t="n">
        <f aca="false" t="array" ref="Z95: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4" t="n">
        <f aca="false" t="array" ref="AA95:AA95">IF(AND(ISNUMBER(RESULTADOS!C95),ISNUMBER(RESULTADOS!E95),ISNUMBER(C95),ISNUMBER(E95),AND(Z95=1,OR(C95=RESULTADOS!C95,E95=RESULTADOS!E95))),1,0)</f>
        <v>0</v>
      </c>
      <c r="AB95" s="82"/>
      <c r="AC95" s="112" t="s">
        <v>229</v>
      </c>
      <c r="AD95" s="112" t="s">
        <v>230</v>
      </c>
      <c r="AE95" s="112" t="s">
        <v>231</v>
      </c>
      <c r="AF95" s="82" t="str">
        <f aca="false" t="array" ref="AF95:AF95">IF(ISNUMBER(FIND("C",AC95,1)),SUBSTITUTE(AC95,"C","E"),SUBSTITUTE(AC95,"E","C"))</f>
        <v>E94</v>
      </c>
      <c r="AG95" s="82" t="str">
        <f aca="false" t="array" ref="AG95:AG95">IF(ISNUMBER(FIND("C",AD95,1)),SUBSTITUTE(AD95,"C","E"),SUBSTITUTE(AD95,"E","C"))</f>
        <v>C95</v>
      </c>
      <c r="AH95" s="82" t="str">
        <f aca="false" t="array" ref="AH95: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customFormat="false" ht="12.75" hidden="false" customHeight="true" outlineLevel="0" collapsed="false">
      <c r="A96" s="69"/>
      <c r="B96" s="105" t="s">
        <v>225</v>
      </c>
      <c r="C96" s="106" t="n">
        <v>1</v>
      </c>
      <c r="D96" s="107" t="s">
        <v>29</v>
      </c>
      <c r="E96" s="108" t="n">
        <v>3</v>
      </c>
      <c r="F96" s="109" t="s">
        <v>223</v>
      </c>
      <c r="G96" s="71"/>
      <c r="H96" s="97" t="n">
        <v>46196</v>
      </c>
      <c r="I96" s="98" t="n">
        <v>1.83333333333333</v>
      </c>
      <c r="J96" s="99"/>
      <c r="K96" s="132" t="s">
        <v>222</v>
      </c>
      <c r="L96" s="104" t="n">
        <v>0</v>
      </c>
      <c r="M96" s="104" t="n">
        <f aca="false" t="array" ref="M96:M96">N96-O96</f>
        <v>0</v>
      </c>
      <c r="N96" s="104" t="n">
        <v>0</v>
      </c>
      <c r="O96" s="104" t="n">
        <v>0</v>
      </c>
      <c r="P96" s="104" t="n">
        <v>0</v>
      </c>
      <c r="Q96" s="104" t="n">
        <v>0</v>
      </c>
      <c r="R96" s="111" t="n">
        <v>0</v>
      </c>
      <c r="S96" s="113"/>
      <c r="T96" s="103" t="str">
        <f aca="false" t="array" ref="T96:T96">IF(NOT(AND(ISNUMBER(C96),ISNUMBER(E96))),"XXX","")</f>
        <v/>
      </c>
      <c r="U96" s="104" t="n">
        <f aca="false" t="array" ref="U96:U96">SUM(Y96,Z96,AA96)</f>
        <v>0</v>
      </c>
      <c r="V96" s="104"/>
      <c r="W96" s="104"/>
      <c r="X96" s="104"/>
      <c r="Y96" s="104" t="n">
        <f aca="false" t="array" ref="Y96:Y96">IF(AND(ISNUMBER(RESULTADOS!C96),ISNUMBER(RESULTADOS!E96),ISNUMBER(C96),ISNUMBER(E96),C96=RESULTADOS!C96,E96=RESULTADOS!E96),2,0)</f>
        <v>0</v>
      </c>
      <c r="Z96" s="104" t="n">
        <f aca="false" t="array" ref="Z96: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4" t="n">
        <f aca="false" t="array" ref="AA96:AA96">IF(AND(ISNUMBER(RESULTADOS!C96),ISNUMBER(RESULTADOS!E96),ISNUMBER(C96),ISNUMBER(E96),AND(Z96=1,OR(C96=RESULTADOS!C96,E96=RESULTADOS!E96))),1,0)</f>
        <v>0</v>
      </c>
      <c r="AB96" s="82"/>
      <c r="AC96" s="112" t="s">
        <v>232</v>
      </c>
      <c r="AD96" s="112" t="s">
        <v>233</v>
      </c>
      <c r="AE96" s="112" t="s">
        <v>234</v>
      </c>
      <c r="AF96" s="82" t="str">
        <f aca="false" t="array" ref="AF96:AF96">IF(ISNUMBER(FIND("C",AC96,1)),SUBSTITUTE(AC96,"C","E"),SUBSTITUTE(AC96,"E","C"))</f>
        <v>E93</v>
      </c>
      <c r="AG96" s="82" t="str">
        <f aca="false" t="array" ref="AG96:AG96">IF(ISNUMBER(FIND("C",AD96,1)),SUBSTITUTE(AD96,"C","E"),SUBSTITUTE(AD96,"E","C"))</f>
        <v>E95</v>
      </c>
      <c r="AH96" s="82" t="str">
        <f aca="false" t="array" ref="AH96: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customFormat="false" ht="12.75" hidden="false" customHeight="true" outlineLevel="0" collapsed="false">
      <c r="A97" s="69"/>
      <c r="B97" s="105" t="s">
        <v>223</v>
      </c>
      <c r="C97" s="106" t="n">
        <v>1</v>
      </c>
      <c r="D97" s="107" t="s">
        <v>29</v>
      </c>
      <c r="E97" s="108" t="n">
        <v>2</v>
      </c>
      <c r="F97" s="109" t="s">
        <v>224</v>
      </c>
      <c r="G97" s="71"/>
      <c r="H97" s="97" t="n">
        <v>46200</v>
      </c>
      <c r="I97" s="98" t="n">
        <v>1.75</v>
      </c>
      <c r="J97" s="99"/>
      <c r="K97" s="133" t="s">
        <v>225</v>
      </c>
      <c r="L97" s="115" t="n">
        <v>0</v>
      </c>
      <c r="M97" s="115" t="n">
        <f aca="false" t="array" ref="M97:M97">N97-O97</f>
        <v>0</v>
      </c>
      <c r="N97" s="115" t="n">
        <v>0</v>
      </c>
      <c r="O97" s="115" t="n">
        <v>0</v>
      </c>
      <c r="P97" s="115" t="n">
        <v>0</v>
      </c>
      <c r="Q97" s="115" t="n">
        <v>0</v>
      </c>
      <c r="R97" s="116" t="n">
        <v>0</v>
      </c>
      <c r="S97" s="113"/>
      <c r="T97" s="103" t="str">
        <f aca="false" t="array" ref="T97:T97">IF(NOT(AND(ISNUMBER(C97),ISNUMBER(E97))),"XXX","")</f>
        <v/>
      </c>
      <c r="U97" s="104" t="n">
        <f aca="false" t="array" ref="U97:U97">SUM(Y97,Z97,AA97)</f>
        <v>0</v>
      </c>
      <c r="V97" s="104"/>
      <c r="W97" s="104"/>
      <c r="X97" s="104"/>
      <c r="Y97" s="104" t="n">
        <f aca="false" t="array" ref="Y97:Y97">IF(AND(ISNUMBER(RESULTADOS!C97),ISNUMBER(RESULTADOS!E97),ISNUMBER(C97),ISNUMBER(E97),C97=RESULTADOS!C97,E97=RESULTADOS!E97),2,0)</f>
        <v>0</v>
      </c>
      <c r="Z97" s="104" t="n">
        <f aca="false" t="array" ref="Z97: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4" t="n">
        <f aca="false" t="array" ref="AA97:AA97">IF(AND(ISNUMBER(RESULTADOS!C97),ISNUMBER(RESULTADOS!E97),ISNUMBER(C97),ISNUMBER(E97),AND(Z97=1,OR(C97=RESULTADOS!C97,E97=RESULTADOS!E97))),1,0)</f>
        <v>0</v>
      </c>
      <c r="AB97" s="82"/>
      <c r="AC97" s="112" t="s">
        <v>235</v>
      </c>
      <c r="AD97" s="112" t="s">
        <v>236</v>
      </c>
      <c r="AE97" s="112" t="s">
        <v>237</v>
      </c>
      <c r="AF97" s="82" t="str">
        <f aca="false" t="array" ref="AF97:AF97">IF(ISNUMBER(FIND("C",AC97,1)),SUBSTITUTE(AC97,"C","E"),SUBSTITUTE(AC97,"E","C"))</f>
        <v>C94</v>
      </c>
      <c r="AG97" s="82" t="str">
        <f aca="false" t="array" ref="AG97:AG97">IF(ISNUMBER(FIND("C",AD97,1)),SUBSTITUTE(AD97,"C","E"),SUBSTITUTE(AD97,"E","C"))</f>
        <v>E96</v>
      </c>
      <c r="AH97" s="82" t="str">
        <f aca="false" t="array" ref="AH97: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customFormat="false" ht="12.75" hidden="false" customHeight="true" outlineLevel="0" collapsed="false">
      <c r="A98" s="69"/>
      <c r="B98" s="117" t="s">
        <v>225</v>
      </c>
      <c r="C98" s="118" t="n">
        <v>0</v>
      </c>
      <c r="D98" s="119" t="s">
        <v>29</v>
      </c>
      <c r="E98" s="120" t="n">
        <v>3</v>
      </c>
      <c r="F98" s="121" t="s">
        <v>222</v>
      </c>
      <c r="G98" s="71"/>
      <c r="H98" s="122" t="n">
        <v>46200</v>
      </c>
      <c r="I98" s="123" t="n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aca="false" t="array" ref="T98:T98">IF(NOT(AND(ISNUMBER(C98),ISNUMBER(E98))),"XXX","")</f>
        <v/>
      </c>
      <c r="U98" s="104" t="n">
        <f aca="false" t="array" ref="U98:U98">SUM(Y98,Z98,AA98)</f>
        <v>0</v>
      </c>
      <c r="V98" s="104"/>
      <c r="W98" s="104"/>
      <c r="X98" s="104"/>
      <c r="Y98" s="104" t="n">
        <f aca="false" t="array" ref="Y98:Y98">IF(AND(ISNUMBER(RESULTADOS!C98),ISNUMBER(RESULTADOS!E98),ISNUMBER(C98),ISNUMBER(E98),C98=RESULTADOS!C98,E98=RESULTADOS!E98),2,0)</f>
        <v>0</v>
      </c>
      <c r="Z98" s="104" t="n">
        <f aca="false" t="array" ref="Z98: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4" t="n">
        <f aca="false" t="array" ref="AA98:AA98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customFormat="false" ht="12.75" hidden="false" customHeight="true" outlineLevel="0" collapsed="false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customFormat="false" ht="12.75" hidden="false" customHeight="true" outlineLevel="0" collapsed="false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customFormat="false" ht="13.5" hidden="false" customHeight="true" outlineLevel="0" collapsed="false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customFormat="false" ht="12.75" hidden="false" customHeight="true" outlineLevel="0" collapsed="false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04"/>
      <c r="V102" s="104"/>
      <c r="W102" s="104"/>
      <c r="X102" s="104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customFormat="false" ht="12.75" hidden="false" customHeight="true" outlineLevel="0" collapsed="false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04"/>
      <c r="V103" s="104"/>
      <c r="W103" s="104"/>
      <c r="X103" s="104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customFormat="false" ht="12.75" hidden="false" customHeight="true" outlineLevel="0" collapsed="false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04"/>
      <c r="V104" s="104"/>
      <c r="W104" s="104"/>
      <c r="X104" s="104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customFormat="false" ht="12.75" hidden="false" customHeight="true" outlineLevel="0" collapsed="false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04"/>
      <c r="V105" s="104"/>
      <c r="W105" s="104"/>
      <c r="X105" s="104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customFormat="false" ht="12.75" hidden="false" customHeight="true" outlineLevel="0" collapsed="false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04"/>
      <c r="V106" s="104"/>
      <c r="W106" s="104"/>
      <c r="X106" s="104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customFormat="false" ht="12.75" hidden="false" customHeight="true" outlineLevel="0" collapsed="false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04"/>
      <c r="V107" s="104"/>
      <c r="W107" s="104"/>
      <c r="X107" s="104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customFormat="false" ht="12.75" hidden="false" customHeight="true" outlineLevel="0" collapsed="false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04"/>
      <c r="V108" s="104"/>
      <c r="W108" s="104"/>
      <c r="X108" s="104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customFormat="false" ht="12.75" hidden="false" customHeight="true" outlineLevel="0" collapsed="false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04"/>
      <c r="V109" s="104"/>
      <c r="W109" s="104"/>
      <c r="X109" s="104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customFormat="false" ht="12.75" hidden="false" customHeight="true" outlineLevel="0" collapsed="false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04"/>
      <c r="V110" s="104"/>
      <c r="W110" s="104"/>
      <c r="X110" s="104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customFormat="false" ht="12.75" hidden="false" customHeight="true" outlineLevel="0" collapsed="false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04"/>
      <c r="V111" s="104"/>
      <c r="W111" s="104"/>
      <c r="X111" s="104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customFormat="false" ht="12.75" hidden="false" customHeight="true" outlineLevel="0" collapsed="false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04"/>
      <c r="V112" s="104"/>
      <c r="W112" s="104"/>
      <c r="X112" s="104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customFormat="false" ht="12.75" hidden="false" customHeight="true" outlineLevel="0" collapsed="false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04"/>
      <c r="V113" s="104"/>
      <c r="W113" s="104"/>
      <c r="X113" s="104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customFormat="false" ht="12.75" hidden="false" customHeight="true" outlineLevel="0" collapsed="false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04"/>
      <c r="V114" s="104"/>
      <c r="W114" s="104"/>
      <c r="X114" s="104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customFormat="false" ht="12.75" hidden="false" customHeight="true" outlineLevel="0" collapsed="false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04"/>
      <c r="V115" s="104"/>
      <c r="W115" s="104"/>
      <c r="X115" s="104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customFormat="false" ht="12.75" hidden="false" customHeight="true" outlineLevel="0" collapsed="false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04"/>
      <c r="V116" s="104"/>
      <c r="W116" s="104"/>
      <c r="X116" s="104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customFormat="false" ht="12.75" hidden="false" customHeight="true" outlineLevel="0" collapsed="false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04"/>
      <c r="V117" s="104"/>
      <c r="W117" s="104"/>
      <c r="X117" s="104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customFormat="false" ht="12.75" hidden="false" customHeight="true" outlineLevel="0" collapsed="false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04"/>
      <c r="V118" s="104"/>
      <c r="W118" s="104"/>
      <c r="X118" s="104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customFormat="false" ht="12.75" hidden="false" customHeight="true" outlineLevel="0" collapsed="false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04"/>
      <c r="V119" s="104"/>
      <c r="W119" s="104"/>
      <c r="X119" s="104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customFormat="false" ht="12.75" hidden="false" customHeight="true" outlineLevel="0" collapsed="false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04"/>
      <c r="V120" s="104"/>
      <c r="W120" s="104"/>
      <c r="X120" s="104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customFormat="false" ht="12.75" hidden="false" customHeight="true" outlineLevel="0" collapsed="false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04"/>
      <c r="V121" s="104"/>
      <c r="W121" s="104"/>
      <c r="X121" s="104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customFormat="false" ht="12.75" hidden="false" customHeight="true" outlineLevel="0" collapsed="false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04"/>
      <c r="V122" s="104"/>
      <c r="W122" s="104"/>
      <c r="X122" s="104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customFormat="false" ht="12.75" hidden="false" customHeight="true" outlineLevel="0" collapsed="false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04"/>
      <c r="V123" s="104"/>
      <c r="W123" s="104"/>
      <c r="X123" s="104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customFormat="false" ht="12.75" hidden="false" customHeight="true" outlineLevel="0" collapsed="false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04"/>
      <c r="V124" s="104"/>
      <c r="W124" s="104"/>
      <c r="X124" s="104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customFormat="false" ht="12.75" hidden="false" customHeight="true" outlineLevel="0" collapsed="false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04"/>
      <c r="V125" s="104"/>
      <c r="W125" s="104"/>
      <c r="X125" s="104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customFormat="false" ht="12.75" hidden="false" customHeight="true" outlineLevel="0" collapsed="false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04"/>
      <c r="V126" s="104"/>
      <c r="W126" s="104"/>
      <c r="X126" s="104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customFormat="false" ht="12.75" hidden="false" customHeight="true" outlineLevel="0" collapsed="false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04"/>
      <c r="V127" s="104"/>
      <c r="W127" s="104"/>
      <c r="X127" s="104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customFormat="false" ht="12.75" hidden="false" customHeight="true" outlineLevel="0" collapsed="false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04"/>
      <c r="V128" s="104"/>
      <c r="W128" s="104"/>
      <c r="X128" s="104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customFormat="false" ht="12.75" hidden="false" customHeight="true" outlineLevel="0" collapsed="false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04"/>
      <c r="V129" s="104"/>
      <c r="W129" s="104"/>
      <c r="X129" s="104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customFormat="false" ht="12.75" hidden="false" customHeight="true" outlineLevel="0" collapsed="false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04"/>
      <c r="V130" s="104"/>
      <c r="W130" s="104"/>
      <c r="X130" s="104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customFormat="false" ht="12.75" hidden="false" customHeight="true" outlineLevel="0" collapsed="false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04"/>
      <c r="V131" s="104"/>
      <c r="W131" s="104"/>
      <c r="X131" s="104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customFormat="false" ht="12.75" hidden="false" customHeight="true" outlineLevel="0" collapsed="false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04"/>
      <c r="V132" s="104"/>
      <c r="W132" s="104"/>
      <c r="X132" s="104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customFormat="false" ht="12.75" hidden="false" customHeight="true" outlineLevel="0" collapsed="false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04"/>
      <c r="V133" s="104"/>
      <c r="W133" s="104"/>
      <c r="X133" s="104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customFormat="false" ht="12.75" hidden="false" customHeight="true" outlineLevel="0" collapsed="false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04"/>
      <c r="V134" s="104"/>
      <c r="W134" s="104"/>
      <c r="X134" s="104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customFormat="false" ht="12.75" hidden="false" customHeight="true" outlineLevel="0" collapsed="false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04"/>
      <c r="V135" s="104"/>
      <c r="W135" s="104"/>
      <c r="X135" s="104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customFormat="false" ht="12.75" hidden="false" customHeight="true" outlineLevel="0" collapsed="false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04"/>
      <c r="V136" s="104"/>
      <c r="W136" s="104"/>
      <c r="X136" s="104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customFormat="false" ht="12.75" hidden="false" customHeight="true" outlineLevel="0" collapsed="false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04"/>
      <c r="V137" s="104"/>
      <c r="W137" s="104"/>
      <c r="X137" s="104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customFormat="false" ht="12.75" hidden="false" customHeight="true" outlineLevel="0" collapsed="false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04"/>
      <c r="V138" s="104"/>
      <c r="W138" s="104"/>
      <c r="X138" s="104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customFormat="false" ht="12.75" hidden="false" customHeight="true" outlineLevel="0" collapsed="false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04"/>
      <c r="V139" s="104"/>
      <c r="W139" s="104"/>
      <c r="X139" s="104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customFormat="false" ht="12.75" hidden="false" customHeight="true" outlineLevel="0" collapsed="false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04"/>
      <c r="V140" s="104"/>
      <c r="W140" s="104"/>
      <c r="X140" s="104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customFormat="false" ht="12.75" hidden="false" customHeight="true" outlineLevel="0" collapsed="false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04"/>
      <c r="V141" s="104"/>
      <c r="W141" s="104"/>
      <c r="X141" s="104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customFormat="false" ht="12.75" hidden="false" customHeight="true" outlineLevel="0" collapsed="false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04"/>
      <c r="V142" s="104"/>
      <c r="W142" s="104"/>
      <c r="X142" s="104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customFormat="false" ht="12.75" hidden="false" customHeight="true" outlineLevel="0" collapsed="false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04"/>
      <c r="V143" s="104"/>
      <c r="W143" s="104"/>
      <c r="X143" s="104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customFormat="false" ht="12.75" hidden="false" customHeight="true" outlineLevel="0" collapsed="false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04"/>
      <c r="V144" s="104"/>
      <c r="W144" s="104"/>
      <c r="X144" s="104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customFormat="false" ht="12.75" hidden="false" customHeight="true" outlineLevel="0" collapsed="false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04"/>
      <c r="V145" s="104"/>
      <c r="W145" s="104"/>
      <c r="X145" s="104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customFormat="false" ht="12.75" hidden="false" customHeight="true" outlineLevel="0" collapsed="false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04"/>
      <c r="V146" s="104"/>
      <c r="W146" s="104"/>
      <c r="X146" s="104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customFormat="false" ht="12.75" hidden="false" customHeight="true" outlineLevel="0" collapsed="false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04"/>
      <c r="V147" s="104"/>
      <c r="W147" s="104"/>
      <c r="X147" s="104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customFormat="false" ht="12.75" hidden="false" customHeight="true" outlineLevel="0" collapsed="false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04"/>
      <c r="V148" s="104"/>
      <c r="W148" s="104"/>
      <c r="X148" s="104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customFormat="false" ht="12.75" hidden="false" customHeight="true" outlineLevel="0" collapsed="false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04"/>
      <c r="V149" s="104"/>
      <c r="W149" s="104"/>
      <c r="X149" s="104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customFormat="false" ht="12.75" hidden="false" customHeight="true" outlineLevel="0" collapsed="false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04"/>
      <c r="V150" s="104"/>
      <c r="W150" s="104"/>
      <c r="X150" s="104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customFormat="false" ht="12.75" hidden="false" customHeight="true" outlineLevel="0" collapsed="false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04"/>
      <c r="V151" s="104"/>
      <c r="W151" s="104"/>
      <c r="X151" s="104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customFormat="false" ht="12.75" hidden="false" customHeight="true" outlineLevel="0" collapsed="false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04"/>
      <c r="V152" s="104"/>
      <c r="W152" s="104"/>
      <c r="X152" s="104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customFormat="false" ht="12.75" hidden="false" customHeight="true" outlineLevel="0" collapsed="false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04"/>
      <c r="V153" s="104"/>
      <c r="W153" s="104"/>
      <c r="X153" s="104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customFormat="false" ht="12.75" hidden="false" customHeight="true" outlineLevel="0" collapsed="false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04"/>
      <c r="V154" s="104"/>
      <c r="W154" s="104"/>
      <c r="X154" s="104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customFormat="false" ht="12.75" hidden="false" customHeight="true" outlineLevel="0" collapsed="false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04"/>
      <c r="V155" s="104"/>
      <c r="W155" s="104"/>
      <c r="X155" s="104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customFormat="false" ht="12.75" hidden="false" customHeight="true" outlineLevel="0" collapsed="false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04"/>
      <c r="V156" s="104"/>
      <c r="W156" s="104"/>
      <c r="X156" s="104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customFormat="false" ht="12.75" hidden="false" customHeight="true" outlineLevel="0" collapsed="false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04"/>
      <c r="V157" s="104"/>
      <c r="W157" s="104"/>
      <c r="X157" s="104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customFormat="false" ht="12.75" hidden="false" customHeight="true" outlineLevel="0" collapsed="false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04"/>
      <c r="V158" s="104"/>
      <c r="W158" s="104"/>
      <c r="X158" s="104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customFormat="false" ht="12.75" hidden="false" customHeight="true" outlineLevel="0" collapsed="false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04"/>
      <c r="V159" s="104"/>
      <c r="W159" s="104"/>
      <c r="X159" s="104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customFormat="false" ht="12.75" hidden="false" customHeight="true" outlineLevel="0" collapsed="false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04"/>
      <c r="V160" s="104"/>
      <c r="W160" s="104"/>
      <c r="X160" s="104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customFormat="false" ht="12.75" hidden="false" customHeight="true" outlineLevel="0" collapsed="false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04"/>
      <c r="V161" s="104"/>
      <c r="W161" s="104"/>
      <c r="X161" s="104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customFormat="false" ht="12.75" hidden="false" customHeight="true" outlineLevel="0" collapsed="false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04"/>
      <c r="V162" s="104"/>
      <c r="W162" s="104"/>
      <c r="X162" s="104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customFormat="false" ht="12.75" hidden="false" customHeight="true" outlineLevel="0" collapsed="false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04"/>
      <c r="V163" s="104"/>
      <c r="W163" s="104"/>
      <c r="X163" s="104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customFormat="false" ht="12.75" hidden="false" customHeight="true" outlineLevel="0" collapsed="false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04"/>
      <c r="V164" s="104"/>
      <c r="W164" s="104"/>
      <c r="X164" s="104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customFormat="false" ht="12.75" hidden="false" customHeight="true" outlineLevel="0" collapsed="false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04"/>
      <c r="V165" s="104"/>
      <c r="W165" s="104"/>
      <c r="X165" s="104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customFormat="false" ht="12.75" hidden="false" customHeight="true" outlineLevel="0" collapsed="false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04"/>
      <c r="V166" s="104"/>
      <c r="W166" s="104"/>
      <c r="X166" s="104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customFormat="false" ht="12.75" hidden="false" customHeight="true" outlineLevel="0" collapsed="false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04"/>
      <c r="V167" s="104"/>
      <c r="W167" s="104"/>
      <c r="X167" s="104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customFormat="false" ht="12.75" hidden="false" customHeight="true" outlineLevel="0" collapsed="false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04"/>
      <c r="V168" s="104"/>
      <c r="W168" s="104"/>
      <c r="X168" s="104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customFormat="false" ht="12.75" hidden="false" customHeight="true" outlineLevel="0" collapsed="false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04"/>
      <c r="V169" s="104"/>
      <c r="W169" s="104"/>
      <c r="X169" s="104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customFormat="false" ht="12.75" hidden="false" customHeight="true" outlineLevel="0" collapsed="false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04"/>
      <c r="V170" s="104"/>
      <c r="W170" s="104"/>
      <c r="X170" s="104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customFormat="false" ht="12.75" hidden="false" customHeight="true" outlineLevel="0" collapsed="false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04"/>
      <c r="V171" s="104"/>
      <c r="W171" s="104"/>
      <c r="X171" s="104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customFormat="false" ht="12.75" hidden="false" customHeight="true" outlineLevel="0" collapsed="false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04"/>
      <c r="V172" s="104"/>
      <c r="W172" s="104"/>
      <c r="X172" s="104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customFormat="false" ht="12.75" hidden="false" customHeight="true" outlineLevel="0" collapsed="false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04"/>
      <c r="V173" s="104"/>
      <c r="W173" s="104"/>
      <c r="X173" s="104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customFormat="false" ht="12.75" hidden="false" customHeight="true" outlineLevel="0" collapsed="false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04"/>
      <c r="V174" s="104"/>
      <c r="W174" s="104"/>
      <c r="X174" s="104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customFormat="false" ht="12.75" hidden="false" customHeight="true" outlineLevel="0" collapsed="false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04"/>
      <c r="V175" s="104"/>
      <c r="W175" s="104"/>
      <c r="X175" s="104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customFormat="false" ht="12.75" hidden="false" customHeight="true" outlineLevel="0" collapsed="false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04"/>
      <c r="V176" s="104"/>
      <c r="W176" s="104"/>
      <c r="X176" s="104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customFormat="false" ht="12.75" hidden="false" customHeight="true" outlineLevel="0" collapsed="false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04"/>
      <c r="V177" s="104"/>
      <c r="W177" s="104"/>
      <c r="X177" s="104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customFormat="false" ht="12.75" hidden="false" customHeight="true" outlineLevel="0" collapsed="false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04"/>
      <c r="V178" s="104"/>
      <c r="W178" s="104"/>
      <c r="X178" s="104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customFormat="false" ht="12.75" hidden="false" customHeight="true" outlineLevel="0" collapsed="false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04"/>
      <c r="V179" s="104"/>
      <c r="W179" s="104"/>
      <c r="X179" s="104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customFormat="false" ht="12.75" hidden="false" customHeight="true" outlineLevel="0" collapsed="false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04"/>
      <c r="V180" s="104"/>
      <c r="W180" s="104"/>
      <c r="X180" s="104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customFormat="false" ht="12.75" hidden="false" customHeight="true" outlineLevel="0" collapsed="false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04"/>
      <c r="V181" s="104"/>
      <c r="W181" s="104"/>
      <c r="X181" s="104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customFormat="false" ht="12.75" hidden="false" customHeight="true" outlineLevel="0" collapsed="false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04"/>
      <c r="V182" s="104"/>
      <c r="W182" s="104"/>
      <c r="X182" s="104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customFormat="false" ht="12.75" hidden="false" customHeight="true" outlineLevel="0" collapsed="false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04"/>
      <c r="V183" s="104"/>
      <c r="W183" s="104"/>
      <c r="X183" s="104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customFormat="false" ht="12.75" hidden="false" customHeight="true" outlineLevel="0" collapsed="false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04"/>
      <c r="V184" s="104"/>
      <c r="W184" s="104"/>
      <c r="X184" s="104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customFormat="false" ht="12.75" hidden="false" customHeight="true" outlineLevel="0" collapsed="false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04"/>
      <c r="V185" s="104"/>
      <c r="W185" s="104"/>
      <c r="X185" s="104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customFormat="false" ht="12.75" hidden="false" customHeight="true" outlineLevel="0" collapsed="false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04"/>
      <c r="V186" s="104"/>
      <c r="W186" s="104"/>
      <c r="X186" s="104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customFormat="false" ht="12.75" hidden="false" customHeight="true" outlineLevel="0" collapsed="false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04"/>
      <c r="V187" s="104"/>
      <c r="W187" s="104"/>
      <c r="X187" s="104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customFormat="false" ht="12.75" hidden="false" customHeight="true" outlineLevel="0" collapsed="false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04"/>
      <c r="V188" s="104"/>
      <c r="W188" s="104"/>
      <c r="X188" s="104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customFormat="false" ht="12.75" hidden="false" customHeight="true" outlineLevel="0" collapsed="false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04"/>
      <c r="V189" s="104"/>
      <c r="W189" s="104"/>
      <c r="X189" s="104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customFormat="false" ht="12.75" hidden="false" customHeight="true" outlineLevel="0" collapsed="false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04"/>
      <c r="V190" s="104"/>
      <c r="W190" s="104"/>
      <c r="X190" s="104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customFormat="false" ht="12.75" hidden="false" customHeight="true" outlineLevel="0" collapsed="false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04"/>
      <c r="V191" s="104"/>
      <c r="W191" s="104"/>
      <c r="X191" s="104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customFormat="false" ht="12.75" hidden="false" customHeight="true" outlineLevel="0" collapsed="false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04"/>
      <c r="V192" s="104"/>
      <c r="W192" s="104"/>
      <c r="X192" s="104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customFormat="false" ht="12.75" hidden="false" customHeight="true" outlineLevel="0" collapsed="false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04"/>
      <c r="V193" s="104"/>
      <c r="W193" s="104"/>
      <c r="X193" s="104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customFormat="false" ht="12.75" hidden="false" customHeight="true" outlineLevel="0" collapsed="false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04"/>
      <c r="V194" s="104"/>
      <c r="W194" s="104"/>
      <c r="X194" s="104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customFormat="false" ht="12.75" hidden="false" customHeight="true" outlineLevel="0" collapsed="false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04"/>
      <c r="V195" s="104"/>
      <c r="W195" s="104"/>
      <c r="X195" s="104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customFormat="false" ht="12.75" hidden="false" customHeight="true" outlineLevel="0" collapsed="false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04"/>
      <c r="V196" s="104"/>
      <c r="W196" s="104"/>
      <c r="X196" s="104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customFormat="false" ht="12.75" hidden="false" customHeight="true" outlineLevel="0" collapsed="false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04"/>
      <c r="V197" s="104"/>
      <c r="W197" s="104"/>
      <c r="X197" s="104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customFormat="false" ht="12.75" hidden="false" customHeight="true" outlineLevel="0" collapsed="false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04"/>
      <c r="V198" s="104"/>
      <c r="W198" s="104"/>
      <c r="X198" s="104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customFormat="false" ht="12.75" hidden="false" customHeight="true" outlineLevel="0" collapsed="false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04"/>
      <c r="V199" s="104"/>
      <c r="W199" s="104"/>
      <c r="X199" s="104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customFormat="false" ht="12.75" hidden="false" customHeight="true" outlineLevel="0" collapsed="false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04"/>
      <c r="V200" s="104"/>
      <c r="W200" s="104"/>
      <c r="X200" s="104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customFormat="false" ht="12.75" hidden="false" customHeight="true" outlineLevel="0" collapsed="false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04"/>
      <c r="V201" s="104"/>
      <c r="W201" s="104"/>
      <c r="X201" s="104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customFormat="false" ht="12.75" hidden="false" customHeight="true" outlineLevel="0" collapsed="false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04"/>
      <c r="V202" s="104"/>
      <c r="W202" s="104"/>
      <c r="X202" s="104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customFormat="false" ht="12.75" hidden="false" customHeight="true" outlineLevel="0" collapsed="false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04"/>
      <c r="V203" s="104"/>
      <c r="W203" s="104"/>
      <c r="X203" s="104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customFormat="false" ht="12.75" hidden="false" customHeight="true" outlineLevel="0" collapsed="false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04"/>
      <c r="V204" s="104"/>
      <c r="W204" s="104"/>
      <c r="X204" s="104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customFormat="false" ht="12.75" hidden="false" customHeight="true" outlineLevel="0" collapsed="false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04"/>
      <c r="V205" s="104"/>
      <c r="W205" s="104"/>
      <c r="X205" s="104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customFormat="false" ht="12.75" hidden="false" customHeight="true" outlineLevel="0" collapsed="false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04"/>
      <c r="V206" s="104"/>
      <c r="W206" s="104"/>
      <c r="X206" s="104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customFormat="false" ht="12.75" hidden="false" customHeight="true" outlineLevel="0" collapsed="false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04"/>
      <c r="V207" s="104"/>
      <c r="W207" s="104"/>
      <c r="X207" s="104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customFormat="false" ht="12.75" hidden="false" customHeight="true" outlineLevel="0" collapsed="false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04"/>
      <c r="V208" s="104"/>
      <c r="W208" s="104"/>
      <c r="X208" s="104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customFormat="false" ht="12.75" hidden="false" customHeight="true" outlineLevel="0" collapsed="false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04"/>
      <c r="V209" s="104"/>
      <c r="W209" s="104"/>
      <c r="X209" s="104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customFormat="false" ht="12.75" hidden="false" customHeight="true" outlineLevel="0" collapsed="false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04"/>
      <c r="V210" s="104"/>
      <c r="W210" s="104"/>
      <c r="X210" s="104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customFormat="false" ht="12.75" hidden="false" customHeight="true" outlineLevel="0" collapsed="false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04"/>
      <c r="V211" s="104"/>
      <c r="W211" s="104"/>
      <c r="X211" s="104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customFormat="false" ht="12.75" hidden="false" customHeight="true" outlineLevel="0" collapsed="false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04"/>
      <c r="V212" s="104"/>
      <c r="W212" s="104"/>
      <c r="X212" s="104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customFormat="false" ht="12.75" hidden="false" customHeight="true" outlineLevel="0" collapsed="false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04"/>
      <c r="V213" s="104"/>
      <c r="W213" s="104"/>
      <c r="X213" s="104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customFormat="false" ht="12.75" hidden="false" customHeight="true" outlineLevel="0" collapsed="false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04"/>
      <c r="V214" s="104"/>
      <c r="W214" s="104"/>
      <c r="X214" s="104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customFormat="false" ht="12.75" hidden="false" customHeight="true" outlineLevel="0" collapsed="false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04"/>
      <c r="V215" s="104"/>
      <c r="W215" s="104"/>
      <c r="X215" s="104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customFormat="false" ht="12.75" hidden="false" customHeight="true" outlineLevel="0" collapsed="false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04"/>
      <c r="V216" s="104"/>
      <c r="W216" s="104"/>
      <c r="X216" s="104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customFormat="false" ht="12.75" hidden="false" customHeight="true" outlineLevel="0" collapsed="false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04"/>
      <c r="V217" s="104"/>
      <c r="W217" s="104"/>
      <c r="X217" s="104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customFormat="false" ht="12.75" hidden="false" customHeight="true" outlineLevel="0" collapsed="false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04"/>
      <c r="V218" s="104"/>
      <c r="W218" s="104"/>
      <c r="X218" s="104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customFormat="false" ht="12.75" hidden="false" customHeight="true" outlineLevel="0" collapsed="false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04"/>
      <c r="V219" s="104"/>
      <c r="W219" s="104"/>
      <c r="X219" s="104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customFormat="false" ht="12.75" hidden="false" customHeight="true" outlineLevel="0" collapsed="false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04"/>
      <c r="V220" s="104"/>
      <c r="W220" s="104"/>
      <c r="X220" s="104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customFormat="false" ht="12.75" hidden="false" customHeight="true" outlineLevel="0" collapsed="false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04"/>
      <c r="V221" s="104"/>
      <c r="W221" s="104"/>
      <c r="X221" s="104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customFormat="false" ht="12.75" hidden="false" customHeight="true" outlineLevel="0" collapsed="false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04"/>
      <c r="V222" s="104"/>
      <c r="W222" s="104"/>
      <c r="X222" s="104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customFormat="false" ht="12.75" hidden="false" customHeight="true" outlineLevel="0" collapsed="false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04"/>
      <c r="V223" s="104"/>
      <c r="W223" s="104"/>
      <c r="X223" s="104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customFormat="false" ht="12.75" hidden="false" customHeight="true" outlineLevel="0" collapsed="false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04"/>
      <c r="V224" s="104"/>
      <c r="W224" s="104"/>
      <c r="X224" s="104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customFormat="false" ht="12.75" hidden="false" customHeight="true" outlineLevel="0" collapsed="false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04"/>
      <c r="V225" s="104"/>
      <c r="W225" s="104"/>
      <c r="X225" s="104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customFormat="false" ht="12.75" hidden="false" customHeight="true" outlineLevel="0" collapsed="false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04"/>
      <c r="V226" s="104"/>
      <c r="W226" s="104"/>
      <c r="X226" s="104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customFormat="false" ht="12.75" hidden="false" customHeight="true" outlineLevel="0" collapsed="false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04"/>
      <c r="V227" s="104"/>
      <c r="W227" s="104"/>
      <c r="X227" s="104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customFormat="false" ht="12.75" hidden="false" customHeight="true" outlineLevel="0" collapsed="false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04"/>
      <c r="V228" s="104"/>
      <c r="W228" s="104"/>
      <c r="X228" s="104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customFormat="false" ht="12.75" hidden="false" customHeight="true" outlineLevel="0" collapsed="false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04"/>
      <c r="V229" s="104"/>
      <c r="W229" s="104"/>
      <c r="X229" s="104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customFormat="false" ht="12.75" hidden="false" customHeight="true" outlineLevel="0" collapsed="false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04"/>
      <c r="V230" s="104"/>
      <c r="W230" s="104"/>
      <c r="X230" s="104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customFormat="false" ht="12.75" hidden="false" customHeight="true" outlineLevel="0" collapsed="false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04"/>
      <c r="V231" s="104"/>
      <c r="W231" s="104"/>
      <c r="X231" s="104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customFormat="false" ht="12.75" hidden="false" customHeight="true" outlineLevel="0" collapsed="false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04"/>
      <c r="V232" s="104"/>
      <c r="W232" s="104"/>
      <c r="X232" s="104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customFormat="false" ht="12.75" hidden="false" customHeight="true" outlineLevel="0" collapsed="false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04"/>
      <c r="V233" s="104"/>
      <c r="W233" s="104"/>
      <c r="X233" s="104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customFormat="false" ht="12.75" hidden="false" customHeight="true" outlineLevel="0" collapsed="false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04"/>
      <c r="V234" s="104"/>
      <c r="W234" s="104"/>
      <c r="X234" s="104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customFormat="false" ht="12.75" hidden="false" customHeight="true" outlineLevel="0" collapsed="false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04"/>
      <c r="V235" s="104"/>
      <c r="W235" s="104"/>
      <c r="X235" s="104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customFormat="false" ht="12.75" hidden="false" customHeight="true" outlineLevel="0" collapsed="false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04"/>
      <c r="V236" s="104"/>
      <c r="W236" s="104"/>
      <c r="X236" s="104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customFormat="false" ht="12.75" hidden="false" customHeight="true" outlineLevel="0" collapsed="false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04"/>
      <c r="V237" s="104"/>
      <c r="W237" s="104"/>
      <c r="X237" s="104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customFormat="false" ht="12.75" hidden="false" customHeight="true" outlineLevel="0" collapsed="false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04"/>
      <c r="V238" s="104"/>
      <c r="W238" s="104"/>
      <c r="X238" s="104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customFormat="false" ht="12.75" hidden="false" customHeight="true" outlineLevel="0" collapsed="false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04"/>
      <c r="V239" s="104"/>
      <c r="W239" s="104"/>
      <c r="X239" s="104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customFormat="false" ht="12.75" hidden="false" customHeight="true" outlineLevel="0" collapsed="false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04"/>
      <c r="V240" s="104"/>
      <c r="W240" s="104"/>
      <c r="X240" s="104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customFormat="false" ht="12.75" hidden="false" customHeight="true" outlineLevel="0" collapsed="false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04"/>
      <c r="V241" s="104"/>
      <c r="W241" s="104"/>
      <c r="X241" s="104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customFormat="false" ht="12.75" hidden="false" customHeight="true" outlineLevel="0" collapsed="false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04"/>
      <c r="V242" s="104"/>
      <c r="W242" s="104"/>
      <c r="X242" s="104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customFormat="false" ht="12.75" hidden="false" customHeight="true" outlineLevel="0" collapsed="false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04"/>
      <c r="V243" s="104"/>
      <c r="W243" s="104"/>
      <c r="X243" s="104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customFormat="false" ht="12.75" hidden="false" customHeight="true" outlineLevel="0" collapsed="false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04"/>
      <c r="V244" s="104"/>
      <c r="W244" s="104"/>
      <c r="X244" s="104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customFormat="false" ht="12.75" hidden="false" customHeight="true" outlineLevel="0" collapsed="false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04"/>
      <c r="V245" s="104"/>
      <c r="W245" s="104"/>
      <c r="X245" s="104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customFormat="false" ht="12.75" hidden="false" customHeight="true" outlineLevel="0" collapsed="false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04"/>
      <c r="V246" s="104"/>
      <c r="W246" s="104"/>
      <c r="X246" s="104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customFormat="false" ht="12.75" hidden="false" customHeight="true" outlineLevel="0" collapsed="false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04"/>
      <c r="V247" s="104"/>
      <c r="W247" s="104"/>
      <c r="X247" s="104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customFormat="false" ht="12.75" hidden="false" customHeight="true" outlineLevel="0" collapsed="false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04"/>
      <c r="V248" s="104"/>
      <c r="W248" s="104"/>
      <c r="X248" s="104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customFormat="false" ht="12.75" hidden="false" customHeight="true" outlineLevel="0" collapsed="false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04"/>
      <c r="V249" s="104"/>
      <c r="W249" s="104"/>
      <c r="X249" s="104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customFormat="false" ht="12.75" hidden="false" customHeight="true" outlineLevel="0" collapsed="false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04"/>
      <c r="V250" s="104"/>
      <c r="W250" s="104"/>
      <c r="X250" s="104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customFormat="false" ht="12.75" hidden="false" customHeight="true" outlineLevel="0" collapsed="false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04"/>
      <c r="V251" s="104"/>
      <c r="W251" s="104"/>
      <c r="X251" s="104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customFormat="false" ht="12.75" hidden="false" customHeight="true" outlineLevel="0" collapsed="false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04"/>
      <c r="V252" s="104"/>
      <c r="W252" s="104"/>
      <c r="X252" s="104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customFormat="false" ht="12.75" hidden="false" customHeight="true" outlineLevel="0" collapsed="false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04"/>
      <c r="V253" s="104"/>
      <c r="W253" s="104"/>
      <c r="X253" s="104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customFormat="false" ht="12.75" hidden="false" customHeight="true" outlineLevel="0" collapsed="false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04"/>
      <c r="V254" s="104"/>
      <c r="W254" s="104"/>
      <c r="X254" s="104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customFormat="false" ht="12.75" hidden="false" customHeight="true" outlineLevel="0" collapsed="false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04"/>
      <c r="V255" s="104"/>
      <c r="W255" s="104"/>
      <c r="X255" s="104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customFormat="false" ht="12.75" hidden="false" customHeight="true" outlineLevel="0" collapsed="false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04"/>
      <c r="V256" s="104"/>
      <c r="W256" s="104"/>
      <c r="X256" s="104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customFormat="false" ht="12.75" hidden="false" customHeight="true" outlineLevel="0" collapsed="false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04"/>
      <c r="V257" s="104"/>
      <c r="W257" s="104"/>
      <c r="X257" s="104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customFormat="false" ht="12.75" hidden="false" customHeight="true" outlineLevel="0" collapsed="false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04"/>
      <c r="V258" s="104"/>
      <c r="W258" s="104"/>
      <c r="X258" s="104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customFormat="false" ht="12.75" hidden="false" customHeight="true" outlineLevel="0" collapsed="false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04"/>
      <c r="V259" s="104"/>
      <c r="W259" s="104"/>
      <c r="X259" s="104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customFormat="false" ht="12.75" hidden="false" customHeight="true" outlineLevel="0" collapsed="false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04"/>
      <c r="V260" s="104"/>
      <c r="W260" s="104"/>
      <c r="X260" s="104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customFormat="false" ht="12.75" hidden="false" customHeight="true" outlineLevel="0" collapsed="false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04"/>
      <c r="V261" s="104"/>
      <c r="W261" s="104"/>
      <c r="X261" s="104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customFormat="false" ht="12.75" hidden="false" customHeight="true" outlineLevel="0" collapsed="false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04"/>
      <c r="V262" s="104"/>
      <c r="W262" s="104"/>
      <c r="X262" s="104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customFormat="false" ht="12.75" hidden="false" customHeight="true" outlineLevel="0" collapsed="false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04"/>
      <c r="V263" s="104"/>
      <c r="W263" s="104"/>
      <c r="X263" s="104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customFormat="false" ht="12.75" hidden="false" customHeight="true" outlineLevel="0" collapsed="false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04"/>
      <c r="V264" s="104"/>
      <c r="W264" s="104"/>
      <c r="X264" s="104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customFormat="false" ht="12.75" hidden="false" customHeight="true" outlineLevel="0" collapsed="false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04"/>
      <c r="V265" s="104"/>
      <c r="W265" s="104"/>
      <c r="X265" s="104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customFormat="false" ht="12.75" hidden="false" customHeight="true" outlineLevel="0" collapsed="false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04"/>
      <c r="V266" s="104"/>
      <c r="W266" s="104"/>
      <c r="X266" s="104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customFormat="false" ht="12.75" hidden="false" customHeight="true" outlineLevel="0" collapsed="false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04"/>
      <c r="V267" s="104"/>
      <c r="W267" s="104"/>
      <c r="X267" s="104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customFormat="false" ht="12.75" hidden="false" customHeight="true" outlineLevel="0" collapsed="false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04"/>
      <c r="V268" s="104"/>
      <c r="W268" s="104"/>
      <c r="X268" s="104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customFormat="false" ht="12.75" hidden="false" customHeight="true" outlineLevel="0" collapsed="false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04"/>
      <c r="V269" s="104"/>
      <c r="W269" s="104"/>
      <c r="X269" s="104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customFormat="false" ht="12.75" hidden="false" customHeight="true" outlineLevel="0" collapsed="false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04"/>
      <c r="V270" s="104"/>
      <c r="W270" s="104"/>
      <c r="X270" s="104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customFormat="false" ht="12.75" hidden="false" customHeight="true" outlineLevel="0" collapsed="false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04"/>
      <c r="V271" s="104"/>
      <c r="W271" s="104"/>
      <c r="X271" s="104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customFormat="false" ht="12.75" hidden="false" customHeight="true" outlineLevel="0" collapsed="false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04"/>
      <c r="V272" s="104"/>
      <c r="W272" s="104"/>
      <c r="X272" s="104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customFormat="false" ht="12.75" hidden="false" customHeight="true" outlineLevel="0" collapsed="false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04"/>
      <c r="V273" s="104"/>
      <c r="W273" s="104"/>
      <c r="X273" s="104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customFormat="false" ht="12.75" hidden="false" customHeight="true" outlineLevel="0" collapsed="false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04"/>
      <c r="V274" s="104"/>
      <c r="W274" s="104"/>
      <c r="X274" s="104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customFormat="false" ht="12.75" hidden="false" customHeight="true" outlineLevel="0" collapsed="false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04"/>
      <c r="V275" s="104"/>
      <c r="W275" s="104"/>
      <c r="X275" s="104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customFormat="false" ht="12.75" hidden="false" customHeight="true" outlineLevel="0" collapsed="false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04"/>
      <c r="V276" s="104"/>
      <c r="W276" s="104"/>
      <c r="X276" s="104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customFormat="false" ht="12.75" hidden="false" customHeight="true" outlineLevel="0" collapsed="false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04"/>
      <c r="V277" s="104"/>
      <c r="W277" s="104"/>
      <c r="X277" s="104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customFormat="false" ht="12.75" hidden="false" customHeight="true" outlineLevel="0" collapsed="false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04"/>
      <c r="V278" s="104"/>
      <c r="W278" s="104"/>
      <c r="X278" s="104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customFormat="false" ht="12.75" hidden="false" customHeight="true" outlineLevel="0" collapsed="false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04"/>
      <c r="V279" s="104"/>
      <c r="W279" s="104"/>
      <c r="X279" s="104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customFormat="false" ht="12.75" hidden="false" customHeight="true" outlineLevel="0" collapsed="false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04"/>
      <c r="V280" s="104"/>
      <c r="W280" s="104"/>
      <c r="X280" s="104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customFormat="false" ht="12.75" hidden="false" customHeight="true" outlineLevel="0" collapsed="false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04"/>
      <c r="V281" s="104"/>
      <c r="W281" s="104"/>
      <c r="X281" s="104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customFormat="false" ht="12.75" hidden="false" customHeight="true" outlineLevel="0" collapsed="false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04"/>
      <c r="V282" s="104"/>
      <c r="W282" s="104"/>
      <c r="X282" s="104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customFormat="false" ht="12.75" hidden="false" customHeight="true" outlineLevel="0" collapsed="false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04"/>
      <c r="V283" s="104"/>
      <c r="W283" s="104"/>
      <c r="X283" s="104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customFormat="false" ht="12.75" hidden="false" customHeight="true" outlineLevel="0" collapsed="false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04"/>
      <c r="V284" s="104"/>
      <c r="W284" s="104"/>
      <c r="X284" s="104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customFormat="false" ht="12.75" hidden="false" customHeight="true" outlineLevel="0" collapsed="false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04"/>
      <c r="V285" s="104"/>
      <c r="W285" s="104"/>
      <c r="X285" s="104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customFormat="false" ht="12.75" hidden="false" customHeight="true" outlineLevel="0" collapsed="false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04"/>
      <c r="V286" s="104"/>
      <c r="W286" s="104"/>
      <c r="X286" s="104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customFormat="false" ht="12.75" hidden="false" customHeight="true" outlineLevel="0" collapsed="false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04"/>
      <c r="V287" s="104"/>
      <c r="W287" s="104"/>
      <c r="X287" s="104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customFormat="false" ht="12.75" hidden="false" customHeight="true" outlineLevel="0" collapsed="false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04"/>
      <c r="V288" s="104"/>
      <c r="W288" s="104"/>
      <c r="X288" s="104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customFormat="false" ht="12.75" hidden="false" customHeight="true" outlineLevel="0" collapsed="false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04"/>
      <c r="V289" s="104"/>
      <c r="W289" s="104"/>
      <c r="X289" s="104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customFormat="false" ht="12.75" hidden="false" customHeight="true" outlineLevel="0" collapsed="false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04"/>
      <c r="V290" s="104"/>
      <c r="W290" s="104"/>
      <c r="X290" s="104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customFormat="false" ht="12.75" hidden="false" customHeight="true" outlineLevel="0" collapsed="false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04"/>
      <c r="V291" s="104"/>
      <c r="W291" s="104"/>
      <c r="X291" s="104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customFormat="false" ht="12.75" hidden="false" customHeight="true" outlineLevel="0" collapsed="false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04"/>
      <c r="V292" s="104"/>
      <c r="W292" s="104"/>
      <c r="X292" s="104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customFormat="false" ht="12.75" hidden="false" customHeight="true" outlineLevel="0" collapsed="false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04"/>
      <c r="V293" s="104"/>
      <c r="W293" s="104"/>
      <c r="X293" s="104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customFormat="false" ht="12.75" hidden="false" customHeight="true" outlineLevel="0" collapsed="false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04"/>
      <c r="V294" s="104"/>
      <c r="W294" s="104"/>
      <c r="X294" s="104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customFormat="false" ht="12.75" hidden="false" customHeight="true" outlineLevel="0" collapsed="false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04"/>
      <c r="V295" s="104"/>
      <c r="W295" s="104"/>
      <c r="X295" s="104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customFormat="false" ht="12.75" hidden="false" customHeight="true" outlineLevel="0" collapsed="false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04"/>
      <c r="V296" s="104"/>
      <c r="W296" s="104"/>
      <c r="X296" s="104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customFormat="false" ht="12.75" hidden="false" customHeight="true" outlineLevel="0" collapsed="false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04"/>
      <c r="V297" s="104"/>
      <c r="W297" s="104"/>
      <c r="X297" s="104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customFormat="false" ht="12.75" hidden="false" customHeight="true" outlineLevel="0" collapsed="false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04"/>
      <c r="V298" s="104"/>
      <c r="W298" s="104"/>
      <c r="X298" s="104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3" colorId="64" zoomScale="100" zoomScaleNormal="100" zoomScalePageLayoutView="100" workbookViewId="0">
      <selection pane="topLeft" activeCell="A93" activeCellId="0" sqref="A93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244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1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0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1</v>
      </c>
      <c r="N6" s="16" t="n">
        <f aca="true">SUM(INDIRECT($AC6),INDIRECT($AD6),INDIRECT($AE6))</f>
        <v>5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2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6</v>
      </c>
      <c r="O7" s="16" t="n">
        <f aca="true">SUM(INDIRECT($AF7),INDIRECT($AG7),INDIRECT($AH7))</f>
        <v>3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2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2</v>
      </c>
      <c r="D9" s="16" t="s">
        <v>29</v>
      </c>
      <c r="E9" s="19" t="n">
        <v>2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5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0</v>
      </c>
      <c r="D10" s="35" t="s">
        <v>29</v>
      </c>
      <c r="E10" s="39" t="n">
        <v>2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1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1</v>
      </c>
      <c r="D14" s="16" t="s">
        <v>29</v>
      </c>
      <c r="E14" s="19" t="n">
        <v>3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6" t="n">
        <f aca="false">N14-O14</f>
        <v>1</v>
      </c>
      <c r="N14" s="16" t="n">
        <f aca="true">SUM(INDIRECT($AC14),INDIRECT($AD14),INDIRECT($AE14))</f>
        <v>6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2</v>
      </c>
      <c r="D15" s="16" t="s">
        <v>29</v>
      </c>
      <c r="E15" s="19" t="n">
        <v>2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6" t="n">
        <f aca="false">N15-O15</f>
        <v>1</v>
      </c>
      <c r="N15" s="16" t="n">
        <f aca="true">SUM(INDIRECT($AC15),INDIRECT($AD15),INDIRECT($AE15))</f>
        <v>5</v>
      </c>
      <c r="O15" s="16" t="n">
        <f aca="true">SUM(INDIRECT($AF15),INDIRECT($AG15),INDIRECT($AH15))</f>
        <v>4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2</v>
      </c>
      <c r="D16" s="16" t="s">
        <v>29</v>
      </c>
      <c r="E16" s="19" t="n">
        <v>1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4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2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7</v>
      </c>
      <c r="O17" s="35" t="n">
        <f aca="true">SUM(INDIRECT($AF17),INDIRECT($AG17),INDIRECT($AH17))</f>
        <v>5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3</v>
      </c>
      <c r="D18" s="35" t="s">
        <v>29</v>
      </c>
      <c r="E18" s="39" t="n">
        <v>2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0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1</v>
      </c>
      <c r="D22" s="16" t="s">
        <v>29</v>
      </c>
      <c r="E22" s="19" t="n">
        <v>0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8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3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4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2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2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3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6" t="n">
        <f aca="false">N30-O30</f>
        <v>-3</v>
      </c>
      <c r="N30" s="16" t="n">
        <f aca="true">SUM(INDIRECT($AC30),INDIRECT($AD30),INDIRECT($AE30))</f>
        <v>3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1</v>
      </c>
      <c r="D31" s="16" t="s">
        <v>29</v>
      </c>
      <c r="E31" s="19" t="n">
        <v>1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3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1</v>
      </c>
      <c r="D32" s="16" t="s">
        <v>29</v>
      </c>
      <c r="E32" s="19" t="n">
        <v>2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1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3</v>
      </c>
      <c r="N33" s="35" t="n">
        <f aca="true">SUM(INDIRECT($AC33),INDIRECT($AD33),INDIRECT($AE33))</f>
        <v>6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2</v>
      </c>
      <c r="D34" s="35" t="s">
        <v>29</v>
      </c>
      <c r="E34" s="39" t="n">
        <v>2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7</v>
      </c>
      <c r="D37" s="16" t="s">
        <v>29</v>
      </c>
      <c r="E37" s="19" t="n">
        <v>1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1</v>
      </c>
      <c r="D38" s="16" t="s">
        <v>29</v>
      </c>
      <c r="E38" s="19" t="n">
        <v>0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6" t="n">
        <f aca="false">N38-O38</f>
        <v>7</v>
      </c>
      <c r="N38" s="16" t="n">
        <f aca="true">SUM(INDIRECT($AC38),INDIRECT($AD38),INDIRECT($AE38))</f>
        <v>10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0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0</v>
      </c>
      <c r="N39" s="16" t="n">
        <f aca="true">SUM(INDIRECT($AC39),INDIRECT($AD39),INDIRECT($AE39))</f>
        <v>3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4</v>
      </c>
      <c r="D40" s="16" t="s">
        <v>29</v>
      </c>
      <c r="E40" s="19" t="n">
        <v>0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-11</v>
      </c>
      <c r="N40" s="16" t="n">
        <f aca="true">SUM(INDIRECT($AC40),INDIRECT($AD40),INDIRECT($AE40))</f>
        <v>2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2</v>
      </c>
      <c r="D41" s="16" t="s">
        <v>29</v>
      </c>
      <c r="E41" s="19" t="n">
        <v>1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4</v>
      </c>
      <c r="N41" s="35" t="n">
        <f aca="true">SUM(INDIRECT($AC41),INDIRECT($AD41),INDIRECT($AE41))</f>
        <v>6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1</v>
      </c>
      <c r="D42" s="35" t="s">
        <v>29</v>
      </c>
      <c r="E42" s="39" t="n">
        <v>2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1</v>
      </c>
      <c r="D45" s="16" t="s">
        <v>29</v>
      </c>
      <c r="E45" s="19" t="n">
        <v>2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2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6" t="n">
        <f aca="false">N46-O46</f>
        <v>1</v>
      </c>
      <c r="N46" s="16" t="n">
        <f aca="true">SUM(INDIRECT($AC46),INDIRECT($AD46),INDIRECT($AE46))</f>
        <v>5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0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2</v>
      </c>
      <c r="D48" s="16" t="s">
        <v>29</v>
      </c>
      <c r="E48" s="19" t="n">
        <v>2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-5</v>
      </c>
      <c r="N48" s="16" t="n">
        <f aca="true">SUM(INDIRECT($AC48),INDIRECT($AD48),INDIRECT($AE48))</f>
        <v>1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2</v>
      </c>
      <c r="D49" s="16" t="s">
        <v>29</v>
      </c>
      <c r="E49" s="19" t="n">
        <v>2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5" t="n">
        <f aca="false">N49-O49</f>
        <v>1</v>
      </c>
      <c r="N49" s="35" t="n">
        <f aca="true">SUM(INDIRECT($AC49),INDIRECT($AD49),INDIRECT($AE49))</f>
        <v>6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0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1</v>
      </c>
      <c r="D53" s="16" t="s">
        <v>29</v>
      </c>
      <c r="E53" s="19" t="n">
        <v>2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3</v>
      </c>
      <c r="D54" s="16" t="s">
        <v>29</v>
      </c>
      <c r="E54" s="19" t="n">
        <v>0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6" t="n">
        <f aca="false">N54-O54</f>
        <v>0</v>
      </c>
      <c r="N54" s="16" t="n">
        <f aca="true">SUM(INDIRECT($AC54),INDIRECT($AD54),INDIRECT($AE54))</f>
        <v>5</v>
      </c>
      <c r="O54" s="16" t="n">
        <f aca="true">SUM(INDIRECT($AF54),INDIRECT($AG54),INDIRECT($AH54))</f>
        <v>5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1</v>
      </c>
      <c r="D55" s="16" t="s">
        <v>29</v>
      </c>
      <c r="E55" s="19" t="n">
        <v>2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7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1</v>
      </c>
      <c r="D56" s="16" t="s">
        <v>29</v>
      </c>
      <c r="E56" s="19" t="n">
        <v>4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4</v>
      </c>
      <c r="N56" s="16" t="n">
        <f aca="true">SUM(INDIRECT($AC56),INDIRECT($AD56),INDIRECT($AE56))</f>
        <v>6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1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2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1</v>
      </c>
      <c r="D58" s="35" t="s">
        <v>29</v>
      </c>
      <c r="E58" s="39" t="n">
        <v>3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4</v>
      </c>
      <c r="D61" s="16" t="s">
        <v>29</v>
      </c>
      <c r="E61" s="19" t="n">
        <v>2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0</v>
      </c>
      <c r="D62" s="16" t="s">
        <v>29</v>
      </c>
      <c r="E62" s="19" t="n">
        <v>1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4</v>
      </c>
      <c r="D63" s="16" t="s">
        <v>29</v>
      </c>
      <c r="E63" s="19" t="n">
        <v>2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2</v>
      </c>
      <c r="D64" s="16" t="s">
        <v>29</v>
      </c>
      <c r="E64" s="19" t="n">
        <v>1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4</v>
      </c>
      <c r="N64" s="16" t="n">
        <f aca="true">SUM(INDIRECT($AC64),INDIRECT($AD64),INDIRECT($AE64))</f>
        <v>10</v>
      </c>
      <c r="O64" s="16" t="n">
        <f aca="true">SUM(INDIRECT($AF64),INDIRECT($AG64),INDIRECT($AH64))</f>
        <v>6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2</v>
      </c>
      <c r="D65" s="16" t="s">
        <v>29</v>
      </c>
      <c r="E65" s="19" t="n">
        <v>1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2</v>
      </c>
      <c r="D66" s="35" t="s">
        <v>29</v>
      </c>
      <c r="E66" s="39" t="n">
        <v>2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2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2</v>
      </c>
      <c r="D70" s="16" t="s">
        <v>29</v>
      </c>
      <c r="E70" s="19" t="n">
        <v>3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10</v>
      </c>
      <c r="O70" s="16" t="n">
        <f aca="true">SUM(INDIRECT($AF70),INDIRECT($AG70),INDIRECT($AH70))</f>
        <v>5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4</v>
      </c>
      <c r="D71" s="16" t="s">
        <v>29</v>
      </c>
      <c r="E71" s="19" t="n">
        <v>1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3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1</v>
      </c>
      <c r="D72" s="16" t="s">
        <v>29</v>
      </c>
      <c r="E72" s="19" t="n">
        <v>2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-2</v>
      </c>
      <c r="N72" s="16" t="n">
        <f aca="true">SUM(INDIRECT($AC72),INDIRECT($AD72),INDIRECT($AE72))</f>
        <v>6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5" t="n">
        <f aca="false">N73-O73</f>
        <v>3</v>
      </c>
      <c r="N73" s="35" t="n">
        <f aca="true">SUM(INDIRECT($AC73),INDIRECT($AD73),INDIRECT($AE73))</f>
        <v>6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2</v>
      </c>
      <c r="D74" s="35" t="s">
        <v>29</v>
      </c>
      <c r="E74" s="39" t="n">
        <v>4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1</v>
      </c>
      <c r="D77" s="16" t="s">
        <v>29</v>
      </c>
      <c r="E77" s="19" t="n">
        <v>1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1</v>
      </c>
      <c r="D78" s="16" t="s">
        <v>29</v>
      </c>
      <c r="E78" s="19" t="n">
        <v>1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2</v>
      </c>
      <c r="D79" s="16" t="s">
        <v>29</v>
      </c>
      <c r="E79" s="19" t="n">
        <v>0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6" t="n">
        <f aca="false">N79-O79</f>
        <v>4</v>
      </c>
      <c r="N79" s="16" t="n">
        <f aca="true">SUM(INDIRECT($AC79),INDIRECT($AD79),INDIRECT($AE79))</f>
        <v>6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0</v>
      </c>
      <c r="D80" s="16" t="s">
        <v>29</v>
      </c>
      <c r="E80" s="19" t="n">
        <v>2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2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1</v>
      </c>
      <c r="D81" s="16" t="s">
        <v>29</v>
      </c>
      <c r="E81" s="19" t="n">
        <v>4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3</v>
      </c>
      <c r="D82" s="35" t="s">
        <v>29</v>
      </c>
      <c r="E82" s="39" t="n">
        <v>1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3</v>
      </c>
      <c r="D85" s="16" t="s">
        <v>29</v>
      </c>
      <c r="E85" s="19" t="n">
        <v>0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1</v>
      </c>
      <c r="D86" s="16" t="s">
        <v>29</v>
      </c>
      <c r="E86" s="19" t="n">
        <v>3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3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3</v>
      </c>
      <c r="D88" s="16" t="s">
        <v>29</v>
      </c>
      <c r="E88" s="19" t="n">
        <v>1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3</v>
      </c>
      <c r="D89" s="16" t="s">
        <v>29</v>
      </c>
      <c r="E89" s="19" t="n">
        <v>1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-7</v>
      </c>
      <c r="N89" s="35" t="n">
        <f aca="true">SUM(INDIRECT($AC89),INDIRECT($AD89),INDIRECT($AE89))</f>
        <v>2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2</v>
      </c>
      <c r="D90" s="35" t="s">
        <v>29</v>
      </c>
      <c r="E90" s="39" t="n">
        <v>2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3</v>
      </c>
      <c r="D93" s="16" t="s">
        <v>29</v>
      </c>
      <c r="E93" s="19" t="n">
        <v>3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3</v>
      </c>
      <c r="D94" s="16" t="s">
        <v>29</v>
      </c>
      <c r="E94" s="19" t="n">
        <v>1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6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2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6" t="n">
        <f aca="false">N95-O95</f>
        <v>3</v>
      </c>
      <c r="N95" s="16" t="n">
        <f aca="true">SUM(INDIRECT($AC95),INDIRECT($AD95),INDIRECT($AE95))</f>
        <v>7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2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8</v>
      </c>
      <c r="O96" s="16" t="n">
        <f aca="true">SUM(INDIRECT($AF96),INDIRECT($AG96),INDIRECT($AH96))</f>
        <v>6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1</v>
      </c>
      <c r="D97" s="16" t="s">
        <v>29</v>
      </c>
      <c r="E97" s="19" t="n">
        <v>2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1</v>
      </c>
      <c r="D98" s="35" t="s">
        <v>29</v>
      </c>
      <c r="E98" s="39" t="n">
        <v>3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3" colorId="64" zoomScale="100" zoomScaleNormal="100" zoomScalePageLayoutView="100" workbookViewId="0">
      <selection pane="topLeft" activeCell="A93" activeCellId="0" sqref="A93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245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2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1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0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5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1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3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1</v>
      </c>
      <c r="D9" s="16" t="s">
        <v>29</v>
      </c>
      <c r="E9" s="19" t="n">
        <v>2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1</v>
      </c>
      <c r="D10" s="35" t="s">
        <v>29</v>
      </c>
      <c r="E10" s="39" t="n">
        <v>1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2</v>
      </c>
      <c r="D13" s="16" t="s">
        <v>29</v>
      </c>
      <c r="E13" s="19" t="n">
        <v>1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1</v>
      </c>
      <c r="D14" s="16" t="s">
        <v>29</v>
      </c>
      <c r="E14" s="19" t="n">
        <v>2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6" t="n">
        <f aca="false">N14-O14</f>
        <v>-1</v>
      </c>
      <c r="N14" s="16" t="n">
        <f aca="true">SUM(INDIRECT($AC14),INDIRECT($AD14),INDIRECT($AE14))</f>
        <v>4</v>
      </c>
      <c r="O14" s="16" t="n">
        <f aca="true">SUM(INDIRECT($AF14),INDIRECT($AG14),INDIRECT($AH14))</f>
        <v>5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1</v>
      </c>
      <c r="D15" s="16" t="s">
        <v>29</v>
      </c>
      <c r="E15" s="19" t="n">
        <v>1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1</v>
      </c>
      <c r="D16" s="16" t="s">
        <v>29</v>
      </c>
      <c r="E16" s="19" t="n">
        <v>1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6" t="n">
        <f aca="false">N16-O16</f>
        <v>-1</v>
      </c>
      <c r="N16" s="16" t="n">
        <f aca="true">SUM(INDIRECT($AC16),INDIRECT($AD16),INDIRECT($AE16))</f>
        <v>4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0</v>
      </c>
      <c r="D17" s="16" t="s">
        <v>29</v>
      </c>
      <c r="E17" s="19" t="n">
        <v>1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3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2</v>
      </c>
      <c r="D18" s="35" t="s">
        <v>29</v>
      </c>
      <c r="E18" s="39" t="n">
        <v>2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1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1</v>
      </c>
      <c r="D22" s="16" t="s">
        <v>29</v>
      </c>
      <c r="E22" s="19" t="n">
        <v>2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0</v>
      </c>
      <c r="D23" s="16" t="s">
        <v>29</v>
      </c>
      <c r="E23" s="19" t="n">
        <v>2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-3</v>
      </c>
      <c r="N23" s="16" t="n">
        <f aca="true">SUM(INDIRECT($AC23),INDIRECT($AD23),INDIRECT($AE23))</f>
        <v>3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3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2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4</v>
      </c>
      <c r="N25" s="35" t="n">
        <f aca="true">SUM(INDIRECT($AC25),INDIRECT($AD25),INDIRECT($AE25))</f>
        <v>5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1</v>
      </c>
      <c r="D26" s="35" t="s">
        <v>29</v>
      </c>
      <c r="E26" s="39" t="n">
        <v>3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2</v>
      </c>
      <c r="D29" s="16" t="s">
        <v>29</v>
      </c>
      <c r="E29" s="19" t="n">
        <v>1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2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1</v>
      </c>
      <c r="O30" s="16" t="n">
        <f aca="true">SUM(INDIRECT($AF30),INDIRECT($AG30),INDIRECT($AH30))</f>
        <v>6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2</v>
      </c>
      <c r="D31" s="16" t="s">
        <v>29</v>
      </c>
      <c r="E31" s="19" t="n">
        <v>1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6" t="n">
        <f aca="false">N31-O31</f>
        <v>3</v>
      </c>
      <c r="N31" s="16" t="n">
        <f aca="true">SUM(INDIRECT($AC31),INDIRECT($AD31),INDIRECT($AE31))</f>
        <v>5</v>
      </c>
      <c r="O31" s="16" t="n">
        <f aca="true">SUM(INDIRECT($AF31),INDIRECT($AG31),INDIRECT($AH31))</f>
        <v>2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1</v>
      </c>
      <c r="D32" s="16" t="s">
        <v>29</v>
      </c>
      <c r="E32" s="19" t="n">
        <v>1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-3</v>
      </c>
      <c r="N32" s="16" t="n">
        <f aca="true">SUM(INDIRECT($AC32),INDIRECT($AD32),INDIRECT($AE32))</f>
        <v>2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0</v>
      </c>
      <c r="D33" s="16" t="s">
        <v>29</v>
      </c>
      <c r="E33" s="19" t="n">
        <v>1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3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2</v>
      </c>
      <c r="D34" s="35" t="s">
        <v>29</v>
      </c>
      <c r="E34" s="39" t="n">
        <v>0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4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2</v>
      </c>
      <c r="D38" s="16" t="s">
        <v>29</v>
      </c>
      <c r="E38" s="19" t="n">
        <v>2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1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3</v>
      </c>
      <c r="D40" s="16" t="s">
        <v>29</v>
      </c>
      <c r="E40" s="19" t="n">
        <v>0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1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2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2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0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7</v>
      </c>
      <c r="O46" s="16" t="n">
        <f aca="true">SUM(INDIRECT($AF46),INDIRECT($AG46),INDIRECT($AH46))</f>
        <v>4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1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1</v>
      </c>
      <c r="N47" s="16" t="n">
        <f aca="true">SUM(INDIRECT($AC47),INDIRECT($AD47),INDIRECT($AE47))</f>
        <v>6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1</v>
      </c>
      <c r="D48" s="16" t="s">
        <v>29</v>
      </c>
      <c r="E48" s="19" t="n">
        <v>2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1</v>
      </c>
      <c r="D49" s="16" t="s">
        <v>29</v>
      </c>
      <c r="E49" s="19" t="n">
        <v>3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2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2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1</v>
      </c>
      <c r="D53" s="16" t="s">
        <v>29</v>
      </c>
      <c r="E53" s="19" t="n">
        <v>0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1</v>
      </c>
      <c r="D54" s="16" t="s">
        <v>29</v>
      </c>
      <c r="E54" s="19" t="n">
        <v>0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4</v>
      </c>
      <c r="N54" s="16" t="n">
        <f aca="true">SUM(INDIRECT($AC54),INDIRECT($AD54),INDIRECT($AE54))</f>
        <v>5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1</v>
      </c>
      <c r="D55" s="16" t="s">
        <v>29</v>
      </c>
      <c r="E55" s="19" t="n">
        <v>1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2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2</v>
      </c>
      <c r="D57" s="16" t="s">
        <v>29</v>
      </c>
      <c r="E57" s="19" t="n">
        <v>2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-6</v>
      </c>
      <c r="N57" s="35" t="n">
        <f aca="true">SUM(INDIRECT($AC57),INDIRECT($AD57),INDIRECT($AE57))</f>
        <v>0</v>
      </c>
      <c r="O57" s="35" t="n">
        <f aca="true">SUM(INDIRECT($AF57),INDIRECT($AG57),INDIRECT($AH57))</f>
        <v>6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3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4</v>
      </c>
      <c r="D61" s="16" t="s">
        <v>29</v>
      </c>
      <c r="E61" s="19" t="n">
        <v>1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2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3</v>
      </c>
      <c r="D63" s="16" t="s">
        <v>29</v>
      </c>
      <c r="E63" s="19" t="n">
        <v>0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-4</v>
      </c>
      <c r="N63" s="16" t="n">
        <f aca="true">SUM(INDIRECT($AC63),INDIRECT($AD63),INDIRECT($AE63))</f>
        <v>3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1</v>
      </c>
      <c r="D64" s="16" t="s">
        <v>29</v>
      </c>
      <c r="E64" s="19" t="n">
        <v>0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9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2</v>
      </c>
      <c r="D65" s="16" t="s">
        <v>29</v>
      </c>
      <c r="E65" s="19" t="n">
        <v>2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2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3</v>
      </c>
      <c r="D69" s="16" t="s">
        <v>29</v>
      </c>
      <c r="E69" s="19" t="n">
        <v>1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3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8</v>
      </c>
      <c r="N70" s="16" t="n">
        <f aca="true">SUM(INDIRECT($AC70),INDIRECT($AD70),INDIRECT($AE70))</f>
        <v>10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4</v>
      </c>
      <c r="D71" s="16" t="s">
        <v>29</v>
      </c>
      <c r="E71" s="19" t="n">
        <v>0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0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2</v>
      </c>
      <c r="D72" s="16" t="s">
        <v>29</v>
      </c>
      <c r="E72" s="19" t="n">
        <v>2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6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5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3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1</v>
      </c>
      <c r="D77" s="16" t="s">
        <v>29</v>
      </c>
      <c r="E77" s="19" t="n">
        <v>0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1</v>
      </c>
      <c r="D78" s="16" t="s">
        <v>29</v>
      </c>
      <c r="E78" s="19" t="n">
        <v>0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5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2</v>
      </c>
      <c r="D79" s="16" t="s">
        <v>29</v>
      </c>
      <c r="E79" s="19" t="n">
        <v>1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1</v>
      </c>
      <c r="D80" s="16" t="s">
        <v>29</v>
      </c>
      <c r="E80" s="19" t="n">
        <v>2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2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1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2</v>
      </c>
      <c r="D85" s="16" t="s">
        <v>29</v>
      </c>
      <c r="E85" s="19" t="n">
        <v>1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2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2</v>
      </c>
      <c r="N86" s="16" t="n">
        <f aca="true">SUM(INDIRECT($AC86),INDIRECT($AD86),INDIRECT($AE86))</f>
        <v>5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2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4</v>
      </c>
      <c r="N87" s="16" t="n">
        <f aca="true">SUM(INDIRECT($AC87),INDIRECT($AD87),INDIRECT($AE87))</f>
        <v>6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2</v>
      </c>
      <c r="D88" s="16" t="s">
        <v>29</v>
      </c>
      <c r="E88" s="19" t="n">
        <v>1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-1</v>
      </c>
      <c r="N88" s="16" t="n">
        <f aca="true">SUM(INDIRECT($AC88),INDIRECT($AD88),INDIRECT($AE88))</f>
        <v>4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1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1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2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2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1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6" t="n">
        <f aca="false">N94-O94</f>
        <v>1</v>
      </c>
      <c r="N94" s="16" t="n">
        <f aca="true">SUM(INDIRECT($AC94),INDIRECT($AD94),INDIRECT($AE94))</f>
        <v>5</v>
      </c>
      <c r="O94" s="16" t="n">
        <f aca="true">SUM(INDIRECT($AF94),INDIRECT($AG94),INDIRECT($AH94))</f>
        <v>4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1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1</v>
      </c>
      <c r="D96" s="16" t="s">
        <v>29</v>
      </c>
      <c r="E96" s="19" t="n">
        <v>3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1</v>
      </c>
      <c r="D97" s="16" t="s">
        <v>29</v>
      </c>
      <c r="E97" s="19" t="n">
        <v>1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2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3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8"/>
      <c r="D1" s="58"/>
      <c r="E1" s="58"/>
      <c r="F1" s="58"/>
      <c r="G1" s="58"/>
      <c r="H1" s="3"/>
      <c r="I1" s="58"/>
      <c r="J1" s="58"/>
      <c r="K1" s="3"/>
      <c r="L1" s="58"/>
      <c r="M1" s="58"/>
      <c r="N1" s="58"/>
      <c r="O1" s="58"/>
      <c r="P1" s="58"/>
      <c r="Q1" s="58"/>
      <c r="R1" s="58"/>
      <c r="S1" s="58"/>
      <c r="T1" s="3"/>
      <c r="U1" s="4"/>
      <c r="V1" s="58"/>
      <c r="W1" s="58"/>
      <c r="X1" s="58"/>
      <c r="Y1" s="5"/>
      <c r="Z1" s="6"/>
      <c r="AA1" s="6"/>
      <c r="AB1" s="6"/>
      <c r="AC1" s="6"/>
      <c r="AD1" s="6"/>
      <c r="AE1" s="6"/>
      <c r="AF1" s="6"/>
      <c r="AG1" s="6"/>
      <c r="AH1" s="6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customFormat="false" ht="18.75" hidden="false" customHeight="true" outlineLevel="0" collapsed="false">
      <c r="B2" s="7" t="s">
        <v>8</v>
      </c>
      <c r="C2" s="7"/>
      <c r="D2" s="7"/>
      <c r="E2" s="7"/>
      <c r="F2" s="7"/>
      <c r="G2" s="58"/>
      <c r="H2" s="8" t="s">
        <v>21</v>
      </c>
      <c r="I2" s="8"/>
      <c r="J2" s="58"/>
      <c r="K2" s="8" t="s">
        <v>22</v>
      </c>
      <c r="L2" s="8"/>
      <c r="M2" s="8"/>
      <c r="N2" s="8"/>
      <c r="O2" s="8"/>
      <c r="P2" s="8"/>
      <c r="Q2" s="8"/>
      <c r="R2" s="8"/>
      <c r="S2" s="58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8"/>
      <c r="AJ2" s="58"/>
      <c r="AK2" s="58"/>
      <c r="AL2" s="58"/>
      <c r="AM2" s="58"/>
      <c r="AN2" s="58"/>
      <c r="AO2" s="58"/>
      <c r="AP2" s="58"/>
      <c r="AQ2" s="58"/>
      <c r="AR2" s="58"/>
    </row>
    <row r="3" customFormat="false" ht="15" hidden="false" customHeight="true" outlineLevel="0" collapsed="false">
      <c r="C3" s="58"/>
      <c r="D3" s="58"/>
      <c r="E3" s="58"/>
      <c r="F3" s="58"/>
      <c r="G3" s="58"/>
      <c r="H3" s="58"/>
      <c r="I3" s="58"/>
      <c r="J3" s="58"/>
      <c r="K3" s="3"/>
      <c r="L3" s="58"/>
      <c r="M3" s="58"/>
      <c r="N3" s="58"/>
      <c r="O3" s="58"/>
      <c r="P3" s="58"/>
      <c r="Q3" s="58"/>
      <c r="R3" s="58"/>
      <c r="S3" s="58"/>
      <c r="T3" s="10" t="s">
        <v>24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58"/>
      <c r="H4" s="13" t="s">
        <v>26</v>
      </c>
      <c r="I4" s="14" t="s">
        <v>27</v>
      </c>
      <c r="J4" s="15"/>
      <c r="K4" s="58"/>
      <c r="L4" s="58"/>
      <c r="M4" s="58"/>
      <c r="N4" s="58"/>
      <c r="O4" s="58"/>
      <c r="P4" s="58"/>
      <c r="Q4" s="58"/>
      <c r="R4" s="58"/>
      <c r="S4" s="58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1</v>
      </c>
      <c r="D5" s="16" t="s">
        <v>29</v>
      </c>
      <c r="E5" s="19" t="n">
        <v>0</v>
      </c>
      <c r="F5" s="20" t="s">
        <v>30</v>
      </c>
      <c r="G5" s="58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2</v>
      </c>
      <c r="F6" s="31" t="s">
        <v>39</v>
      </c>
      <c r="G6" s="58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-3</v>
      </c>
      <c r="N6" s="16" t="n">
        <f aca="true">SUM(INDIRECT($AC6),INDIRECT($AD6),INDIRECT($AE6))</f>
        <v>3</v>
      </c>
      <c r="O6" s="16" t="n">
        <f aca="true">SUM(INDIRECT($AF6),INDIRECT($AG6),INDIRECT($AH6))</f>
        <v>6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1</v>
      </c>
      <c r="F7" s="31" t="s">
        <v>30</v>
      </c>
      <c r="G7" s="58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2</v>
      </c>
      <c r="N7" s="16" t="n">
        <f aca="true">SUM(INDIRECT($AC7),INDIRECT($AD7),INDIRECT($AE7))</f>
        <v>6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8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3</v>
      </c>
      <c r="D8" s="16" t="s">
        <v>29</v>
      </c>
      <c r="E8" s="19" t="n">
        <v>2</v>
      </c>
      <c r="F8" s="31" t="s">
        <v>38</v>
      </c>
      <c r="G8" s="58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5</v>
      </c>
      <c r="O8" s="16" t="n">
        <f aca="true">SUM(INDIRECT($AF8),INDIRECT($AG8),INDIRECT($AH8))</f>
        <v>4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8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1</v>
      </c>
      <c r="D9" s="16" t="s">
        <v>29</v>
      </c>
      <c r="E9" s="19" t="n">
        <v>0</v>
      </c>
      <c r="F9" s="31" t="s">
        <v>38</v>
      </c>
      <c r="G9" s="58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0</v>
      </c>
      <c r="N9" s="35" t="n">
        <f aca="true">SUM(INDIRECT($AC9),INDIRECT($AD9),INDIRECT($AE9))</f>
        <v>2</v>
      </c>
      <c r="O9" s="35" t="n">
        <f aca="true">SUM(INDIRECT($AF9),INDIRECT($AG9),INDIRECT($AH9))</f>
        <v>2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8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2</v>
      </c>
      <c r="D10" s="35" t="s">
        <v>29</v>
      </c>
      <c r="E10" s="39" t="n">
        <v>2</v>
      </c>
      <c r="F10" s="40" t="s">
        <v>28</v>
      </c>
      <c r="G10" s="58"/>
      <c r="H10" s="41" t="n">
        <v>46197</v>
      </c>
      <c r="I10" s="42" t="n">
        <v>0.916666666666667</v>
      </c>
      <c r="J10" s="23"/>
      <c r="K10" s="27"/>
      <c r="S10" s="58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U11" s="58"/>
      <c r="V11" s="58"/>
      <c r="W11" s="58"/>
      <c r="X11" s="58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58"/>
      <c r="H12" s="13" t="s">
        <v>26</v>
      </c>
      <c r="I12" s="14" t="s">
        <v>27</v>
      </c>
      <c r="J12" s="15"/>
      <c r="K12" s="58"/>
      <c r="L12" s="58"/>
      <c r="M12" s="58"/>
      <c r="N12" s="58"/>
      <c r="O12" s="58"/>
      <c r="P12" s="58"/>
      <c r="Q12" s="58"/>
      <c r="R12" s="58"/>
      <c r="S12" s="58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2</v>
      </c>
      <c r="F13" s="20" t="s">
        <v>54</v>
      </c>
      <c r="G13" s="58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1</v>
      </c>
      <c r="D14" s="16" t="s">
        <v>29</v>
      </c>
      <c r="E14" s="19" t="n">
        <v>3</v>
      </c>
      <c r="F14" s="20" t="s">
        <v>56</v>
      </c>
      <c r="G14" s="58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4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2</v>
      </c>
      <c r="D15" s="16" t="s">
        <v>29</v>
      </c>
      <c r="E15" s="19" t="n">
        <v>1</v>
      </c>
      <c r="F15" s="20" t="s">
        <v>54</v>
      </c>
      <c r="G15" s="58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-2</v>
      </c>
      <c r="N15" s="16" t="n">
        <f aca="true">SUM(INDIRECT($AC15),INDIRECT($AD15),INDIRECT($AE15))</f>
        <v>4</v>
      </c>
      <c r="O15" s="16" t="n">
        <f aca="true">SUM(INDIRECT($AF15),INDIRECT($AG15),INDIRECT($AH15))</f>
        <v>6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8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2</v>
      </c>
      <c r="D16" s="16" t="s">
        <v>29</v>
      </c>
      <c r="E16" s="19" t="n">
        <v>2</v>
      </c>
      <c r="F16" s="20" t="s">
        <v>55</v>
      </c>
      <c r="G16" s="58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3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8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1</v>
      </c>
      <c r="F17" s="20" t="s">
        <v>53</v>
      </c>
      <c r="G17" s="58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7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8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1</v>
      </c>
      <c r="D18" s="35" t="s">
        <v>29</v>
      </c>
      <c r="E18" s="39" t="n">
        <v>0</v>
      </c>
      <c r="F18" s="45" t="s">
        <v>55</v>
      </c>
      <c r="G18" s="58"/>
      <c r="H18" s="41" t="n">
        <v>46197</v>
      </c>
      <c r="I18" s="42" t="n">
        <v>0.666666666666667</v>
      </c>
      <c r="J18" s="23"/>
      <c r="K18" s="27"/>
      <c r="S18" s="58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U19" s="58"/>
      <c r="V19" s="58"/>
      <c r="W19" s="58"/>
      <c r="X19" s="58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58"/>
      <c r="H20" s="13" t="s">
        <v>26</v>
      </c>
      <c r="I20" s="14" t="s">
        <v>27</v>
      </c>
      <c r="J20" s="15"/>
      <c r="K20" s="58"/>
      <c r="L20" s="58"/>
      <c r="M20" s="58"/>
      <c r="N20" s="58"/>
      <c r="O20" s="58"/>
      <c r="P20" s="58"/>
      <c r="Q20" s="58"/>
      <c r="R20" s="58"/>
      <c r="S20" s="58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1</v>
      </c>
      <c r="D21" s="16" t="s">
        <v>29</v>
      </c>
      <c r="E21" s="19" t="n">
        <v>2</v>
      </c>
      <c r="F21" s="20" t="s">
        <v>71</v>
      </c>
      <c r="G21" s="58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0</v>
      </c>
      <c r="D22" s="16" t="s">
        <v>29</v>
      </c>
      <c r="E22" s="19" t="n">
        <v>2</v>
      </c>
      <c r="F22" s="20" t="s">
        <v>73</v>
      </c>
      <c r="G22" s="58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2</v>
      </c>
      <c r="N22" s="16" t="n">
        <f aca="true">SUM(INDIRECT($AC22),INDIRECT($AD22),INDIRECT($AE22))</f>
        <v>6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1</v>
      </c>
      <c r="F23" s="20" t="s">
        <v>71</v>
      </c>
      <c r="G23" s="58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1</v>
      </c>
      <c r="N23" s="16" t="n">
        <f aca="true">SUM(INDIRECT($AC23),INDIRECT($AD23),INDIRECT($AE23))</f>
        <v>4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8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3</v>
      </c>
      <c r="D24" s="16" t="s">
        <v>29</v>
      </c>
      <c r="E24" s="19" t="n">
        <v>1</v>
      </c>
      <c r="F24" s="20" t="s">
        <v>72</v>
      </c>
      <c r="G24" s="58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8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2</v>
      </c>
      <c r="D25" s="16" t="s">
        <v>29</v>
      </c>
      <c r="E25" s="19" t="n">
        <v>0</v>
      </c>
      <c r="F25" s="20" t="s">
        <v>72</v>
      </c>
      <c r="G25" s="58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8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1</v>
      </c>
      <c r="D26" s="35" t="s">
        <v>29</v>
      </c>
      <c r="E26" s="39" t="n">
        <v>2</v>
      </c>
      <c r="F26" s="45" t="s">
        <v>70</v>
      </c>
      <c r="G26" s="58"/>
      <c r="H26" s="41" t="n">
        <v>46197</v>
      </c>
      <c r="I26" s="42" t="n">
        <v>0.791666666666667</v>
      </c>
      <c r="J26" s="23"/>
      <c r="K26" s="43"/>
      <c r="S26" s="58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U27" s="58"/>
      <c r="V27" s="58"/>
      <c r="W27" s="58"/>
      <c r="X27" s="58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58"/>
      <c r="H28" s="13" t="s">
        <v>26</v>
      </c>
      <c r="I28" s="14" t="s">
        <v>27</v>
      </c>
      <c r="J28" s="15"/>
      <c r="K28" s="58"/>
      <c r="L28" s="58"/>
      <c r="M28" s="58"/>
      <c r="N28" s="58"/>
      <c r="O28" s="58"/>
      <c r="P28" s="58"/>
      <c r="Q28" s="58"/>
      <c r="R28" s="58"/>
      <c r="S28" s="58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1</v>
      </c>
      <c r="F29" s="20" t="s">
        <v>88</v>
      </c>
      <c r="G29" s="58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2</v>
      </c>
      <c r="F30" s="20" t="s">
        <v>90</v>
      </c>
      <c r="G30" s="58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2</v>
      </c>
      <c r="D31" s="16" t="s">
        <v>29</v>
      </c>
      <c r="E31" s="19" t="n">
        <v>1</v>
      </c>
      <c r="F31" s="20" t="s">
        <v>89</v>
      </c>
      <c r="G31" s="58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1</v>
      </c>
      <c r="N31" s="16" t="n">
        <f aca="true">SUM(INDIRECT($AC31),INDIRECT($AD31),INDIRECT($AE31))</f>
        <v>5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8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3</v>
      </c>
      <c r="D32" s="16" t="s">
        <v>29</v>
      </c>
      <c r="E32" s="19" t="n">
        <v>2</v>
      </c>
      <c r="F32" s="20" t="s">
        <v>88</v>
      </c>
      <c r="G32" s="58"/>
      <c r="H32" s="21" t="n">
        <v>46193</v>
      </c>
      <c r="I32" s="22" t="n">
        <v>0.0416666666666667</v>
      </c>
      <c r="J32" s="23"/>
      <c r="K32" s="32" t="s">
        <v>88</v>
      </c>
      <c r="L32" s="16" t="n">
        <v>4</v>
      </c>
      <c r="M32" s="16" t="n">
        <f aca="false">N32-O32</f>
        <v>-2</v>
      </c>
      <c r="N32" s="16" t="n">
        <f aca="true">SUM(INDIRECT($AC32),INDIRECT($AD32),INDIRECT($AE32))</f>
        <v>3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8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2</v>
      </c>
      <c r="F33" s="20" t="s">
        <v>87</v>
      </c>
      <c r="G33" s="58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7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8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1</v>
      </c>
      <c r="D34" s="35" t="s">
        <v>29</v>
      </c>
      <c r="E34" s="39" t="n">
        <v>0</v>
      </c>
      <c r="F34" s="45" t="s">
        <v>89</v>
      </c>
      <c r="G34" s="58"/>
      <c r="H34" s="41" t="n">
        <v>46198</v>
      </c>
      <c r="I34" s="42" t="n">
        <v>0.958333333333333</v>
      </c>
      <c r="J34" s="23"/>
      <c r="K34" s="43"/>
      <c r="S34" s="58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U35" s="58"/>
      <c r="V35" s="58"/>
      <c r="W35" s="58"/>
      <c r="X35" s="58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58"/>
      <c r="H36" s="13" t="s">
        <v>26</v>
      </c>
      <c r="I36" s="14" t="s">
        <v>27</v>
      </c>
      <c r="J36" s="15"/>
      <c r="K36" s="58"/>
      <c r="L36" s="58"/>
      <c r="M36" s="58"/>
      <c r="N36" s="58"/>
      <c r="O36" s="58"/>
      <c r="P36" s="58"/>
      <c r="Q36" s="58"/>
      <c r="R36" s="58"/>
      <c r="S36" s="58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5</v>
      </c>
      <c r="D37" s="16" t="s">
        <v>29</v>
      </c>
      <c r="E37" s="19" t="n">
        <v>2</v>
      </c>
      <c r="F37" s="31" t="s">
        <v>104</v>
      </c>
      <c r="G37" s="58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3</v>
      </c>
      <c r="D38" s="16" t="s">
        <v>29</v>
      </c>
      <c r="E38" s="19" t="n">
        <v>3</v>
      </c>
      <c r="F38" s="31" t="s">
        <v>106</v>
      </c>
      <c r="G38" s="58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4</v>
      </c>
      <c r="N38" s="16" t="n">
        <f aca="true">SUM(INDIRECT($AC38),INDIRECT($AD38),INDIRECT($AE38))</f>
        <v>8</v>
      </c>
      <c r="O38" s="16" t="n">
        <f aca="true">SUM(INDIRECT($AF38),INDIRECT($AG38),INDIRECT($AH38))</f>
        <v>4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1</v>
      </c>
      <c r="F39" s="31" t="s">
        <v>105</v>
      </c>
      <c r="G39" s="58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8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4</v>
      </c>
      <c r="D40" s="16" t="s">
        <v>29</v>
      </c>
      <c r="E40" s="19" t="n">
        <v>0</v>
      </c>
      <c r="F40" s="31" t="s">
        <v>104</v>
      </c>
      <c r="G40" s="58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3</v>
      </c>
      <c r="O40" s="16" t="n">
        <f aca="true">SUM(INDIRECT($AF40),INDIRECT($AG40),INDIRECT($AH40))</f>
        <v>12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8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1</v>
      </c>
      <c r="F41" s="31" t="s">
        <v>103</v>
      </c>
      <c r="G41" s="58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8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1</v>
      </c>
      <c r="D42" s="35" t="s">
        <v>29</v>
      </c>
      <c r="E42" s="39" t="n">
        <v>3</v>
      </c>
      <c r="F42" s="40" t="s">
        <v>105</v>
      </c>
      <c r="G42" s="58"/>
      <c r="H42" s="41" t="n">
        <v>46198</v>
      </c>
      <c r="I42" s="42" t="n">
        <v>0.708333333333333</v>
      </c>
      <c r="J42" s="23"/>
      <c r="K42" s="43"/>
      <c r="S42" s="58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U43" s="58"/>
      <c r="V43" s="58"/>
      <c r="W43" s="58"/>
      <c r="X43" s="58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58"/>
      <c r="H44" s="13" t="s">
        <v>26</v>
      </c>
      <c r="I44" s="14" t="s">
        <v>27</v>
      </c>
      <c r="J44" s="15"/>
      <c r="K44" s="58"/>
      <c r="L44" s="58"/>
      <c r="M44" s="58"/>
      <c r="N44" s="58"/>
      <c r="O44" s="58"/>
      <c r="P44" s="58"/>
      <c r="Q44" s="58"/>
      <c r="R44" s="58"/>
      <c r="S44" s="58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2</v>
      </c>
      <c r="F45" s="31" t="s">
        <v>121</v>
      </c>
      <c r="G45" s="58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2</v>
      </c>
      <c r="D46" s="16" t="s">
        <v>29</v>
      </c>
      <c r="E46" s="19" t="n">
        <v>0</v>
      </c>
      <c r="F46" s="31" t="s">
        <v>123</v>
      </c>
      <c r="G46" s="58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1</v>
      </c>
      <c r="D47" s="16" t="s">
        <v>29</v>
      </c>
      <c r="E47" s="19" t="n">
        <v>0</v>
      </c>
      <c r="F47" s="31" t="s">
        <v>122</v>
      </c>
      <c r="G47" s="58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5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8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1</v>
      </c>
      <c r="D48" s="16" t="s">
        <v>29</v>
      </c>
      <c r="E48" s="19" t="n">
        <v>2</v>
      </c>
      <c r="F48" s="31" t="s">
        <v>121</v>
      </c>
      <c r="G48" s="58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2</v>
      </c>
      <c r="O48" s="16" t="n">
        <f aca="true">SUM(INDIRECT($AF48),INDIRECT($AG48),INDIRECT($AH48))</f>
        <v>2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8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1</v>
      </c>
      <c r="D49" s="16" t="s">
        <v>29</v>
      </c>
      <c r="E49" s="19" t="n">
        <v>3</v>
      </c>
      <c r="F49" s="31" t="s">
        <v>120</v>
      </c>
      <c r="G49" s="58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2</v>
      </c>
      <c r="O49" s="35" t="n">
        <f aca="true">SUM(INDIRECT($AF49),INDIRECT($AG49),INDIRECT($AH49))</f>
        <v>7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8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1</v>
      </c>
      <c r="D50" s="35" t="s">
        <v>29</v>
      </c>
      <c r="E50" s="39" t="n">
        <v>0</v>
      </c>
      <c r="F50" s="40" t="s">
        <v>122</v>
      </c>
      <c r="G50" s="58"/>
      <c r="H50" s="41" t="n">
        <v>46198</v>
      </c>
      <c r="I50" s="42" t="n">
        <v>0.833333333333333</v>
      </c>
      <c r="J50" s="23"/>
      <c r="K50" s="43"/>
      <c r="S50" s="58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U51" s="58"/>
      <c r="V51" s="58"/>
      <c r="W51" s="58"/>
      <c r="X51" s="58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58"/>
      <c r="H52" s="13" t="s">
        <v>26</v>
      </c>
      <c r="I52" s="14" t="s">
        <v>27</v>
      </c>
      <c r="J52" s="15"/>
      <c r="K52" s="58"/>
      <c r="L52" s="58"/>
      <c r="M52" s="58"/>
      <c r="N52" s="58"/>
      <c r="O52" s="58"/>
      <c r="P52" s="58"/>
      <c r="Q52" s="58"/>
      <c r="R52" s="58"/>
      <c r="S52" s="58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3</v>
      </c>
      <c r="D53" s="16" t="s">
        <v>29</v>
      </c>
      <c r="E53" s="19" t="n">
        <v>1</v>
      </c>
      <c r="F53" s="31" t="s">
        <v>138</v>
      </c>
      <c r="G53" s="58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0</v>
      </c>
      <c r="D54" s="16" t="s">
        <v>29</v>
      </c>
      <c r="E54" s="19" t="n">
        <v>0</v>
      </c>
      <c r="F54" s="31" t="s">
        <v>140</v>
      </c>
      <c r="G54" s="58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7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0</v>
      </c>
      <c r="F55" s="31" t="s">
        <v>139</v>
      </c>
      <c r="G55" s="58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8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1</v>
      </c>
      <c r="D56" s="16" t="s">
        <v>29</v>
      </c>
      <c r="E56" s="19" t="n">
        <v>2</v>
      </c>
      <c r="F56" s="31" t="s">
        <v>138</v>
      </c>
      <c r="G56" s="58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-3</v>
      </c>
      <c r="N56" s="16" t="n">
        <f aca="true">SUM(INDIRECT($AC56),INDIRECT($AD56),INDIRECT($AE56))</f>
        <v>0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8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0</v>
      </c>
      <c r="F57" s="31" t="s">
        <v>139</v>
      </c>
      <c r="G57" s="58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-2</v>
      </c>
      <c r="N57" s="35" t="n">
        <f aca="true">SUM(INDIRECT($AC57),INDIRECT($AD57),INDIRECT($AE57))</f>
        <v>2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8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1</v>
      </c>
      <c r="D58" s="35" t="s">
        <v>29</v>
      </c>
      <c r="E58" s="39" t="n">
        <v>2</v>
      </c>
      <c r="F58" s="40" t="s">
        <v>137</v>
      </c>
      <c r="G58" s="58"/>
      <c r="H58" s="41" t="n">
        <v>46200</v>
      </c>
      <c r="I58" s="42" t="n">
        <v>0</v>
      </c>
      <c r="J58" s="23"/>
      <c r="K58" s="43"/>
      <c r="S58" s="58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U59" s="58"/>
      <c r="V59" s="58"/>
      <c r="W59" s="58"/>
      <c r="X59" s="58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58"/>
      <c r="H60" s="13" t="s">
        <v>26</v>
      </c>
      <c r="I60" s="14" t="s">
        <v>27</v>
      </c>
      <c r="J60" s="15"/>
      <c r="K60" s="58"/>
      <c r="L60" s="58"/>
      <c r="M60" s="58"/>
      <c r="N60" s="58"/>
      <c r="O60" s="58"/>
      <c r="P60" s="58"/>
      <c r="Q60" s="58"/>
      <c r="R60" s="58"/>
      <c r="S60" s="58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6</v>
      </c>
      <c r="D61" s="16" t="s">
        <v>29</v>
      </c>
      <c r="E61" s="19" t="n">
        <v>0</v>
      </c>
      <c r="F61" s="31" t="s">
        <v>155</v>
      </c>
      <c r="G61" s="58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2</v>
      </c>
      <c r="F62" s="31" t="s">
        <v>157</v>
      </c>
      <c r="G62" s="58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-4</v>
      </c>
      <c r="N62" s="16" t="n">
        <f aca="true">SUM(INDIRECT($AC62),INDIRECT($AD62),INDIRECT($AE62))</f>
        <v>3</v>
      </c>
      <c r="O62" s="16" t="n">
        <f aca="true">SUM(INDIRECT($AF62),INDIRECT($AG62),INDIRECT($AH62))</f>
        <v>7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4</v>
      </c>
      <c r="D63" s="16" t="s">
        <v>29</v>
      </c>
      <c r="E63" s="19" t="n">
        <v>1</v>
      </c>
      <c r="F63" s="31" t="s">
        <v>156</v>
      </c>
      <c r="G63" s="58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2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8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2</v>
      </c>
      <c r="D64" s="16" t="s">
        <v>29</v>
      </c>
      <c r="E64" s="19" t="n">
        <v>1</v>
      </c>
      <c r="F64" s="31" t="s">
        <v>155</v>
      </c>
      <c r="G64" s="58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12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8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1</v>
      </c>
      <c r="D65" s="16" t="s">
        <v>29</v>
      </c>
      <c r="E65" s="19" t="n">
        <v>1</v>
      </c>
      <c r="F65" s="31" t="s">
        <v>156</v>
      </c>
      <c r="G65" s="58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8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2</v>
      </c>
      <c r="F66" s="40" t="s">
        <v>154</v>
      </c>
      <c r="G66" s="58"/>
      <c r="H66" s="41" t="n">
        <v>46199</v>
      </c>
      <c r="I66" s="42" t="n">
        <v>0.875</v>
      </c>
      <c r="J66" s="23"/>
      <c r="K66" s="43"/>
      <c r="S66" s="58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58"/>
      <c r="H68" s="13" t="s">
        <v>26</v>
      </c>
      <c r="I68" s="14" t="s">
        <v>27</v>
      </c>
      <c r="J68" s="15"/>
      <c r="K68" s="58"/>
      <c r="L68" s="58"/>
      <c r="M68" s="58"/>
      <c r="N68" s="58"/>
      <c r="O68" s="58"/>
      <c r="P68" s="58"/>
      <c r="Q68" s="58"/>
      <c r="R68" s="58"/>
      <c r="S68" s="58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3</v>
      </c>
      <c r="D69" s="16" t="s">
        <v>29</v>
      </c>
      <c r="E69" s="19" t="n">
        <v>1</v>
      </c>
      <c r="F69" s="31" t="s">
        <v>172</v>
      </c>
      <c r="G69" s="58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3</v>
      </c>
      <c r="F70" s="31" t="s">
        <v>174</v>
      </c>
      <c r="G70" s="58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9</v>
      </c>
      <c r="N70" s="16" t="n">
        <f aca="true">SUM(INDIRECT($AC70),INDIRECT($AD70),INDIRECT($AE70))</f>
        <v>11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5</v>
      </c>
      <c r="D71" s="16" t="s">
        <v>29</v>
      </c>
      <c r="E71" s="19" t="n">
        <v>0</v>
      </c>
      <c r="F71" s="31" t="s">
        <v>173</v>
      </c>
      <c r="G71" s="58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-9</v>
      </c>
      <c r="N71" s="16" t="n">
        <f aca="true">SUM(INDIRECT($AC71),INDIRECT($AD71),INDIRECT($AE71))</f>
        <v>1</v>
      </c>
      <c r="O71" s="16" t="n">
        <f aca="true">SUM(INDIRECT($AF71),INDIRECT($AG71),INDIRECT($AH71))</f>
        <v>10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8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2</v>
      </c>
      <c r="D72" s="16" t="s">
        <v>29</v>
      </c>
      <c r="E72" s="19" t="n">
        <v>3</v>
      </c>
      <c r="F72" s="31" t="s">
        <v>172</v>
      </c>
      <c r="G72" s="58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6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8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1</v>
      </c>
      <c r="F73" s="31" t="s">
        <v>173</v>
      </c>
      <c r="G73" s="58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0</v>
      </c>
      <c r="N73" s="35" t="n">
        <f aca="true">SUM(INDIRECT($AC73),INDIRECT($AD73),INDIRECT($AE73))</f>
        <v>6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8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3</v>
      </c>
      <c r="F74" s="40" t="s">
        <v>171</v>
      </c>
      <c r="G74" s="58"/>
      <c r="H74" s="41" t="n">
        <v>46199</v>
      </c>
      <c r="I74" s="42" t="n">
        <v>0.666666666666667</v>
      </c>
      <c r="J74" s="23"/>
      <c r="K74" s="43"/>
      <c r="S74" s="58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U75" s="58"/>
      <c r="V75" s="58"/>
      <c r="W75" s="58"/>
      <c r="X75" s="58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58"/>
      <c r="H76" s="13" t="s">
        <v>26</v>
      </c>
      <c r="I76" s="14" t="s">
        <v>27</v>
      </c>
      <c r="J76" s="15"/>
      <c r="K76" s="58"/>
      <c r="L76" s="58"/>
      <c r="M76" s="58"/>
      <c r="N76" s="58"/>
      <c r="O76" s="58"/>
      <c r="P76" s="58"/>
      <c r="Q76" s="58"/>
      <c r="R76" s="58"/>
      <c r="S76" s="58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1</v>
      </c>
      <c r="D77" s="16" t="s">
        <v>29</v>
      </c>
      <c r="E77" s="19" t="n">
        <v>1</v>
      </c>
      <c r="F77" s="31" t="s">
        <v>189</v>
      </c>
      <c r="G77" s="58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2</v>
      </c>
      <c r="D78" s="16" t="s">
        <v>29</v>
      </c>
      <c r="E78" s="19" t="n">
        <v>0</v>
      </c>
      <c r="F78" s="31" t="s">
        <v>191</v>
      </c>
      <c r="G78" s="58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4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1</v>
      </c>
      <c r="D79" s="16" t="s">
        <v>29</v>
      </c>
      <c r="E79" s="19" t="n">
        <v>0</v>
      </c>
      <c r="F79" s="31" t="s">
        <v>190</v>
      </c>
      <c r="G79" s="58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0</v>
      </c>
      <c r="N79" s="16" t="n">
        <f aca="true">SUM(INDIRECT($AC79),INDIRECT($AD79),INDIRECT($AE79))</f>
        <v>4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8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1</v>
      </c>
      <c r="D80" s="16" t="s">
        <v>29</v>
      </c>
      <c r="E80" s="19" t="n">
        <v>2</v>
      </c>
      <c r="F80" s="31" t="s">
        <v>189</v>
      </c>
      <c r="G80" s="58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8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2</v>
      </c>
      <c r="F81" s="31" t="s">
        <v>188</v>
      </c>
      <c r="G81" s="58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4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8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2</v>
      </c>
      <c r="F82" s="40" t="s">
        <v>190</v>
      </c>
      <c r="G82" s="58"/>
      <c r="H82" s="41" t="n">
        <v>46200</v>
      </c>
      <c r="I82" s="42" t="n">
        <v>0.958333333333333</v>
      </c>
      <c r="J82" s="23"/>
      <c r="K82" s="43"/>
      <c r="S82" s="58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U83" s="58"/>
      <c r="V83" s="58"/>
      <c r="W83" s="58"/>
      <c r="X83" s="58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58"/>
      <c r="H84" s="13" t="s">
        <v>26</v>
      </c>
      <c r="I84" s="14" t="s">
        <v>27</v>
      </c>
      <c r="J84" s="15"/>
      <c r="K84" s="58"/>
      <c r="L84" s="58"/>
      <c r="M84" s="58"/>
      <c r="N84" s="58"/>
      <c r="O84" s="58"/>
      <c r="P84" s="58"/>
      <c r="Q84" s="58"/>
      <c r="R84" s="58"/>
      <c r="S84" s="58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4</v>
      </c>
      <c r="D85" s="16" t="s">
        <v>29</v>
      </c>
      <c r="E85" s="19" t="n">
        <v>1</v>
      </c>
      <c r="F85" s="31" t="s">
        <v>206</v>
      </c>
      <c r="G85" s="58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3</v>
      </c>
      <c r="F86" s="31" t="s">
        <v>208</v>
      </c>
      <c r="G86" s="58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5</v>
      </c>
      <c r="D87" s="16" t="s">
        <v>29</v>
      </c>
      <c r="E87" s="19" t="n">
        <v>0</v>
      </c>
      <c r="F87" s="31" t="s">
        <v>207</v>
      </c>
      <c r="G87" s="58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11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8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2</v>
      </c>
      <c r="D88" s="16" t="s">
        <v>29</v>
      </c>
      <c r="E88" s="19" t="n">
        <v>1</v>
      </c>
      <c r="F88" s="31" t="s">
        <v>206</v>
      </c>
      <c r="G88" s="58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8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0</v>
      </c>
      <c r="F89" s="31" t="s">
        <v>207</v>
      </c>
      <c r="G89" s="58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0</v>
      </c>
      <c r="O89" s="35" t="n">
        <f aca="true">SUM(INDIRECT($AF89),INDIRECT($AG89),INDIRECT($AH89))</f>
        <v>10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8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2</v>
      </c>
      <c r="F90" s="40" t="s">
        <v>205</v>
      </c>
      <c r="G90" s="58"/>
      <c r="H90" s="41" t="n">
        <v>46200</v>
      </c>
      <c r="I90" s="42" t="n">
        <v>0.854166666666667</v>
      </c>
      <c r="J90" s="23"/>
      <c r="K90" s="43"/>
      <c r="S90" s="58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U91" s="58"/>
      <c r="V91" s="58"/>
      <c r="W91" s="58"/>
      <c r="X91" s="58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58"/>
      <c r="H92" s="13" t="s">
        <v>26</v>
      </c>
      <c r="I92" s="14" t="s">
        <v>27</v>
      </c>
      <c r="J92" s="15"/>
      <c r="K92" s="58"/>
      <c r="L92" s="58"/>
      <c r="M92" s="58"/>
      <c r="N92" s="58"/>
      <c r="O92" s="58"/>
      <c r="P92" s="58"/>
      <c r="Q92" s="58"/>
      <c r="R92" s="58"/>
      <c r="S92" s="58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3</v>
      </c>
      <c r="D93" s="16" t="s">
        <v>29</v>
      </c>
      <c r="E93" s="19" t="n">
        <v>2</v>
      </c>
      <c r="F93" s="31" t="s">
        <v>223</v>
      </c>
      <c r="G93" s="58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3</v>
      </c>
      <c r="D94" s="16" t="s">
        <v>29</v>
      </c>
      <c r="E94" s="19" t="n">
        <v>0</v>
      </c>
      <c r="F94" s="31" t="s">
        <v>225</v>
      </c>
      <c r="G94" s="58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8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1</v>
      </c>
      <c r="F95" s="31" t="s">
        <v>224</v>
      </c>
      <c r="G95" s="58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1</v>
      </c>
      <c r="N95" s="16" t="n">
        <f aca="true">SUM(INDIRECT($AC95),INDIRECT($AD95),INDIRECT($AE95))</f>
        <v>6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8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3</v>
      </c>
      <c r="F96" s="31" t="s">
        <v>223</v>
      </c>
      <c r="G96" s="58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8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3</v>
      </c>
      <c r="D97" s="16" t="s">
        <v>29</v>
      </c>
      <c r="E97" s="19" t="n">
        <v>2</v>
      </c>
      <c r="F97" s="31" t="s">
        <v>224</v>
      </c>
      <c r="G97" s="58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8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2</v>
      </c>
      <c r="F98" s="40" t="s">
        <v>222</v>
      </c>
      <c r="G98" s="58"/>
      <c r="H98" s="41" t="n">
        <v>46200</v>
      </c>
      <c r="I98" s="42" t="n">
        <v>0.75</v>
      </c>
      <c r="J98" s="23"/>
      <c r="K98" s="43"/>
      <c r="S98" s="58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3" colorId="64" zoomScale="100" zoomScaleNormal="100" zoomScalePageLayoutView="100" workbookViewId="0">
      <selection pane="topLeft" activeCell="A93" activeCellId="0" sqref="A93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8"/>
      <c r="D1" s="58"/>
      <c r="E1" s="58"/>
      <c r="F1" s="58"/>
      <c r="G1" s="58"/>
      <c r="H1" s="3"/>
      <c r="I1" s="58"/>
      <c r="J1" s="58"/>
      <c r="K1" s="3"/>
      <c r="L1" s="58"/>
      <c r="M1" s="58"/>
      <c r="N1" s="58"/>
      <c r="O1" s="58"/>
      <c r="P1" s="58"/>
      <c r="Q1" s="58"/>
      <c r="R1" s="58"/>
      <c r="S1" s="58"/>
      <c r="T1" s="3"/>
      <c r="U1" s="4"/>
      <c r="V1" s="58"/>
      <c r="W1" s="58"/>
      <c r="X1" s="58"/>
      <c r="Y1" s="5"/>
      <c r="Z1" s="6"/>
      <c r="AA1" s="6"/>
      <c r="AB1" s="6"/>
      <c r="AC1" s="6"/>
      <c r="AD1" s="6"/>
      <c r="AE1" s="6"/>
      <c r="AF1" s="6"/>
      <c r="AG1" s="6"/>
      <c r="AH1" s="6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customFormat="false" ht="18.75" hidden="false" customHeight="true" outlineLevel="0" collapsed="false">
      <c r="B2" s="7" t="s">
        <v>246</v>
      </c>
      <c r="C2" s="7"/>
      <c r="D2" s="7"/>
      <c r="E2" s="7"/>
      <c r="F2" s="7"/>
      <c r="G2" s="58"/>
      <c r="H2" s="8" t="s">
        <v>21</v>
      </c>
      <c r="I2" s="8"/>
      <c r="J2" s="58"/>
      <c r="K2" s="8" t="s">
        <v>22</v>
      </c>
      <c r="L2" s="8"/>
      <c r="M2" s="8"/>
      <c r="N2" s="8"/>
      <c r="O2" s="8"/>
      <c r="P2" s="8"/>
      <c r="Q2" s="8"/>
      <c r="R2" s="8"/>
      <c r="S2" s="58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8"/>
      <c r="AJ2" s="58"/>
      <c r="AK2" s="58"/>
      <c r="AL2" s="58"/>
      <c r="AM2" s="58"/>
      <c r="AN2" s="58"/>
      <c r="AO2" s="58"/>
      <c r="AP2" s="58"/>
      <c r="AQ2" s="58"/>
      <c r="AR2" s="58"/>
    </row>
    <row r="3" customFormat="false" ht="15" hidden="false" customHeight="true" outlineLevel="0" collapsed="false">
      <c r="C3" s="58"/>
      <c r="D3" s="58"/>
      <c r="E3" s="58"/>
      <c r="F3" s="58"/>
      <c r="G3" s="58"/>
      <c r="H3" s="58"/>
      <c r="I3" s="58"/>
      <c r="J3" s="58"/>
      <c r="K3" s="3"/>
      <c r="L3" s="58"/>
      <c r="M3" s="58"/>
      <c r="N3" s="58"/>
      <c r="O3" s="58"/>
      <c r="P3" s="58"/>
      <c r="Q3" s="58"/>
      <c r="R3" s="58"/>
      <c r="S3" s="58"/>
      <c r="T3" s="10" t="s">
        <v>24</v>
      </c>
      <c r="U3" s="11" t="n">
        <f aca="false">SUM(U5:U10,U13:U18,U21:U26,U29:U34,U37:U42,U45:U50,U53:U58,U61:U66)</f>
        <v>0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58"/>
      <c r="H4" s="13" t="s">
        <v>26</v>
      </c>
      <c r="I4" s="14" t="s">
        <v>27</v>
      </c>
      <c r="J4" s="15"/>
      <c r="K4" s="58"/>
      <c r="L4" s="58"/>
      <c r="M4" s="58"/>
      <c r="N4" s="58"/>
      <c r="O4" s="58"/>
      <c r="P4" s="58"/>
      <c r="Q4" s="58"/>
      <c r="R4" s="58"/>
      <c r="S4" s="58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1</v>
      </c>
      <c r="D5" s="16" t="s">
        <v>29</v>
      </c>
      <c r="E5" s="19" t="n">
        <v>1</v>
      </c>
      <c r="F5" s="20" t="s">
        <v>30</v>
      </c>
      <c r="G5" s="58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2</v>
      </c>
      <c r="D6" s="16" t="s">
        <v>29</v>
      </c>
      <c r="E6" s="19" t="n">
        <v>2</v>
      </c>
      <c r="F6" s="31" t="s">
        <v>39</v>
      </c>
      <c r="G6" s="58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-2</v>
      </c>
      <c r="N6" s="16" t="n">
        <f aca="true">SUM(INDIRECT($AC6),INDIRECT($AD6),INDIRECT($AE6))</f>
        <v>5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3</v>
      </c>
      <c r="D7" s="16" t="s">
        <v>29</v>
      </c>
      <c r="E7" s="19" t="n">
        <v>1</v>
      </c>
      <c r="F7" s="31" t="s">
        <v>30</v>
      </c>
      <c r="G7" s="58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4</v>
      </c>
      <c r="N7" s="16" t="n">
        <f aca="true">SUM(INDIRECT($AC7),INDIRECT($AD7),INDIRECT($AE7))</f>
        <v>6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8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3</v>
      </c>
      <c r="D8" s="16" t="s">
        <v>29</v>
      </c>
      <c r="E8" s="19" t="n">
        <v>1</v>
      </c>
      <c r="F8" s="31" t="s">
        <v>38</v>
      </c>
      <c r="G8" s="58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0</v>
      </c>
      <c r="N8" s="16" t="n">
        <f aca="true">SUM(INDIRECT($AC8),INDIRECT($AD8),INDIRECT($AE8))</f>
        <v>5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8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2</v>
      </c>
      <c r="D9" s="16" t="s">
        <v>29</v>
      </c>
      <c r="E9" s="19" t="n">
        <v>2</v>
      </c>
      <c r="F9" s="31" t="s">
        <v>38</v>
      </c>
      <c r="G9" s="58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5" t="n">
        <f aca="false">N9-O9</f>
        <v>-2</v>
      </c>
      <c r="N9" s="35" t="n">
        <f aca="true">SUM(INDIRECT($AC9),INDIRECT($AD9),INDIRECT($AE9))</f>
        <v>4</v>
      </c>
      <c r="O9" s="35" t="n">
        <f aca="true">SUM(INDIRECT($AF9),INDIRECT($AG9),INDIRECT($AH9))</f>
        <v>6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8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0</v>
      </c>
      <c r="D10" s="35" t="s">
        <v>29</v>
      </c>
      <c r="E10" s="39" t="n">
        <v>2</v>
      </c>
      <c r="F10" s="40" t="s">
        <v>28</v>
      </c>
      <c r="G10" s="58"/>
      <c r="H10" s="41" t="n">
        <v>46197</v>
      </c>
      <c r="I10" s="42" t="n">
        <v>0.916666666666667</v>
      </c>
      <c r="J10" s="23"/>
      <c r="K10" s="27"/>
      <c r="S10" s="58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U11" s="58"/>
      <c r="V11" s="58"/>
      <c r="W11" s="58"/>
      <c r="X11" s="58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58"/>
      <c r="H12" s="13" t="s">
        <v>26</v>
      </c>
      <c r="I12" s="14" t="s">
        <v>27</v>
      </c>
      <c r="J12" s="15"/>
      <c r="K12" s="58"/>
      <c r="L12" s="58"/>
      <c r="M12" s="58"/>
      <c r="N12" s="58"/>
      <c r="O12" s="58"/>
      <c r="P12" s="58"/>
      <c r="Q12" s="58"/>
      <c r="R12" s="58"/>
      <c r="S12" s="58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0</v>
      </c>
      <c r="D13" s="16" t="s">
        <v>29</v>
      </c>
      <c r="E13" s="19" t="n">
        <v>3</v>
      </c>
      <c r="F13" s="20" t="s">
        <v>54</v>
      </c>
      <c r="G13" s="58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2</v>
      </c>
      <c r="D14" s="16" t="s">
        <v>29</v>
      </c>
      <c r="E14" s="19" t="n">
        <v>1</v>
      </c>
      <c r="F14" s="20" t="s">
        <v>56</v>
      </c>
      <c r="G14" s="58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1</v>
      </c>
      <c r="N14" s="16" t="n">
        <f aca="true">SUM(INDIRECT($AC14),INDIRECT($AD14),INDIRECT($AE14))</f>
        <v>3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0</v>
      </c>
      <c r="D15" s="16" t="s">
        <v>29</v>
      </c>
      <c r="E15" s="19" t="n">
        <v>0</v>
      </c>
      <c r="F15" s="20" t="s">
        <v>54</v>
      </c>
      <c r="G15" s="58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-6</v>
      </c>
      <c r="N15" s="16" t="n">
        <f aca="true">SUM(INDIRECT($AC15),INDIRECT($AD15),INDIRECT($AE15))</f>
        <v>1</v>
      </c>
      <c r="O15" s="16" t="n">
        <f aca="true">SUM(INDIRECT($AF15),INDIRECT($AG15),INDIRECT($AH15))</f>
        <v>7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8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1</v>
      </c>
      <c r="D16" s="16" t="s">
        <v>29</v>
      </c>
      <c r="E16" s="19" t="n">
        <v>3</v>
      </c>
      <c r="F16" s="20" t="s">
        <v>55</v>
      </c>
      <c r="G16" s="58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6" t="n">
        <f aca="false">N16-O16</f>
        <v>5</v>
      </c>
      <c r="N16" s="16" t="n">
        <f aca="true">SUM(INDIRECT($AC16),INDIRECT($AD16),INDIRECT($AE16))</f>
        <v>7</v>
      </c>
      <c r="O16" s="16" t="n">
        <f aca="true">SUM(INDIRECT($AF16),INDIRECT($AG16),INDIRECT($AH16))</f>
        <v>2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8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1</v>
      </c>
      <c r="D17" s="16" t="s">
        <v>29</v>
      </c>
      <c r="E17" s="19" t="n">
        <v>0</v>
      </c>
      <c r="F17" s="20" t="s">
        <v>53</v>
      </c>
      <c r="G17" s="58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5" t="n">
        <f aca="false">N17-O17</f>
        <v>0</v>
      </c>
      <c r="N17" s="35" t="n">
        <f aca="true">SUM(INDIRECT($AC17),INDIRECT($AD17),INDIRECT($AE17))</f>
        <v>2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8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0</v>
      </c>
      <c r="D18" s="35" t="s">
        <v>29</v>
      </c>
      <c r="E18" s="39" t="n">
        <v>2</v>
      </c>
      <c r="F18" s="45" t="s">
        <v>55</v>
      </c>
      <c r="G18" s="58"/>
      <c r="H18" s="41" t="n">
        <v>46197</v>
      </c>
      <c r="I18" s="42" t="n">
        <v>0.666666666666667</v>
      </c>
      <c r="J18" s="23"/>
      <c r="K18" s="27"/>
      <c r="S18" s="58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U19" s="58"/>
      <c r="V19" s="58"/>
      <c r="W19" s="58"/>
      <c r="X19" s="58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58"/>
      <c r="H20" s="13" t="s">
        <v>26</v>
      </c>
      <c r="I20" s="14" t="s">
        <v>27</v>
      </c>
      <c r="J20" s="15"/>
      <c r="K20" s="58"/>
      <c r="L20" s="58"/>
      <c r="M20" s="58"/>
      <c r="N20" s="58"/>
      <c r="O20" s="58"/>
      <c r="P20" s="58"/>
      <c r="Q20" s="58"/>
      <c r="R20" s="58"/>
      <c r="S20" s="58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2</v>
      </c>
      <c r="F21" s="20" t="s">
        <v>71</v>
      </c>
      <c r="G21" s="58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1</v>
      </c>
      <c r="D22" s="16" t="s">
        <v>29</v>
      </c>
      <c r="E22" s="19" t="n">
        <v>3</v>
      </c>
      <c r="F22" s="20" t="s">
        <v>73</v>
      </c>
      <c r="G22" s="58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8</v>
      </c>
      <c r="O22" s="16" t="n">
        <f aca="true">SUM(INDIRECT($AF22),INDIRECT($AG22),INDIRECT($AH22))</f>
        <v>4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3</v>
      </c>
      <c r="F23" s="20" t="s">
        <v>71</v>
      </c>
      <c r="G23" s="58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5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8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4</v>
      </c>
      <c r="D24" s="16" t="s">
        <v>29</v>
      </c>
      <c r="E24" s="19" t="n">
        <v>1</v>
      </c>
      <c r="F24" s="20" t="s">
        <v>72</v>
      </c>
      <c r="G24" s="58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2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8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0</v>
      </c>
      <c r="F25" s="20" t="s">
        <v>72</v>
      </c>
      <c r="G25" s="58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8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8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1</v>
      </c>
      <c r="D26" s="35" t="s">
        <v>29</v>
      </c>
      <c r="E26" s="39" t="n">
        <v>2</v>
      </c>
      <c r="F26" s="45" t="s">
        <v>70</v>
      </c>
      <c r="G26" s="58"/>
      <c r="H26" s="41" t="n">
        <v>46197</v>
      </c>
      <c r="I26" s="42" t="n">
        <v>0.791666666666667</v>
      </c>
      <c r="J26" s="23"/>
      <c r="K26" s="43"/>
      <c r="S26" s="58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U27" s="58"/>
      <c r="V27" s="58"/>
      <c r="W27" s="58"/>
      <c r="X27" s="58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58"/>
      <c r="H28" s="13" t="s">
        <v>26</v>
      </c>
      <c r="I28" s="14" t="s">
        <v>27</v>
      </c>
      <c r="J28" s="15"/>
      <c r="K28" s="58"/>
      <c r="L28" s="58"/>
      <c r="M28" s="58"/>
      <c r="N28" s="58"/>
      <c r="O28" s="58"/>
      <c r="P28" s="58"/>
      <c r="Q28" s="58"/>
      <c r="R28" s="58"/>
      <c r="S28" s="58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2</v>
      </c>
      <c r="D29" s="16" t="s">
        <v>29</v>
      </c>
      <c r="E29" s="19" t="n">
        <v>2</v>
      </c>
      <c r="F29" s="20" t="s">
        <v>88</v>
      </c>
      <c r="G29" s="58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2</v>
      </c>
      <c r="F30" s="20" t="s">
        <v>90</v>
      </c>
      <c r="G30" s="58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-5</v>
      </c>
      <c r="N30" s="16" t="n">
        <f aca="true">SUM(INDIRECT($AC30),INDIRECT($AD30),INDIRECT($AE30))</f>
        <v>2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3</v>
      </c>
      <c r="D31" s="16" t="s">
        <v>29</v>
      </c>
      <c r="E31" s="19" t="n">
        <v>1</v>
      </c>
      <c r="F31" s="20" t="s">
        <v>89</v>
      </c>
      <c r="G31" s="58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7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8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1</v>
      </c>
      <c r="D32" s="16" t="s">
        <v>29</v>
      </c>
      <c r="E32" s="19" t="n">
        <v>2</v>
      </c>
      <c r="F32" s="20" t="s">
        <v>88</v>
      </c>
      <c r="G32" s="58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5</v>
      </c>
      <c r="O32" s="16" t="n">
        <f aca="true">SUM(INDIRECT($AF32),INDIRECT($AG32),INDIRECT($AH32))</f>
        <v>5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8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1</v>
      </c>
      <c r="D33" s="16" t="s">
        <v>29</v>
      </c>
      <c r="E33" s="19" t="n">
        <v>2</v>
      </c>
      <c r="F33" s="20" t="s">
        <v>87</v>
      </c>
      <c r="G33" s="58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5" t="n">
        <f aca="false">N33-O33</f>
        <v>0</v>
      </c>
      <c r="N33" s="35" t="n">
        <f aca="true">SUM(INDIRECT($AC33),INDIRECT($AD33),INDIRECT($AE33))</f>
        <v>4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8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2</v>
      </c>
      <c r="D34" s="35" t="s">
        <v>29</v>
      </c>
      <c r="E34" s="39" t="n">
        <v>1</v>
      </c>
      <c r="F34" s="45" t="s">
        <v>89</v>
      </c>
      <c r="G34" s="58"/>
      <c r="H34" s="41" t="n">
        <v>46198</v>
      </c>
      <c r="I34" s="42" t="n">
        <v>0.958333333333333</v>
      </c>
      <c r="J34" s="23"/>
      <c r="K34" s="43"/>
      <c r="S34" s="58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U35" s="58"/>
      <c r="V35" s="58"/>
      <c r="W35" s="58"/>
      <c r="X35" s="58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58"/>
      <c r="H36" s="13" t="s">
        <v>26</v>
      </c>
      <c r="I36" s="14" t="s">
        <v>27</v>
      </c>
      <c r="J36" s="15"/>
      <c r="K36" s="58"/>
      <c r="L36" s="58"/>
      <c r="M36" s="58"/>
      <c r="N36" s="58"/>
      <c r="O36" s="58"/>
      <c r="P36" s="58"/>
      <c r="Q36" s="58"/>
      <c r="R36" s="58"/>
      <c r="S36" s="58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6</v>
      </c>
      <c r="D37" s="16" t="s">
        <v>29</v>
      </c>
      <c r="E37" s="19" t="n">
        <v>0</v>
      </c>
      <c r="F37" s="31" t="s">
        <v>104</v>
      </c>
      <c r="G37" s="58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3</v>
      </c>
      <c r="D38" s="16" t="s">
        <v>29</v>
      </c>
      <c r="E38" s="19" t="n">
        <v>3</v>
      </c>
      <c r="F38" s="31" t="s">
        <v>106</v>
      </c>
      <c r="G38" s="58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2</v>
      </c>
      <c r="F39" s="31" t="s">
        <v>105</v>
      </c>
      <c r="G39" s="58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6" t="n">
        <f aca="false">N39-O39</f>
        <v>3</v>
      </c>
      <c r="N39" s="16" t="n">
        <f aca="true">SUM(INDIRECT($AC39),INDIRECT($AD39),INDIRECT($AE39))</f>
        <v>9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8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4</v>
      </c>
      <c r="D40" s="16" t="s">
        <v>29</v>
      </c>
      <c r="E40" s="19" t="n">
        <v>0</v>
      </c>
      <c r="F40" s="31" t="s">
        <v>104</v>
      </c>
      <c r="G40" s="58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1</v>
      </c>
      <c r="O40" s="16" t="n">
        <f aca="true">SUM(INDIRECT($AF40),INDIRECT($AG40),INDIRECT($AH40))</f>
        <v>14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8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1</v>
      </c>
      <c r="F41" s="31" t="s">
        <v>103</v>
      </c>
      <c r="G41" s="58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4</v>
      </c>
      <c r="N41" s="35" t="n">
        <f aca="true">SUM(INDIRECT($AC41),INDIRECT($AD41),INDIRECT($AE41))</f>
        <v>8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8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1</v>
      </c>
      <c r="D42" s="35" t="s">
        <v>29</v>
      </c>
      <c r="E42" s="39" t="n">
        <v>4</v>
      </c>
      <c r="F42" s="40" t="s">
        <v>105</v>
      </c>
      <c r="G42" s="58"/>
      <c r="H42" s="41" t="n">
        <v>46198</v>
      </c>
      <c r="I42" s="42" t="n">
        <v>0.708333333333333</v>
      </c>
      <c r="J42" s="23"/>
      <c r="K42" s="43"/>
      <c r="S42" s="58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U43" s="58"/>
      <c r="V43" s="58"/>
      <c r="W43" s="58"/>
      <c r="X43" s="58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58"/>
      <c r="H44" s="13" t="s">
        <v>26</v>
      </c>
      <c r="I44" s="14" t="s">
        <v>27</v>
      </c>
      <c r="J44" s="15"/>
      <c r="K44" s="58"/>
      <c r="L44" s="58"/>
      <c r="M44" s="58"/>
      <c r="N44" s="58"/>
      <c r="O44" s="58"/>
      <c r="P44" s="58"/>
      <c r="Q44" s="58"/>
      <c r="R44" s="58"/>
      <c r="S44" s="58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0</v>
      </c>
      <c r="F45" s="31" t="s">
        <v>121</v>
      </c>
      <c r="G45" s="58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1</v>
      </c>
      <c r="F46" s="31" t="s">
        <v>123</v>
      </c>
      <c r="G46" s="58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7</v>
      </c>
      <c r="N46" s="16" t="n">
        <f aca="true">SUM(INDIRECT($AC46),INDIRECT($AD46),INDIRECT($AE46))</f>
        <v>8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3</v>
      </c>
      <c r="D47" s="16" t="s">
        <v>29</v>
      </c>
      <c r="E47" s="19" t="n">
        <v>1</v>
      </c>
      <c r="F47" s="31" t="s">
        <v>122</v>
      </c>
      <c r="G47" s="58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3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8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2</v>
      </c>
      <c r="F48" s="31" t="s">
        <v>121</v>
      </c>
      <c r="G48" s="58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6" t="n">
        <f aca="false">N48-O48</f>
        <v>-2</v>
      </c>
      <c r="N48" s="16" t="n">
        <f aca="true">SUM(INDIRECT($AC48),INDIRECT($AD48),INDIRECT($AE48))</f>
        <v>3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8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3</v>
      </c>
      <c r="F49" s="31" t="s">
        <v>120</v>
      </c>
      <c r="G49" s="58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-5</v>
      </c>
      <c r="N49" s="35" t="n">
        <f aca="true">SUM(INDIRECT($AC49),INDIRECT($AD49),INDIRECT($AE49))</f>
        <v>1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8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1</v>
      </c>
      <c r="D50" s="35" t="s">
        <v>29</v>
      </c>
      <c r="E50" s="39" t="n">
        <v>1</v>
      </c>
      <c r="F50" s="40" t="s">
        <v>122</v>
      </c>
      <c r="G50" s="58"/>
      <c r="H50" s="41" t="n">
        <v>46198</v>
      </c>
      <c r="I50" s="42" t="n">
        <v>0.833333333333333</v>
      </c>
      <c r="J50" s="23"/>
      <c r="K50" s="43"/>
      <c r="S50" s="58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U51" s="58"/>
      <c r="V51" s="58"/>
      <c r="W51" s="58"/>
      <c r="X51" s="58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58"/>
      <c r="H52" s="13" t="s">
        <v>26</v>
      </c>
      <c r="I52" s="14" t="s">
        <v>27</v>
      </c>
      <c r="J52" s="15"/>
      <c r="K52" s="58"/>
      <c r="L52" s="58"/>
      <c r="M52" s="58"/>
      <c r="N52" s="58"/>
      <c r="O52" s="58"/>
      <c r="P52" s="58"/>
      <c r="Q52" s="58"/>
      <c r="R52" s="58"/>
      <c r="S52" s="58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2</v>
      </c>
      <c r="D53" s="16" t="s">
        <v>29</v>
      </c>
      <c r="E53" s="19" t="n">
        <v>0</v>
      </c>
      <c r="F53" s="31" t="s">
        <v>138</v>
      </c>
      <c r="G53" s="58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2</v>
      </c>
      <c r="D54" s="16" t="s">
        <v>29</v>
      </c>
      <c r="E54" s="19" t="n">
        <v>0</v>
      </c>
      <c r="F54" s="31" t="s">
        <v>140</v>
      </c>
      <c r="G54" s="58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1</v>
      </c>
      <c r="F55" s="31" t="s">
        <v>139</v>
      </c>
      <c r="G55" s="58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8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0</v>
      </c>
      <c r="F56" s="31" t="s">
        <v>138</v>
      </c>
      <c r="G56" s="58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1</v>
      </c>
      <c r="N56" s="16" t="n">
        <f aca="true">SUM(INDIRECT($AC56),INDIRECT($AD56),INDIRECT($AE56))</f>
        <v>4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8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1</v>
      </c>
      <c r="F57" s="31" t="s">
        <v>139</v>
      </c>
      <c r="G57" s="58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8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3</v>
      </c>
      <c r="F58" s="40" t="s">
        <v>137</v>
      </c>
      <c r="G58" s="58"/>
      <c r="H58" s="41" t="n">
        <v>46200</v>
      </c>
      <c r="I58" s="42" t="n">
        <v>0</v>
      </c>
      <c r="J58" s="23"/>
      <c r="K58" s="43"/>
      <c r="S58" s="58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U59" s="58"/>
      <c r="V59" s="58"/>
      <c r="W59" s="58"/>
      <c r="X59" s="58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58"/>
      <c r="H60" s="13" t="s">
        <v>26</v>
      </c>
      <c r="I60" s="14" t="s">
        <v>27</v>
      </c>
      <c r="J60" s="15"/>
      <c r="K60" s="58"/>
      <c r="L60" s="58"/>
      <c r="M60" s="58"/>
      <c r="N60" s="58"/>
      <c r="O60" s="58"/>
      <c r="P60" s="58"/>
      <c r="Q60" s="58"/>
      <c r="R60" s="58"/>
      <c r="S60" s="58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4</v>
      </c>
      <c r="D61" s="16" t="s">
        <v>29</v>
      </c>
      <c r="E61" s="19" t="n">
        <v>0</v>
      </c>
      <c r="F61" s="31" t="s">
        <v>155</v>
      </c>
      <c r="G61" s="58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3</v>
      </c>
      <c r="F62" s="31" t="s">
        <v>157</v>
      </c>
      <c r="G62" s="58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-6</v>
      </c>
      <c r="N62" s="16" t="n">
        <f aca="true">SUM(INDIRECT($AC62),INDIRECT($AD62),INDIRECT($AE62))</f>
        <v>2</v>
      </c>
      <c r="O62" s="16" t="n">
        <f aca="true">SUM(INDIRECT($AF62),INDIRECT($AG62),INDIRECT($AH62))</f>
        <v>8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4</v>
      </c>
      <c r="D63" s="16" t="s">
        <v>29</v>
      </c>
      <c r="E63" s="19" t="n">
        <v>0</v>
      </c>
      <c r="F63" s="31" t="s">
        <v>156</v>
      </c>
      <c r="G63" s="58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8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3</v>
      </c>
      <c r="D64" s="16" t="s">
        <v>29</v>
      </c>
      <c r="E64" s="19" t="n">
        <v>0</v>
      </c>
      <c r="F64" s="31" t="s">
        <v>155</v>
      </c>
      <c r="G64" s="58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10</v>
      </c>
      <c r="N64" s="16" t="n">
        <f aca="true">SUM(INDIRECT($AC64),INDIRECT($AD64),INDIRECT($AE64))</f>
        <v>11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8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1</v>
      </c>
      <c r="D65" s="16" t="s">
        <v>29</v>
      </c>
      <c r="E65" s="19" t="n">
        <v>1</v>
      </c>
      <c r="F65" s="31" t="s">
        <v>156</v>
      </c>
      <c r="G65" s="58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7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8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3</v>
      </c>
      <c r="F66" s="40" t="s">
        <v>154</v>
      </c>
      <c r="G66" s="58"/>
      <c r="H66" s="41" t="n">
        <v>46199</v>
      </c>
      <c r="I66" s="42" t="n">
        <v>0.875</v>
      </c>
      <c r="J66" s="23"/>
      <c r="K66" s="43"/>
      <c r="S66" s="58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58"/>
      <c r="H68" s="13" t="s">
        <v>26</v>
      </c>
      <c r="I68" s="14" t="s">
        <v>27</v>
      </c>
      <c r="J68" s="15"/>
      <c r="K68" s="58"/>
      <c r="L68" s="58"/>
      <c r="M68" s="58"/>
      <c r="N68" s="58"/>
      <c r="O68" s="58"/>
      <c r="P68" s="58"/>
      <c r="Q68" s="58"/>
      <c r="R68" s="58"/>
      <c r="S68" s="58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3</v>
      </c>
      <c r="D69" s="16" t="s">
        <v>29</v>
      </c>
      <c r="E69" s="19" t="n">
        <v>1</v>
      </c>
      <c r="F69" s="31" t="s">
        <v>172</v>
      </c>
      <c r="G69" s="58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0</v>
      </c>
      <c r="F70" s="31" t="s">
        <v>174</v>
      </c>
      <c r="G70" s="58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0</v>
      </c>
      <c r="F71" s="31" t="s">
        <v>173</v>
      </c>
      <c r="G71" s="58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-5</v>
      </c>
      <c r="N71" s="16" t="n">
        <f aca="true">SUM(INDIRECT($AC71),INDIRECT($AD71),INDIRECT($AE71))</f>
        <v>0</v>
      </c>
      <c r="O71" s="16" t="n">
        <f aca="true">SUM(INDIRECT($AF71),INDIRECT($AG71),INDIRECT($AH71))</f>
        <v>5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8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1</v>
      </c>
      <c r="D72" s="16" t="s">
        <v>29</v>
      </c>
      <c r="E72" s="19" t="n">
        <v>2</v>
      </c>
      <c r="F72" s="31" t="s">
        <v>172</v>
      </c>
      <c r="G72" s="58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6" t="n">
        <f aca="false">N72-O72</f>
        <v>-3</v>
      </c>
      <c r="N72" s="16" t="n">
        <f aca="true">SUM(INDIRECT($AC72),INDIRECT($AD72),INDIRECT($AE72))</f>
        <v>1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8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58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8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0</v>
      </c>
      <c r="D74" s="35" t="s">
        <v>29</v>
      </c>
      <c r="E74" s="39" t="n">
        <v>2</v>
      </c>
      <c r="F74" s="40" t="s">
        <v>171</v>
      </c>
      <c r="G74" s="58"/>
      <c r="H74" s="41" t="n">
        <v>46199</v>
      </c>
      <c r="I74" s="42" t="n">
        <v>0.666666666666667</v>
      </c>
      <c r="J74" s="23"/>
      <c r="K74" s="43"/>
      <c r="S74" s="58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U75" s="58"/>
      <c r="V75" s="58"/>
      <c r="W75" s="58"/>
      <c r="X75" s="58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58"/>
      <c r="H76" s="13" t="s">
        <v>26</v>
      </c>
      <c r="I76" s="14" t="s">
        <v>27</v>
      </c>
      <c r="J76" s="15"/>
      <c r="K76" s="58"/>
      <c r="L76" s="58"/>
      <c r="M76" s="58"/>
      <c r="N76" s="58"/>
      <c r="O76" s="58"/>
      <c r="P76" s="58"/>
      <c r="Q76" s="58"/>
      <c r="R76" s="58"/>
      <c r="S76" s="58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2</v>
      </c>
      <c r="D77" s="16" t="s">
        <v>29</v>
      </c>
      <c r="E77" s="19" t="n">
        <v>1</v>
      </c>
      <c r="F77" s="31" t="s">
        <v>189</v>
      </c>
      <c r="G77" s="58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1</v>
      </c>
      <c r="D78" s="16" t="s">
        <v>29</v>
      </c>
      <c r="E78" s="19" t="n">
        <v>1</v>
      </c>
      <c r="F78" s="31" t="s">
        <v>191</v>
      </c>
      <c r="G78" s="58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5</v>
      </c>
      <c r="N78" s="16" t="n">
        <f aca="true">SUM(INDIRECT($AC78),INDIRECT($AD78),INDIRECT($AE78))</f>
        <v>6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1</v>
      </c>
      <c r="D79" s="16" t="s">
        <v>29</v>
      </c>
      <c r="E79" s="19" t="n">
        <v>0</v>
      </c>
      <c r="F79" s="31" t="s">
        <v>190</v>
      </c>
      <c r="G79" s="58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8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1</v>
      </c>
      <c r="D80" s="16" t="s">
        <v>29</v>
      </c>
      <c r="E80" s="19" t="n">
        <v>1</v>
      </c>
      <c r="F80" s="31" t="s">
        <v>189</v>
      </c>
      <c r="G80" s="58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-3</v>
      </c>
      <c r="N80" s="16" t="n">
        <f aca="true">SUM(INDIRECT($AC80),INDIRECT($AD80),INDIRECT($AE80))</f>
        <v>2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8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3</v>
      </c>
      <c r="F81" s="31" t="s">
        <v>188</v>
      </c>
      <c r="G81" s="58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8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0</v>
      </c>
      <c r="D82" s="35" t="s">
        <v>29</v>
      </c>
      <c r="E82" s="39" t="n">
        <v>2</v>
      </c>
      <c r="F82" s="40" t="s">
        <v>190</v>
      </c>
      <c r="G82" s="58"/>
      <c r="H82" s="41" t="n">
        <v>46200</v>
      </c>
      <c r="I82" s="42" t="n">
        <v>0.958333333333333</v>
      </c>
      <c r="J82" s="23"/>
      <c r="K82" s="43"/>
      <c r="S82" s="58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U83" s="58"/>
      <c r="V83" s="58"/>
      <c r="W83" s="58"/>
      <c r="X83" s="58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58"/>
      <c r="H84" s="13" t="s">
        <v>26</v>
      </c>
      <c r="I84" s="14" t="s">
        <v>27</v>
      </c>
      <c r="J84" s="15"/>
      <c r="K84" s="58"/>
      <c r="L84" s="58"/>
      <c r="M84" s="58"/>
      <c r="N84" s="58"/>
      <c r="O84" s="58"/>
      <c r="P84" s="58"/>
      <c r="Q84" s="58"/>
      <c r="R84" s="58"/>
      <c r="S84" s="58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4</v>
      </c>
      <c r="D85" s="16" t="s">
        <v>29</v>
      </c>
      <c r="E85" s="19" t="n">
        <v>1</v>
      </c>
      <c r="F85" s="31" t="s">
        <v>206</v>
      </c>
      <c r="G85" s="58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1</v>
      </c>
      <c r="D86" s="16" t="s">
        <v>29</v>
      </c>
      <c r="E86" s="19" t="n">
        <v>4</v>
      </c>
      <c r="F86" s="31" t="s">
        <v>208</v>
      </c>
      <c r="G86" s="58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8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4</v>
      </c>
      <c r="D87" s="16" t="s">
        <v>29</v>
      </c>
      <c r="E87" s="19" t="n">
        <v>0</v>
      </c>
      <c r="F87" s="31" t="s">
        <v>207</v>
      </c>
      <c r="G87" s="58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8</v>
      </c>
      <c r="N87" s="16" t="n">
        <f aca="true">SUM(INDIRECT($AC87),INDIRECT($AD87),INDIRECT($AE87))</f>
        <v>10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8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3</v>
      </c>
      <c r="D88" s="16" t="s">
        <v>29</v>
      </c>
      <c r="E88" s="19" t="n">
        <v>1</v>
      </c>
      <c r="F88" s="31" t="s">
        <v>206</v>
      </c>
      <c r="G88" s="58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5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8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3</v>
      </c>
      <c r="D89" s="16" t="s">
        <v>29</v>
      </c>
      <c r="E89" s="19" t="n">
        <v>0</v>
      </c>
      <c r="F89" s="31" t="s">
        <v>207</v>
      </c>
      <c r="G89" s="58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-10</v>
      </c>
      <c r="N89" s="35" t="n">
        <f aca="true">SUM(INDIRECT($AC89),INDIRECT($AD89),INDIRECT($AE89))</f>
        <v>1</v>
      </c>
      <c r="O89" s="35" t="n">
        <f aca="true">SUM(INDIRECT($AF89),INDIRECT($AG89),INDIRECT($AH89))</f>
        <v>11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8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2</v>
      </c>
      <c r="F90" s="40" t="s">
        <v>205</v>
      </c>
      <c r="G90" s="58"/>
      <c r="H90" s="41" t="n">
        <v>46200</v>
      </c>
      <c r="I90" s="42" t="n">
        <v>0.854166666666667</v>
      </c>
      <c r="J90" s="23"/>
      <c r="K90" s="43"/>
      <c r="S90" s="58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U91" s="58"/>
      <c r="V91" s="58"/>
      <c r="W91" s="58"/>
      <c r="X91" s="58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58"/>
      <c r="H92" s="13" t="s">
        <v>26</v>
      </c>
      <c r="I92" s="14" t="s">
        <v>27</v>
      </c>
      <c r="J92" s="15"/>
      <c r="K92" s="58"/>
      <c r="L92" s="58"/>
      <c r="M92" s="58"/>
      <c r="N92" s="58"/>
      <c r="O92" s="58"/>
      <c r="P92" s="58"/>
      <c r="Q92" s="58"/>
      <c r="R92" s="58"/>
      <c r="S92" s="58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1</v>
      </c>
      <c r="D93" s="16" t="s">
        <v>29</v>
      </c>
      <c r="E93" s="19" t="n">
        <v>1</v>
      </c>
      <c r="F93" s="31" t="s">
        <v>223</v>
      </c>
      <c r="G93" s="58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0</v>
      </c>
      <c r="F94" s="31" t="s">
        <v>225</v>
      </c>
      <c r="G94" s="58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3</v>
      </c>
      <c r="D95" s="16" t="s">
        <v>29</v>
      </c>
      <c r="E95" s="19" t="n">
        <v>0</v>
      </c>
      <c r="F95" s="31" t="s">
        <v>224</v>
      </c>
      <c r="G95" s="58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-1</v>
      </c>
      <c r="N95" s="16" t="n">
        <f aca="true">SUM(INDIRECT($AC95),INDIRECT($AD95),INDIRECT($AE95))</f>
        <v>4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8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2</v>
      </c>
      <c r="F96" s="31" t="s">
        <v>223</v>
      </c>
      <c r="G96" s="58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7</v>
      </c>
      <c r="N96" s="16" t="n">
        <f aca="true">SUM(INDIRECT($AC96),INDIRECT($AD96),INDIRECT($AE96))</f>
        <v>8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8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2</v>
      </c>
      <c r="F97" s="31" t="s">
        <v>224</v>
      </c>
      <c r="G97" s="58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0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8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4</v>
      </c>
      <c r="F98" s="40" t="s">
        <v>222</v>
      </c>
      <c r="G98" s="58"/>
      <c r="H98" s="41" t="n">
        <v>46200</v>
      </c>
      <c r="I98" s="42" t="n">
        <v>0.75</v>
      </c>
      <c r="J98" s="23"/>
      <c r="K98" s="43"/>
      <c r="S98" s="58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3" colorId="64" zoomScale="100" zoomScaleNormal="100" zoomScalePageLayoutView="100" workbookViewId="0">
      <selection pane="topLeft" activeCell="A93" activeCellId="0" sqref="A93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8"/>
      <c r="D1" s="58"/>
      <c r="E1" s="58"/>
      <c r="F1" s="58"/>
      <c r="G1" s="58"/>
      <c r="H1" s="3"/>
      <c r="I1" s="58"/>
      <c r="J1" s="58"/>
      <c r="K1" s="3"/>
      <c r="L1" s="58"/>
      <c r="M1" s="58"/>
      <c r="N1" s="58"/>
      <c r="O1" s="58"/>
      <c r="P1" s="58"/>
      <c r="Q1" s="58"/>
      <c r="R1" s="58"/>
      <c r="S1" s="58"/>
      <c r="T1" s="3"/>
      <c r="U1" s="4"/>
      <c r="V1" s="58"/>
      <c r="W1" s="58"/>
      <c r="X1" s="58"/>
      <c r="Y1" s="5"/>
      <c r="Z1" s="6"/>
      <c r="AA1" s="6"/>
      <c r="AB1" s="6"/>
      <c r="AC1" s="6"/>
      <c r="AD1" s="6"/>
      <c r="AE1" s="6"/>
      <c r="AF1" s="6"/>
      <c r="AG1" s="6"/>
      <c r="AH1" s="6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customFormat="false" ht="18.75" hidden="false" customHeight="true" outlineLevel="0" collapsed="false">
      <c r="B2" s="7" t="s">
        <v>247</v>
      </c>
      <c r="C2" s="7"/>
      <c r="D2" s="7"/>
      <c r="E2" s="7"/>
      <c r="F2" s="7"/>
      <c r="G2" s="58"/>
      <c r="H2" s="8" t="s">
        <v>21</v>
      </c>
      <c r="I2" s="8"/>
      <c r="J2" s="58"/>
      <c r="K2" s="8" t="s">
        <v>22</v>
      </c>
      <c r="L2" s="8"/>
      <c r="M2" s="8"/>
      <c r="N2" s="8"/>
      <c r="O2" s="8"/>
      <c r="P2" s="8"/>
      <c r="Q2" s="8"/>
      <c r="R2" s="8"/>
      <c r="S2" s="58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8"/>
      <c r="AJ2" s="58"/>
      <c r="AK2" s="58"/>
      <c r="AL2" s="58"/>
      <c r="AM2" s="58"/>
      <c r="AN2" s="58"/>
      <c r="AO2" s="58"/>
      <c r="AP2" s="58"/>
      <c r="AQ2" s="58"/>
      <c r="AR2" s="58"/>
    </row>
    <row r="3" customFormat="false" ht="15" hidden="false" customHeight="true" outlineLevel="0" collapsed="false">
      <c r="C3" s="58"/>
      <c r="D3" s="58"/>
      <c r="E3" s="58"/>
      <c r="F3" s="58"/>
      <c r="G3" s="58"/>
      <c r="H3" s="58"/>
      <c r="I3" s="58"/>
      <c r="J3" s="58"/>
      <c r="K3" s="3"/>
      <c r="L3" s="58"/>
      <c r="M3" s="58"/>
      <c r="N3" s="58"/>
      <c r="O3" s="58"/>
      <c r="P3" s="58"/>
      <c r="Q3" s="58"/>
      <c r="R3" s="58"/>
      <c r="S3" s="58"/>
      <c r="T3" s="10" t="s">
        <v>24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58"/>
      <c r="H4" s="13" t="s">
        <v>26</v>
      </c>
      <c r="I4" s="14" t="s">
        <v>27</v>
      </c>
      <c r="J4" s="15"/>
      <c r="K4" s="58"/>
      <c r="L4" s="58"/>
      <c r="M4" s="58"/>
      <c r="N4" s="58"/>
      <c r="O4" s="58"/>
      <c r="P4" s="58"/>
      <c r="Q4" s="58"/>
      <c r="R4" s="58"/>
      <c r="S4" s="58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0</v>
      </c>
      <c r="F5" s="20" t="s">
        <v>30</v>
      </c>
      <c r="G5" s="58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1</v>
      </c>
      <c r="F6" s="31" t="s">
        <v>39</v>
      </c>
      <c r="G6" s="58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2</v>
      </c>
      <c r="F7" s="31" t="s">
        <v>30</v>
      </c>
      <c r="G7" s="58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8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1</v>
      </c>
      <c r="D8" s="16" t="s">
        <v>29</v>
      </c>
      <c r="E8" s="19" t="n">
        <v>0</v>
      </c>
      <c r="F8" s="31" t="s">
        <v>38</v>
      </c>
      <c r="G8" s="58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8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2</v>
      </c>
      <c r="D9" s="16" t="s">
        <v>29</v>
      </c>
      <c r="E9" s="19" t="n">
        <v>2</v>
      </c>
      <c r="F9" s="31" t="s">
        <v>38</v>
      </c>
      <c r="G9" s="58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4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8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1</v>
      </c>
      <c r="D10" s="35" t="s">
        <v>29</v>
      </c>
      <c r="E10" s="39" t="n">
        <v>3</v>
      </c>
      <c r="F10" s="40" t="s">
        <v>28</v>
      </c>
      <c r="G10" s="58"/>
      <c r="H10" s="41" t="n">
        <v>46197</v>
      </c>
      <c r="I10" s="42" t="n">
        <v>0.916666666666667</v>
      </c>
      <c r="J10" s="23"/>
      <c r="K10" s="27"/>
      <c r="S10" s="58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U11" s="58"/>
      <c r="V11" s="58"/>
      <c r="W11" s="58"/>
      <c r="X11" s="58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58"/>
      <c r="H12" s="13" t="s">
        <v>26</v>
      </c>
      <c r="I12" s="14" t="s">
        <v>27</v>
      </c>
      <c r="J12" s="15"/>
      <c r="K12" s="58"/>
      <c r="L12" s="58"/>
      <c r="M12" s="58"/>
      <c r="N12" s="58"/>
      <c r="O12" s="58"/>
      <c r="P12" s="58"/>
      <c r="Q12" s="58"/>
      <c r="R12" s="58"/>
      <c r="S12" s="58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0</v>
      </c>
      <c r="F13" s="20" t="s">
        <v>54</v>
      </c>
      <c r="G13" s="58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2</v>
      </c>
      <c r="F14" s="20" t="s">
        <v>56</v>
      </c>
      <c r="G14" s="58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4</v>
      </c>
      <c r="O14" s="16" t="n">
        <f aca="true">SUM(INDIRECT($AF14),INDIRECT($AG14),INDIRECT($AH14))</f>
        <v>7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3</v>
      </c>
      <c r="D15" s="16" t="s">
        <v>29</v>
      </c>
      <c r="E15" s="19" t="n">
        <v>1</v>
      </c>
      <c r="F15" s="20" t="s">
        <v>54</v>
      </c>
      <c r="G15" s="58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8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2</v>
      </c>
      <c r="D16" s="16" t="s">
        <v>29</v>
      </c>
      <c r="E16" s="19" t="n">
        <v>1</v>
      </c>
      <c r="F16" s="20" t="s">
        <v>55</v>
      </c>
      <c r="G16" s="58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4</v>
      </c>
      <c r="O16" s="16" t="n">
        <f aca="true">SUM(INDIRECT($AF16),INDIRECT($AG16),INDIRECT($AH16))</f>
        <v>7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8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1</v>
      </c>
      <c r="D17" s="16" t="s">
        <v>29</v>
      </c>
      <c r="E17" s="19" t="n">
        <v>1</v>
      </c>
      <c r="F17" s="20" t="s">
        <v>53</v>
      </c>
      <c r="G17" s="58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4</v>
      </c>
      <c r="N17" s="35" t="n">
        <f aca="true">SUM(INDIRECT($AC17),INDIRECT($AD17),INDIRECT($AE17))</f>
        <v>6</v>
      </c>
      <c r="O17" s="35" t="n">
        <f aca="true">SUM(INDIRECT($AF17),INDIRECT($AG17),INDIRECT($AH17))</f>
        <v>2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8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3</v>
      </c>
      <c r="D18" s="35" t="s">
        <v>29</v>
      </c>
      <c r="E18" s="39" t="n">
        <v>3</v>
      </c>
      <c r="F18" s="45" t="s">
        <v>55</v>
      </c>
      <c r="G18" s="58"/>
      <c r="H18" s="41" t="n">
        <v>46197</v>
      </c>
      <c r="I18" s="42" t="n">
        <v>0.666666666666667</v>
      </c>
      <c r="J18" s="23"/>
      <c r="K18" s="27"/>
      <c r="S18" s="58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U19" s="58"/>
      <c r="V19" s="58"/>
      <c r="W19" s="58"/>
      <c r="X19" s="58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58"/>
      <c r="H20" s="13" t="s">
        <v>26</v>
      </c>
      <c r="I20" s="14" t="s">
        <v>27</v>
      </c>
      <c r="J20" s="15"/>
      <c r="K20" s="58"/>
      <c r="L20" s="58"/>
      <c r="M20" s="58"/>
      <c r="N20" s="58"/>
      <c r="O20" s="58"/>
      <c r="P20" s="58"/>
      <c r="Q20" s="58"/>
      <c r="R20" s="58"/>
      <c r="S20" s="58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1</v>
      </c>
      <c r="D21" s="16" t="s">
        <v>29</v>
      </c>
      <c r="E21" s="19" t="n">
        <v>1</v>
      </c>
      <c r="F21" s="20" t="s">
        <v>71</v>
      </c>
      <c r="G21" s="58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2</v>
      </c>
      <c r="D22" s="16" t="s">
        <v>29</v>
      </c>
      <c r="E22" s="19" t="n">
        <v>1</v>
      </c>
      <c r="F22" s="20" t="s">
        <v>73</v>
      </c>
      <c r="G22" s="58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0</v>
      </c>
      <c r="D23" s="16" t="s">
        <v>29</v>
      </c>
      <c r="E23" s="19" t="n">
        <v>2</v>
      </c>
      <c r="F23" s="20" t="s">
        <v>71</v>
      </c>
      <c r="G23" s="58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1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8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4</v>
      </c>
      <c r="D24" s="16" t="s">
        <v>29</v>
      </c>
      <c r="E24" s="19" t="n">
        <v>0</v>
      </c>
      <c r="F24" s="20" t="s">
        <v>72</v>
      </c>
      <c r="G24" s="58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-6</v>
      </c>
      <c r="N24" s="16" t="n">
        <f aca="true">SUM(INDIRECT($AC24),INDIRECT($AD24),INDIRECT($AE24))</f>
        <v>2</v>
      </c>
      <c r="O24" s="16" t="n">
        <f aca="true">SUM(INDIRECT($AF24),INDIRECT($AG24),INDIRECT($AH24))</f>
        <v>8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8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0</v>
      </c>
      <c r="F25" s="20" t="s">
        <v>72</v>
      </c>
      <c r="G25" s="58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5</v>
      </c>
      <c r="N25" s="35" t="n">
        <f aca="true">SUM(INDIRECT($AC25),INDIRECT($AD25),INDIRECT($AE25))</f>
        <v>6</v>
      </c>
      <c r="O25" s="35" t="n">
        <f aca="true">SUM(INDIRECT($AF25),INDIRECT($AG25),INDIRECT($AH25))</f>
        <v>1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8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2</v>
      </c>
      <c r="F26" s="45" t="s">
        <v>70</v>
      </c>
      <c r="G26" s="58"/>
      <c r="H26" s="41" t="n">
        <v>46197</v>
      </c>
      <c r="I26" s="42" t="n">
        <v>0.791666666666667</v>
      </c>
      <c r="J26" s="23"/>
      <c r="K26" s="43"/>
      <c r="S26" s="58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U27" s="58"/>
      <c r="V27" s="58"/>
      <c r="W27" s="58"/>
      <c r="X27" s="58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58"/>
      <c r="H28" s="13" t="s">
        <v>26</v>
      </c>
      <c r="I28" s="14" t="s">
        <v>27</v>
      </c>
      <c r="J28" s="15"/>
      <c r="K28" s="58"/>
      <c r="L28" s="58"/>
      <c r="M28" s="58"/>
      <c r="N28" s="58"/>
      <c r="O28" s="58"/>
      <c r="P28" s="58"/>
      <c r="Q28" s="58"/>
      <c r="R28" s="58"/>
      <c r="S28" s="58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2</v>
      </c>
      <c r="D29" s="16" t="s">
        <v>29</v>
      </c>
      <c r="E29" s="19" t="n">
        <v>0</v>
      </c>
      <c r="F29" s="20" t="s">
        <v>88</v>
      </c>
      <c r="G29" s="58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1</v>
      </c>
      <c r="D30" s="16" t="s">
        <v>29</v>
      </c>
      <c r="E30" s="19" t="n">
        <v>3</v>
      </c>
      <c r="F30" s="20" t="s">
        <v>90</v>
      </c>
      <c r="G30" s="58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3</v>
      </c>
      <c r="O30" s="16" t="n">
        <f aca="true">SUM(INDIRECT($AF30),INDIRECT($AG30),INDIRECT($AH30))</f>
        <v>7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2</v>
      </c>
      <c r="D31" s="16" t="s">
        <v>29</v>
      </c>
      <c r="E31" s="19" t="n">
        <v>1</v>
      </c>
      <c r="F31" s="20" t="s">
        <v>89</v>
      </c>
      <c r="G31" s="58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6" t="n">
        <f aca="false">N31-O31</f>
        <v>3</v>
      </c>
      <c r="N31" s="16" t="n">
        <f aca="true">SUM(INDIRECT($AC31),INDIRECT($AD31),INDIRECT($AE31))</f>
        <v>6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8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2</v>
      </c>
      <c r="D32" s="16" t="s">
        <v>29</v>
      </c>
      <c r="E32" s="19" t="n">
        <v>0</v>
      </c>
      <c r="F32" s="20" t="s">
        <v>88</v>
      </c>
      <c r="G32" s="58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-5</v>
      </c>
      <c r="N32" s="16" t="n">
        <f aca="true">SUM(INDIRECT($AC32),INDIRECT($AD32),INDIRECT($AE32))</f>
        <v>1</v>
      </c>
      <c r="O32" s="16" t="n">
        <f aca="true">SUM(INDIRECT($AF32),INDIRECT($AG32),INDIRECT($AH32))</f>
        <v>6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8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2</v>
      </c>
      <c r="F33" s="20" t="s">
        <v>87</v>
      </c>
      <c r="G33" s="58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4</v>
      </c>
      <c r="N33" s="35" t="n">
        <f aca="true">SUM(INDIRECT($AC33),INDIRECT($AD33),INDIRECT($AE33))</f>
        <v>7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8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2</v>
      </c>
      <c r="D34" s="35" t="s">
        <v>29</v>
      </c>
      <c r="E34" s="39" t="n">
        <v>1</v>
      </c>
      <c r="F34" s="45" t="s">
        <v>89</v>
      </c>
      <c r="G34" s="58"/>
      <c r="H34" s="41" t="n">
        <v>46198</v>
      </c>
      <c r="I34" s="42" t="n">
        <v>0.958333333333333</v>
      </c>
      <c r="J34" s="23"/>
      <c r="K34" s="43"/>
      <c r="S34" s="58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U35" s="58"/>
      <c r="V35" s="58"/>
      <c r="W35" s="58"/>
      <c r="X35" s="58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58"/>
      <c r="H36" s="13" t="s">
        <v>26</v>
      </c>
      <c r="I36" s="14" t="s">
        <v>27</v>
      </c>
      <c r="J36" s="15"/>
      <c r="K36" s="58"/>
      <c r="L36" s="58"/>
      <c r="M36" s="58"/>
      <c r="N36" s="58"/>
      <c r="O36" s="58"/>
      <c r="P36" s="58"/>
      <c r="Q36" s="58"/>
      <c r="R36" s="58"/>
      <c r="S36" s="58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5</v>
      </c>
      <c r="D37" s="16" t="s">
        <v>29</v>
      </c>
      <c r="E37" s="19" t="n">
        <v>0</v>
      </c>
      <c r="F37" s="31" t="s">
        <v>104</v>
      </c>
      <c r="G37" s="58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2</v>
      </c>
      <c r="D38" s="16" t="s">
        <v>29</v>
      </c>
      <c r="E38" s="19" t="n">
        <v>3</v>
      </c>
      <c r="F38" s="31" t="s">
        <v>106</v>
      </c>
      <c r="G38" s="58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8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2</v>
      </c>
      <c r="F39" s="31" t="s">
        <v>105</v>
      </c>
      <c r="G39" s="58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7</v>
      </c>
      <c r="O39" s="16" t="n">
        <f aca="true">SUM(INDIRECT($AF39),INDIRECT($AG39),INDIRECT($AH39))</f>
        <v>6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8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3</v>
      </c>
      <c r="D40" s="16" t="s">
        <v>29</v>
      </c>
      <c r="E40" s="19" t="n">
        <v>0</v>
      </c>
      <c r="F40" s="31" t="s">
        <v>104</v>
      </c>
      <c r="G40" s="58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8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0</v>
      </c>
      <c r="D41" s="16" t="s">
        <v>29</v>
      </c>
      <c r="E41" s="19" t="n">
        <v>1</v>
      </c>
      <c r="F41" s="31" t="s">
        <v>103</v>
      </c>
      <c r="G41" s="58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8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1</v>
      </c>
      <c r="D42" s="35" t="s">
        <v>29</v>
      </c>
      <c r="E42" s="39" t="n">
        <v>3</v>
      </c>
      <c r="F42" s="40" t="s">
        <v>105</v>
      </c>
      <c r="G42" s="58"/>
      <c r="H42" s="41" t="n">
        <v>46198</v>
      </c>
      <c r="I42" s="42" t="n">
        <v>0.708333333333333</v>
      </c>
      <c r="J42" s="23"/>
      <c r="K42" s="43"/>
      <c r="S42" s="58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U43" s="58"/>
      <c r="V43" s="58"/>
      <c r="W43" s="58"/>
      <c r="X43" s="58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58"/>
      <c r="H44" s="13" t="s">
        <v>26</v>
      </c>
      <c r="I44" s="14" t="s">
        <v>27</v>
      </c>
      <c r="J44" s="15"/>
      <c r="K44" s="58"/>
      <c r="L44" s="58"/>
      <c r="M44" s="58"/>
      <c r="N44" s="58"/>
      <c r="O44" s="58"/>
      <c r="P44" s="58"/>
      <c r="Q44" s="58"/>
      <c r="R44" s="58"/>
      <c r="S44" s="58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1</v>
      </c>
      <c r="D45" s="16" t="s">
        <v>29</v>
      </c>
      <c r="E45" s="19" t="n">
        <v>1</v>
      </c>
      <c r="F45" s="31" t="s">
        <v>121</v>
      </c>
      <c r="G45" s="58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2</v>
      </c>
      <c r="D46" s="16" t="s">
        <v>29</v>
      </c>
      <c r="E46" s="19" t="n">
        <v>0</v>
      </c>
      <c r="F46" s="31" t="s">
        <v>123</v>
      </c>
      <c r="G46" s="58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1</v>
      </c>
      <c r="F47" s="31" t="s">
        <v>122</v>
      </c>
      <c r="G47" s="58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8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1</v>
      </c>
      <c r="F48" s="31" t="s">
        <v>121</v>
      </c>
      <c r="G48" s="58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8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3</v>
      </c>
      <c r="F49" s="31" t="s">
        <v>120</v>
      </c>
      <c r="G49" s="58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8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1</v>
      </c>
      <c r="F50" s="40" t="s">
        <v>122</v>
      </c>
      <c r="G50" s="58"/>
      <c r="H50" s="41" t="n">
        <v>46198</v>
      </c>
      <c r="I50" s="42" t="n">
        <v>0.833333333333333</v>
      </c>
      <c r="J50" s="23"/>
      <c r="K50" s="43"/>
      <c r="S50" s="58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U51" s="58"/>
      <c r="V51" s="58"/>
      <c r="W51" s="58"/>
      <c r="X51" s="58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58"/>
      <c r="H52" s="13" t="s">
        <v>26</v>
      </c>
      <c r="I52" s="14" t="s">
        <v>27</v>
      </c>
      <c r="J52" s="15"/>
      <c r="K52" s="58"/>
      <c r="L52" s="58"/>
      <c r="M52" s="58"/>
      <c r="N52" s="58"/>
      <c r="O52" s="58"/>
      <c r="P52" s="58"/>
      <c r="Q52" s="58"/>
      <c r="R52" s="58"/>
      <c r="S52" s="58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1</v>
      </c>
      <c r="D53" s="16" t="s">
        <v>29</v>
      </c>
      <c r="E53" s="19" t="n">
        <v>2</v>
      </c>
      <c r="F53" s="31" t="s">
        <v>138</v>
      </c>
      <c r="G53" s="58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0</v>
      </c>
      <c r="D54" s="16" t="s">
        <v>29</v>
      </c>
      <c r="E54" s="19" t="n">
        <v>0</v>
      </c>
      <c r="F54" s="31" t="s">
        <v>140</v>
      </c>
      <c r="G54" s="58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4</v>
      </c>
      <c r="N54" s="16" t="n">
        <f aca="true">SUM(INDIRECT($AC54),INDIRECT($AD54),INDIRECT($AE54))</f>
        <v>6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3</v>
      </c>
      <c r="D55" s="16" t="s">
        <v>29</v>
      </c>
      <c r="E55" s="19" t="n">
        <v>0</v>
      </c>
      <c r="F55" s="31" t="s">
        <v>139</v>
      </c>
      <c r="G55" s="58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8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2</v>
      </c>
      <c r="F56" s="31" t="s">
        <v>138</v>
      </c>
      <c r="G56" s="58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0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8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0</v>
      </c>
      <c r="F57" s="31" t="s">
        <v>139</v>
      </c>
      <c r="G57" s="58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-4</v>
      </c>
      <c r="N57" s="35" t="n">
        <f aca="true">SUM(INDIRECT($AC57),INDIRECT($AD57),INDIRECT($AE57))</f>
        <v>0</v>
      </c>
      <c r="O57" s="35" t="n">
        <f aca="true">SUM(INDIRECT($AF57),INDIRECT($AG57),INDIRECT($AH57))</f>
        <v>4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8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2</v>
      </c>
      <c r="F58" s="40" t="s">
        <v>137</v>
      </c>
      <c r="G58" s="58"/>
      <c r="H58" s="41" t="n">
        <v>46200</v>
      </c>
      <c r="I58" s="42" t="n">
        <v>0</v>
      </c>
      <c r="J58" s="23"/>
      <c r="K58" s="43"/>
      <c r="S58" s="58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U59" s="58"/>
      <c r="V59" s="58"/>
      <c r="W59" s="58"/>
      <c r="X59" s="58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58"/>
      <c r="H60" s="13" t="s">
        <v>26</v>
      </c>
      <c r="I60" s="14" t="s">
        <v>27</v>
      </c>
      <c r="J60" s="15"/>
      <c r="K60" s="58"/>
      <c r="L60" s="58"/>
      <c r="M60" s="58"/>
      <c r="N60" s="58"/>
      <c r="O60" s="58"/>
      <c r="P60" s="58"/>
      <c r="Q60" s="58"/>
      <c r="R60" s="58"/>
      <c r="S60" s="58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4</v>
      </c>
      <c r="D61" s="16" t="s">
        <v>29</v>
      </c>
      <c r="E61" s="19" t="n">
        <v>0</v>
      </c>
      <c r="F61" s="31" t="s">
        <v>155</v>
      </c>
      <c r="G61" s="58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3</v>
      </c>
      <c r="F62" s="31" t="s">
        <v>157</v>
      </c>
      <c r="G62" s="58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2</v>
      </c>
      <c r="D63" s="16" t="s">
        <v>29</v>
      </c>
      <c r="E63" s="19" t="n">
        <v>0</v>
      </c>
      <c r="F63" s="31" t="s">
        <v>156</v>
      </c>
      <c r="G63" s="58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-8</v>
      </c>
      <c r="N63" s="16" t="n">
        <f aca="true">SUM(INDIRECT($AC63),INDIRECT($AD63),INDIRECT($AE63))</f>
        <v>1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8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3</v>
      </c>
      <c r="D64" s="16" t="s">
        <v>29</v>
      </c>
      <c r="E64" s="19" t="n">
        <v>0</v>
      </c>
      <c r="F64" s="31" t="s">
        <v>155</v>
      </c>
      <c r="G64" s="58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7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8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1</v>
      </c>
      <c r="D65" s="16" t="s">
        <v>29</v>
      </c>
      <c r="E65" s="19" t="n">
        <v>2</v>
      </c>
      <c r="F65" s="31" t="s">
        <v>156</v>
      </c>
      <c r="G65" s="58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6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8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0</v>
      </c>
      <c r="D66" s="35" t="s">
        <v>29</v>
      </c>
      <c r="E66" s="39" t="n">
        <v>1</v>
      </c>
      <c r="F66" s="40" t="s">
        <v>154</v>
      </c>
      <c r="G66" s="58"/>
      <c r="H66" s="41" t="n">
        <v>46199</v>
      </c>
      <c r="I66" s="42" t="n">
        <v>0.875</v>
      </c>
      <c r="J66" s="23"/>
      <c r="K66" s="43"/>
      <c r="S66" s="58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58"/>
      <c r="H68" s="13" t="s">
        <v>26</v>
      </c>
      <c r="I68" s="14" t="s">
        <v>27</v>
      </c>
      <c r="J68" s="15"/>
      <c r="K68" s="58"/>
      <c r="L68" s="58"/>
      <c r="M68" s="58"/>
      <c r="N68" s="58"/>
      <c r="O68" s="58"/>
      <c r="P68" s="58"/>
      <c r="Q68" s="58"/>
      <c r="R68" s="58"/>
      <c r="S68" s="58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1</v>
      </c>
      <c r="F69" s="31" t="s">
        <v>172</v>
      </c>
      <c r="G69" s="58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2</v>
      </c>
      <c r="F70" s="31" t="s">
        <v>174</v>
      </c>
      <c r="G70" s="58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4</v>
      </c>
      <c r="D71" s="16" t="s">
        <v>29</v>
      </c>
      <c r="E71" s="19" t="n">
        <v>0</v>
      </c>
      <c r="F71" s="31" t="s">
        <v>173</v>
      </c>
      <c r="G71" s="58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0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8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2</v>
      </c>
      <c r="D72" s="16" t="s">
        <v>29</v>
      </c>
      <c r="E72" s="19" t="n">
        <v>3</v>
      </c>
      <c r="F72" s="31" t="s">
        <v>172</v>
      </c>
      <c r="G72" s="58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5</v>
      </c>
      <c r="O72" s="16" t="n">
        <f aca="true">SUM(INDIRECT($AF72),INDIRECT($AG72),INDIRECT($AH72))</f>
        <v>4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8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58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2</v>
      </c>
      <c r="N73" s="35" t="n">
        <f aca="true">SUM(INDIRECT($AC73),INDIRECT($AD73),INDIRECT($AE73))</f>
        <v>6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8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1</v>
      </c>
      <c r="F74" s="40" t="s">
        <v>171</v>
      </c>
      <c r="G74" s="58"/>
      <c r="H74" s="41" t="n">
        <v>46199</v>
      </c>
      <c r="I74" s="42" t="n">
        <v>0.666666666666667</v>
      </c>
      <c r="J74" s="23"/>
      <c r="K74" s="43"/>
      <c r="S74" s="58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U75" s="58"/>
      <c r="V75" s="58"/>
      <c r="W75" s="58"/>
      <c r="X75" s="58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58"/>
      <c r="H76" s="13" t="s">
        <v>26</v>
      </c>
      <c r="I76" s="14" t="s">
        <v>27</v>
      </c>
      <c r="J76" s="15"/>
      <c r="K76" s="58"/>
      <c r="L76" s="58"/>
      <c r="M76" s="58"/>
      <c r="N76" s="58"/>
      <c r="O76" s="58"/>
      <c r="P76" s="58"/>
      <c r="Q76" s="58"/>
      <c r="R76" s="58"/>
      <c r="S76" s="58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3</v>
      </c>
      <c r="D77" s="16" t="s">
        <v>29</v>
      </c>
      <c r="E77" s="19" t="n">
        <v>1</v>
      </c>
      <c r="F77" s="31" t="s">
        <v>189</v>
      </c>
      <c r="G77" s="58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0</v>
      </c>
      <c r="D78" s="16" t="s">
        <v>29</v>
      </c>
      <c r="E78" s="19" t="n">
        <v>0</v>
      </c>
      <c r="F78" s="31" t="s">
        <v>191</v>
      </c>
      <c r="G78" s="58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5</v>
      </c>
      <c r="N78" s="16" t="n">
        <f aca="true">SUM(INDIRECT($AC78),INDIRECT($AD78),INDIRECT($AE78))</f>
        <v>7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1</v>
      </c>
      <c r="D79" s="16" t="s">
        <v>29</v>
      </c>
      <c r="E79" s="19" t="n">
        <v>1</v>
      </c>
      <c r="F79" s="31" t="s">
        <v>190</v>
      </c>
      <c r="G79" s="58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-2</v>
      </c>
      <c r="N79" s="16" t="n">
        <f aca="true">SUM(INDIRECT($AC79),INDIRECT($AD79),INDIRECT($AE79))</f>
        <v>5</v>
      </c>
      <c r="O79" s="16" t="n">
        <f aca="true">SUM(INDIRECT($AF79),INDIRECT($AG79),INDIRECT($AH79))</f>
        <v>7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8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2</v>
      </c>
      <c r="D80" s="16" t="s">
        <v>29</v>
      </c>
      <c r="E80" s="19" t="n">
        <v>3</v>
      </c>
      <c r="F80" s="31" t="s">
        <v>189</v>
      </c>
      <c r="G80" s="58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2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8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3</v>
      </c>
      <c r="F81" s="31" t="s">
        <v>188</v>
      </c>
      <c r="G81" s="58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5" t="n">
        <f aca="false">N81-O81</f>
        <v>1</v>
      </c>
      <c r="N81" s="35" t="n">
        <f aca="true">SUM(INDIRECT($AC81),INDIRECT($AD81),INDIRECT($AE81))</f>
        <v>3</v>
      </c>
      <c r="O81" s="35" t="n">
        <f aca="true">SUM(INDIRECT($AF81),INDIRECT($AG81),INDIRECT($AH81))</f>
        <v>2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8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2</v>
      </c>
      <c r="F82" s="40" t="s">
        <v>190</v>
      </c>
      <c r="G82" s="58"/>
      <c r="H82" s="41" t="n">
        <v>46200</v>
      </c>
      <c r="I82" s="42" t="n">
        <v>0.958333333333333</v>
      </c>
      <c r="J82" s="23"/>
      <c r="K82" s="43"/>
      <c r="S82" s="58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U83" s="58"/>
      <c r="V83" s="58"/>
      <c r="W83" s="58"/>
      <c r="X83" s="58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58"/>
      <c r="H84" s="13" t="s">
        <v>26</v>
      </c>
      <c r="I84" s="14" t="s">
        <v>27</v>
      </c>
      <c r="J84" s="15"/>
      <c r="K84" s="58"/>
      <c r="L84" s="58"/>
      <c r="M84" s="58"/>
      <c r="N84" s="58"/>
      <c r="O84" s="58"/>
      <c r="P84" s="58"/>
      <c r="Q84" s="58"/>
      <c r="R84" s="58"/>
      <c r="S84" s="58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3</v>
      </c>
      <c r="D85" s="16" t="s">
        <v>29</v>
      </c>
      <c r="E85" s="19" t="n">
        <v>0</v>
      </c>
      <c r="F85" s="31" t="s">
        <v>206</v>
      </c>
      <c r="G85" s="58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2</v>
      </c>
      <c r="F86" s="31" t="s">
        <v>208</v>
      </c>
      <c r="G86" s="58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3</v>
      </c>
      <c r="D87" s="16" t="s">
        <v>29</v>
      </c>
      <c r="E87" s="19" t="n">
        <v>1</v>
      </c>
      <c r="F87" s="31" t="s">
        <v>207</v>
      </c>
      <c r="G87" s="58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8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3</v>
      </c>
      <c r="D88" s="16" t="s">
        <v>29</v>
      </c>
      <c r="E88" s="19" t="n">
        <v>1</v>
      </c>
      <c r="F88" s="31" t="s">
        <v>206</v>
      </c>
      <c r="G88" s="58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1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8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0</v>
      </c>
      <c r="D89" s="16" t="s">
        <v>29</v>
      </c>
      <c r="E89" s="19" t="n">
        <v>0</v>
      </c>
      <c r="F89" s="31" t="s">
        <v>207</v>
      </c>
      <c r="G89" s="58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1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8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2</v>
      </c>
      <c r="D90" s="35" t="s">
        <v>29</v>
      </c>
      <c r="E90" s="39" t="n">
        <v>2</v>
      </c>
      <c r="F90" s="40" t="s">
        <v>205</v>
      </c>
      <c r="G90" s="58"/>
      <c r="H90" s="41" t="n">
        <v>46200</v>
      </c>
      <c r="I90" s="42" t="n">
        <v>0.854166666666667</v>
      </c>
      <c r="J90" s="23"/>
      <c r="K90" s="43"/>
      <c r="S90" s="58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U91" s="58"/>
      <c r="V91" s="58"/>
      <c r="W91" s="58"/>
      <c r="X91" s="58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58"/>
      <c r="H92" s="13" t="s">
        <v>26</v>
      </c>
      <c r="I92" s="14" t="s">
        <v>27</v>
      </c>
      <c r="J92" s="15"/>
      <c r="K92" s="58"/>
      <c r="L92" s="58"/>
      <c r="M92" s="58"/>
      <c r="N92" s="58"/>
      <c r="O92" s="58"/>
      <c r="P92" s="58"/>
      <c r="Q92" s="58"/>
      <c r="R92" s="58"/>
      <c r="S92" s="58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1</v>
      </c>
      <c r="D93" s="16" t="s">
        <v>29</v>
      </c>
      <c r="E93" s="19" t="n">
        <v>1</v>
      </c>
      <c r="F93" s="31" t="s">
        <v>223</v>
      </c>
      <c r="G93" s="58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0</v>
      </c>
      <c r="F94" s="31" t="s">
        <v>225</v>
      </c>
      <c r="G94" s="58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1</v>
      </c>
      <c r="N94" s="16" t="n">
        <f aca="true">SUM(INDIRECT($AC94),INDIRECT($AD94),INDIRECT($AE94))</f>
        <v>4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1</v>
      </c>
      <c r="F95" s="31" t="s">
        <v>224</v>
      </c>
      <c r="G95" s="58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1</v>
      </c>
      <c r="N95" s="16" t="n">
        <f aca="true">SUM(INDIRECT($AC95),INDIRECT($AD95),INDIRECT($AE95))</f>
        <v>4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8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1</v>
      </c>
      <c r="D96" s="16" t="s">
        <v>29</v>
      </c>
      <c r="E96" s="19" t="n">
        <v>2</v>
      </c>
      <c r="F96" s="31" t="s">
        <v>223</v>
      </c>
      <c r="G96" s="58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7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8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1</v>
      </c>
      <c r="D97" s="16" t="s">
        <v>29</v>
      </c>
      <c r="E97" s="19" t="n">
        <v>1</v>
      </c>
      <c r="F97" s="31" t="s">
        <v>224</v>
      </c>
      <c r="G97" s="58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8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4</v>
      </c>
      <c r="F98" s="40" t="s">
        <v>222</v>
      </c>
      <c r="G98" s="58"/>
      <c r="H98" s="41" t="n">
        <v>46200</v>
      </c>
      <c r="I98" s="42" t="n">
        <v>0.75</v>
      </c>
      <c r="J98" s="23"/>
      <c r="K98" s="43"/>
      <c r="S98" s="58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82" colorId="64" zoomScale="100" zoomScaleNormal="100" zoomScalePageLayoutView="100" workbookViewId="0">
      <selection pane="topLeft" activeCell="A82" activeCellId="0" sqref="A82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248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2</v>
      </c>
      <c r="V3" s="11"/>
      <c r="W3" s="11"/>
      <c r="X3" s="11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customFormat="false" ht="13.5" hidden="false" customHeight="true" outlineLevel="0" collapsed="false">
      <c r="B5" s="17" t="s">
        <v>28</v>
      </c>
      <c r="C5" s="18" t="n">
        <v>1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136" t="n">
        <f aca="false">IF(AND(ISNUMBER(RESULTADOS!C5),ISNUMBER(RESULTADOS!E5),ISNUMBER(C5),ISNUMBER(E5),C5=RESULTADOS!C5,E5=RESULTADOS!E5),2,0)</f>
        <v>0</v>
      </c>
      <c r="Z5" s="136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6" t="n">
        <f aca="false">IF(AND(ISNUMBER(RESULTADOS!C5),ISNUMBER(RESULTADOS!E5),ISNUMBER(C5),ISNUMBER(E5),AND(Z5=1,OR(C5=RESULTADOS!C5,E5=RESULTADOS!E5))),1,0)</f>
        <v>1</v>
      </c>
      <c r="AB5" s="83"/>
      <c r="AC5" s="83"/>
      <c r="AD5" s="83"/>
      <c r="AE5" s="83"/>
      <c r="AF5" s="83"/>
      <c r="AG5" s="83"/>
      <c r="AH5" s="83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2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6" t="n">
        <f aca="false">IF(AND(ISNUMBER(RESULTADOS!C6),ISNUMBER(RESULTADOS!E6),ISNUMBER(C6),ISNUMBER(E6),C6=RESULTADOS!C6,E6=RESULTADOS!E6),2,0)</f>
        <v>0</v>
      </c>
      <c r="Z6" s="136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6" t="n">
        <f aca="false">IF(AND(ISNUMBER(RESULTADOS!C6),ISNUMBER(RESULTADOS!E6),ISNUMBER(C6),ISNUMBER(E6),AND(Z6=1,OR(C6=RESULTADOS!C6,E6=RESULTADOS!E6))),1,0)</f>
        <v>0</v>
      </c>
      <c r="AB6" s="83"/>
      <c r="AC6" s="83" t="s">
        <v>40</v>
      </c>
      <c r="AD6" s="83" t="s">
        <v>41</v>
      </c>
      <c r="AE6" s="83" t="s">
        <v>42</v>
      </c>
      <c r="AF6" s="83" t="str">
        <f aca="false">IF(ISNUMBER(FIND("C", AC6, 1)), SUBSTITUTE(AC6, "C", "E"), SUBSTITUTE(AC6, "E", "C"))</f>
        <v>E6</v>
      </c>
      <c r="AG6" s="83" t="str">
        <f aca="false">IF(ISNUMBER(FIND("C", AD6, 1)), SUBSTITUTE(AD6, "C", "E"), SUBSTITUTE(AD6, "E", "C"))</f>
        <v>C8</v>
      </c>
      <c r="AH6" s="83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2</v>
      </c>
      <c r="D7" s="16" t="s">
        <v>29</v>
      </c>
      <c r="E7" s="19" t="n">
        <v>0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6" t="n">
        <f aca="false">N7-O7</f>
        <v>1</v>
      </c>
      <c r="N7" s="16" t="n">
        <f aca="true">SUM(INDIRECT($AC7),INDIRECT($AD7),INDIRECT($AE7))</f>
        <v>2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6" t="n">
        <f aca="false">IF(AND(ISNUMBER(RESULTADOS!C7),ISNUMBER(RESULTADOS!E7),ISNUMBER(C7),ISNUMBER(E7),C7=RESULTADOS!C7,E7=RESULTADOS!E7),2,0)</f>
        <v>0</v>
      </c>
      <c r="Z7" s="136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6" t="n">
        <f aca="false">IF(AND(ISNUMBER(RESULTADOS!C7),ISNUMBER(RESULTADOS!E7),ISNUMBER(C7),ISNUMBER(E7),AND(Z7=1,OR(C7=RESULTADOS!C7,E7=RESULTADOS!E7))),1,0)</f>
        <v>0</v>
      </c>
      <c r="AB7" s="83"/>
      <c r="AC7" s="83" t="s">
        <v>43</v>
      </c>
      <c r="AD7" s="83" t="s">
        <v>44</v>
      </c>
      <c r="AE7" s="83" t="s">
        <v>45</v>
      </c>
      <c r="AF7" s="83" t="str">
        <f aca="false">IF(ISNUMBER(FIND("C", AC7, 1)), SUBSTITUTE(AC7, "C", "E"), SUBSTITUTE(AC7, "E", "C"))</f>
        <v>E5</v>
      </c>
      <c r="AG7" s="83" t="str">
        <f aca="false">IF(ISNUMBER(FIND("C", AD7, 1)), SUBSTITUTE(AD7, "C", "E"), SUBSTITUTE(AD7, "E", "C"))</f>
        <v>E8</v>
      </c>
      <c r="AH7" s="83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1</v>
      </c>
      <c r="D8" s="16" t="s">
        <v>29</v>
      </c>
      <c r="E8" s="19" t="n">
        <v>1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6" t="n">
        <f aca="false">N8-O8</f>
        <v>3</v>
      </c>
      <c r="N8" s="16" t="n">
        <f aca="true">SUM(INDIRECT($AC8),INDIRECT($AD8),INDIRECT($AE8))</f>
        <v>4</v>
      </c>
      <c r="O8" s="16" t="n">
        <f aca="true">SUM(INDIRECT($AF8),INDIRECT($AG8),INDIRECT($AH8))</f>
        <v>1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6" t="n">
        <f aca="false">IF(AND(ISNUMBER(RESULTADOS!C8),ISNUMBER(RESULTADOS!E8),ISNUMBER(C8),ISNUMBER(E8),C8=RESULTADOS!C8,E8=RESULTADOS!E8),2,0)</f>
        <v>0</v>
      </c>
      <c r="Z8" s="136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6" t="n">
        <f aca="false">IF(AND(ISNUMBER(RESULTADOS!C8),ISNUMBER(RESULTADOS!E8),ISNUMBER(C8),ISNUMBER(E8),AND(Z8=1,OR(C8=RESULTADOS!C8,E8=RESULTADOS!E8))),1,0)</f>
        <v>0</v>
      </c>
      <c r="AB8" s="83"/>
      <c r="AC8" s="83" t="s">
        <v>46</v>
      </c>
      <c r="AD8" s="83" t="s">
        <v>47</v>
      </c>
      <c r="AE8" s="83" t="s">
        <v>48</v>
      </c>
      <c r="AF8" s="83" t="str">
        <f aca="false">IF(ISNUMBER(FIND("C", AC8, 1)), SUBSTITUTE(AC8, "C", "E"), SUBSTITUTE(AC8, "E", "C"))</f>
        <v>C6</v>
      </c>
      <c r="AG8" s="83" t="str">
        <f aca="false">IF(ISNUMBER(FIND("C", AD8, 1)), SUBSTITUTE(AD8, "C", "E"), SUBSTITUTE(AD8, "E", "C"))</f>
        <v>E7</v>
      </c>
      <c r="AH8" s="83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1</v>
      </c>
      <c r="D9" s="16" t="s">
        <v>29</v>
      </c>
      <c r="E9" s="19" t="n">
        <v>2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6" t="n">
        <f aca="false">IF(AND(ISNUMBER(RESULTADOS!C9),ISNUMBER(RESULTADOS!E9),ISNUMBER(C9),ISNUMBER(E9),C9=RESULTADOS!C9,E9=RESULTADOS!E9),2,0)</f>
        <v>0</v>
      </c>
      <c r="Z9" s="136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6" t="n">
        <f aca="false">IF(AND(ISNUMBER(RESULTADOS!C9),ISNUMBER(RESULTADOS!E9),ISNUMBER(C9),ISNUMBER(E9),AND(Z9=1,OR(C9=RESULTADOS!C9,E9=RESULTADOS!E9))),1,0)</f>
        <v>0</v>
      </c>
      <c r="AB9" s="83"/>
      <c r="AC9" s="83" t="s">
        <v>49</v>
      </c>
      <c r="AD9" s="83" t="s">
        <v>50</v>
      </c>
      <c r="AE9" s="83" t="s">
        <v>51</v>
      </c>
      <c r="AF9" s="83" t="str">
        <f aca="false">IF(ISNUMBER(FIND("C", AC9, 1)), SUBSTITUTE(AC9, "C", "E"), SUBSTITUTE(AC9, "E", "C"))</f>
        <v>C5</v>
      </c>
      <c r="AG9" s="83" t="str">
        <f aca="false">IF(ISNUMBER(FIND("C", AD9, 1)), SUBSTITUTE(AD9, "C", "E"), SUBSTITUTE(AD9, "E", "C"))</f>
        <v>C7</v>
      </c>
      <c r="AH9" s="83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0</v>
      </c>
      <c r="D10" s="35" t="s">
        <v>29</v>
      </c>
      <c r="E10" s="39" t="n">
        <v>0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6" t="n">
        <f aca="false">IF(AND(ISNUMBER(RESULTADOS!C10),ISNUMBER(RESULTADOS!E10),ISNUMBER(C10),ISNUMBER(E10),C10=RESULTADOS!C10,E10=RESULTADOS!E10),2,0)</f>
        <v>0</v>
      </c>
      <c r="Z10" s="136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6" t="n">
        <f aca="false">IF(AND(ISNUMBER(RESULTADOS!C10),ISNUMBER(RESULTADOS!E10),ISNUMBER(C10),ISNUMBER(E10),AND(Z10=1,OR(C10=RESULTADOS!C10,E10=RESULTADOS!E10))),1,0)</f>
        <v>0</v>
      </c>
      <c r="AB10" s="83"/>
      <c r="AC10" s="83"/>
      <c r="AD10" s="83"/>
      <c r="AE10" s="83"/>
      <c r="AF10" s="83"/>
      <c r="AG10" s="83"/>
      <c r="AH10" s="83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3"/>
      <c r="AC11" s="83"/>
      <c r="AD11" s="83"/>
      <c r="AE11" s="83"/>
      <c r="AF11" s="83"/>
      <c r="AG11" s="83"/>
      <c r="AH11" s="83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6"/>
      <c r="Z12" s="136"/>
      <c r="AA12" s="136"/>
      <c r="AB12" s="83"/>
      <c r="AC12" s="83"/>
      <c r="AD12" s="83"/>
      <c r="AE12" s="83"/>
      <c r="AF12" s="83"/>
      <c r="AG12" s="83"/>
      <c r="AH12" s="83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2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6" t="n">
        <f aca="false">IF(AND(ISNUMBER(RESULTADOS!C13),ISNUMBER(RESULTADOS!E13),ISNUMBER(C13),ISNUMBER(E13),C13=RESULTADOS!C13,E13=RESULTADOS!E13),2,0)</f>
        <v>0</v>
      </c>
      <c r="Z13" s="136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6" t="n">
        <f aca="false">IF(AND(ISNUMBER(RESULTADOS!C13),ISNUMBER(RESULTADOS!E13),ISNUMBER(C13),ISNUMBER(E13),AND(Z13=1,OR(C13=RESULTADOS!C13,E13=RESULTADOS!E13))),1,0)</f>
        <v>0</v>
      </c>
      <c r="AB13" s="83"/>
      <c r="AC13" s="83"/>
      <c r="AD13" s="83"/>
      <c r="AE13" s="83"/>
      <c r="AF13" s="83"/>
      <c r="AG13" s="83"/>
      <c r="AH13" s="83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3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6" t="n">
        <f aca="false">N14-O14</f>
        <v>1</v>
      </c>
      <c r="N14" s="16" t="n">
        <f aca="true">SUM(INDIRECT($AC14),INDIRECT($AD14),INDIRECT($AE14))</f>
        <v>5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6" t="n">
        <f aca="false">IF(AND(ISNUMBER(RESULTADOS!C14),ISNUMBER(RESULTADOS!E14),ISNUMBER(C14),ISNUMBER(E14),C14=RESULTADOS!C14,E14=RESULTADOS!E14),2,0)</f>
        <v>0</v>
      </c>
      <c r="Z14" s="136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6" t="n">
        <f aca="false">IF(AND(ISNUMBER(RESULTADOS!C14),ISNUMBER(RESULTADOS!E14),ISNUMBER(C14),ISNUMBER(E14),AND(Z14=1,OR(C14=RESULTADOS!C14,E14=RESULTADOS!E14))),1,0)</f>
        <v>0</v>
      </c>
      <c r="AB14" s="83"/>
      <c r="AC14" s="83" t="s">
        <v>57</v>
      </c>
      <c r="AD14" s="83" t="s">
        <v>58</v>
      </c>
      <c r="AE14" s="83" t="s">
        <v>59</v>
      </c>
      <c r="AF14" s="83" t="str">
        <f aca="false">IF(ISNUMBER(FIND("C", AC14, 1)), SUBSTITUTE(AC14, "C", "E"), SUBSTITUTE(AC14, "E", "C"))</f>
        <v>C13</v>
      </c>
      <c r="AG14" s="83" t="str">
        <f aca="false">IF(ISNUMBER(FIND("C", AD14, 1)), SUBSTITUTE(AD14, "C", "E"), SUBSTITUTE(AD14, "E", "C"))</f>
        <v>C15</v>
      </c>
      <c r="AH14" s="83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3</v>
      </c>
      <c r="D15" s="16" t="s">
        <v>29</v>
      </c>
      <c r="E15" s="19" t="n">
        <v>1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6" t="n">
        <f aca="false">N15-O15</f>
        <v>-1</v>
      </c>
      <c r="N15" s="16" t="n">
        <f aca="true">SUM(INDIRECT($AC15),INDIRECT($AD15),INDIRECT($AE15))</f>
        <v>4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6" t="n">
        <f aca="false">IF(AND(ISNUMBER(RESULTADOS!C15),ISNUMBER(RESULTADOS!E15),ISNUMBER(C15),ISNUMBER(E15),C15=RESULTADOS!C15,E15=RESULTADOS!E15),2,0)</f>
        <v>0</v>
      </c>
      <c r="Z15" s="136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6" t="n">
        <f aca="false">IF(AND(ISNUMBER(RESULTADOS!C15),ISNUMBER(RESULTADOS!E15),ISNUMBER(C15),ISNUMBER(E15),AND(Z15=1,OR(C15=RESULTADOS!C15,E15=RESULTADOS!E15))),1,0)</f>
        <v>0</v>
      </c>
      <c r="AB15" s="83"/>
      <c r="AC15" s="83" t="s">
        <v>60</v>
      </c>
      <c r="AD15" s="83" t="s">
        <v>61</v>
      </c>
      <c r="AE15" s="83" t="s">
        <v>62</v>
      </c>
      <c r="AF15" s="83" t="str">
        <f aca="false">IF(ISNUMBER(FIND("C", AC15, 1)), SUBSTITUTE(AC15, "C", "E"), SUBSTITUTE(AC15, "E", "C"))</f>
        <v>E13</v>
      </c>
      <c r="AG15" s="83" t="str">
        <f aca="false">IF(ISNUMBER(FIND("C", AD15, 1)), SUBSTITUTE(AD15, "C", "E"), SUBSTITUTE(AD15, "E", "C"))</f>
        <v>E16</v>
      </c>
      <c r="AH15" s="83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3</v>
      </c>
      <c r="D16" s="16" t="s">
        <v>29</v>
      </c>
      <c r="E16" s="19" t="n">
        <v>1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-7</v>
      </c>
      <c r="N16" s="16" t="n">
        <f aca="true">SUM(INDIRECT($AC16),INDIRECT($AD16),INDIRECT($AE16))</f>
        <v>1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6" t="n">
        <f aca="false">IF(AND(ISNUMBER(RESULTADOS!C16),ISNUMBER(RESULTADOS!E16),ISNUMBER(C16),ISNUMBER(E16),C16=RESULTADOS!C16,E16=RESULTADOS!E16),2,0)</f>
        <v>0</v>
      </c>
      <c r="Z16" s="136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6" t="n">
        <f aca="false">IF(AND(ISNUMBER(RESULTADOS!C16),ISNUMBER(RESULTADOS!E16),ISNUMBER(C16),ISNUMBER(E16),AND(Z16=1,OR(C16=RESULTADOS!C16,E16=RESULTADOS!E16))),1,0)</f>
        <v>0</v>
      </c>
      <c r="AB16" s="83"/>
      <c r="AC16" s="83" t="s">
        <v>63</v>
      </c>
      <c r="AD16" s="83" t="s">
        <v>64</v>
      </c>
      <c r="AE16" s="83" t="s">
        <v>65</v>
      </c>
      <c r="AF16" s="83" t="str">
        <f aca="false">IF(ISNUMBER(FIND("C", AC16, 1)), SUBSTITUTE(AC16, "C", "E"), SUBSTITUTE(AC16, "E", "C"))</f>
        <v>E14</v>
      </c>
      <c r="AG16" s="83" t="str">
        <f aca="false">IF(ISNUMBER(FIND("C", AD16, 1)), SUBSTITUTE(AD16, "C", "E"), SUBSTITUTE(AD16, "E", "C"))</f>
        <v>C16</v>
      </c>
      <c r="AH16" s="83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0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7</v>
      </c>
      <c r="N17" s="35" t="n">
        <f aca="true">SUM(INDIRECT($AC17),INDIRECT($AD17),INDIRECT($AE17))</f>
        <v>8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6" t="n">
        <f aca="false">IF(AND(ISNUMBER(RESULTADOS!C17),ISNUMBER(RESULTADOS!E17),ISNUMBER(C17),ISNUMBER(E17),C17=RESULTADOS!C17,E17=RESULTADOS!E17),2,0)</f>
        <v>0</v>
      </c>
      <c r="Z17" s="136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6" t="n">
        <f aca="false">IF(AND(ISNUMBER(RESULTADOS!C17),ISNUMBER(RESULTADOS!E17),ISNUMBER(C17),ISNUMBER(E17),AND(Z17=1,OR(C17=RESULTADOS!C17,E17=RESULTADOS!E17))),1,0)</f>
        <v>0</v>
      </c>
      <c r="AB17" s="83"/>
      <c r="AC17" s="83" t="s">
        <v>66</v>
      </c>
      <c r="AD17" s="83" t="s">
        <v>67</v>
      </c>
      <c r="AE17" s="83" t="s">
        <v>68</v>
      </c>
      <c r="AF17" s="83" t="str">
        <f aca="false">IF(ISNUMBER(FIND("C", AC17, 1)), SUBSTITUTE(AC17, "C", "E"), SUBSTITUTE(AC17, "E", "C"))</f>
        <v>C14</v>
      </c>
      <c r="AG17" s="83" t="str">
        <f aca="false">IF(ISNUMBER(FIND("C", AD17, 1)), SUBSTITUTE(AD17, "C", "E"), SUBSTITUTE(AD17, "E", "C"))</f>
        <v>E15</v>
      </c>
      <c r="AH17" s="83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2</v>
      </c>
      <c r="D18" s="35" t="s">
        <v>29</v>
      </c>
      <c r="E18" s="39" t="n">
        <v>0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6" t="n">
        <f aca="false">IF(AND(ISNUMBER(RESULTADOS!C18),ISNUMBER(RESULTADOS!E18),ISNUMBER(C18),ISNUMBER(E18),C18=RESULTADOS!C18,E18=RESULTADOS!E18),2,0)</f>
        <v>0</v>
      </c>
      <c r="Z18" s="136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6" t="n">
        <f aca="false">IF(AND(ISNUMBER(RESULTADOS!C18),ISNUMBER(RESULTADOS!E18),ISNUMBER(C18),ISNUMBER(E18),AND(Z18=1,OR(C18=RESULTADOS!C18,E18=RESULTADOS!E18))),1,0)</f>
        <v>0</v>
      </c>
      <c r="AB18" s="83"/>
      <c r="AC18" s="83"/>
      <c r="AD18" s="83"/>
      <c r="AE18" s="83"/>
      <c r="AF18" s="83"/>
      <c r="AG18" s="83"/>
      <c r="AH18" s="83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3"/>
      <c r="AC19" s="83"/>
      <c r="AD19" s="83"/>
      <c r="AE19" s="83"/>
      <c r="AF19" s="83"/>
      <c r="AG19" s="83"/>
      <c r="AH19" s="83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6"/>
      <c r="Z20" s="136"/>
      <c r="AA20" s="136"/>
      <c r="AB20" s="83"/>
      <c r="AC20" s="83"/>
      <c r="AD20" s="83"/>
      <c r="AE20" s="83"/>
      <c r="AF20" s="83"/>
      <c r="AG20" s="83"/>
      <c r="AH20" s="83"/>
    </row>
    <row r="21" customFormat="false" ht="13.5" hidden="false" customHeight="true" outlineLevel="0" collapsed="false">
      <c r="B21" s="17" t="s">
        <v>70</v>
      </c>
      <c r="C21" s="18" t="n">
        <v>1</v>
      </c>
      <c r="D21" s="16" t="s">
        <v>29</v>
      </c>
      <c r="E21" s="19" t="n">
        <v>2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6" t="n">
        <f aca="false">IF(AND(ISNUMBER(RESULTADOS!C21),ISNUMBER(RESULTADOS!E21),ISNUMBER(C21),ISNUMBER(E21),C21=RESULTADOS!C21,E21=RESULTADOS!E21),2,0)</f>
        <v>0</v>
      </c>
      <c r="Z21" s="136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6" t="n">
        <f aca="false">IF(AND(ISNUMBER(RESULTADOS!C21),ISNUMBER(RESULTADOS!E21),ISNUMBER(C21),ISNUMBER(E21),AND(Z21=1,OR(C21=RESULTADOS!C21,E21=RESULTADOS!E21))),1,0)</f>
        <v>0</v>
      </c>
      <c r="AB21" s="83"/>
      <c r="AC21" s="83"/>
      <c r="AD21" s="83"/>
      <c r="AE21" s="83"/>
      <c r="AF21" s="83"/>
      <c r="AG21" s="83"/>
      <c r="AH21" s="83"/>
    </row>
    <row r="22" customFormat="false" ht="13.5" hidden="false" customHeight="true" outlineLevel="0" collapsed="false">
      <c r="B22" s="17" t="s">
        <v>72</v>
      </c>
      <c r="C22" s="18" t="n">
        <v>0</v>
      </c>
      <c r="D22" s="16" t="s">
        <v>29</v>
      </c>
      <c r="E22" s="19" t="n">
        <v>2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5</v>
      </c>
      <c r="N22" s="16" t="n">
        <f aca="true">SUM(INDIRECT($AC22),INDIRECT($AD22),INDIRECT($AE22))</f>
        <v>7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6" t="n">
        <f aca="false">IF(AND(ISNUMBER(RESULTADOS!C22),ISNUMBER(RESULTADOS!E22),ISNUMBER(C22),ISNUMBER(E22),C22=RESULTADOS!C22,E22=RESULTADOS!E22),2,0)</f>
        <v>0</v>
      </c>
      <c r="Z22" s="136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6" t="n">
        <f aca="false">IF(AND(ISNUMBER(RESULTADOS!C22),ISNUMBER(RESULTADOS!E22),ISNUMBER(C22),ISNUMBER(E22),AND(Z22=1,OR(C22=RESULTADOS!C22,E22=RESULTADOS!E22))),1,0)</f>
        <v>0</v>
      </c>
      <c r="AB22" s="83"/>
      <c r="AC22" s="83" t="s">
        <v>74</v>
      </c>
      <c r="AD22" s="83" t="s">
        <v>75</v>
      </c>
      <c r="AE22" s="83" t="s">
        <v>76</v>
      </c>
      <c r="AF22" s="83" t="str">
        <f aca="false">IF(ISNUMBER(FIND("C", AC22, 1)), SUBSTITUTE(AC22, "C", "E"), SUBSTITUTE(AC22, "E", "C"))</f>
        <v>E21</v>
      </c>
      <c r="AG22" s="83" t="str">
        <f aca="false">IF(ISNUMBER(FIND("C", AD22, 1)), SUBSTITUTE(AD22, "C", "E"), SUBSTITUTE(AD22, "E", "C"))</f>
        <v>E24</v>
      </c>
      <c r="AH22" s="83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1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6" t="n">
        <f aca="false">IF(AND(ISNUMBER(RESULTADOS!C23),ISNUMBER(RESULTADOS!E23),ISNUMBER(C23),ISNUMBER(E23),C23=RESULTADOS!C23,E23=RESULTADOS!E23),2,0)</f>
        <v>0</v>
      </c>
      <c r="Z23" s="136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6" t="n">
        <f aca="false">IF(AND(ISNUMBER(RESULTADOS!C23),ISNUMBER(RESULTADOS!E23),ISNUMBER(C23),ISNUMBER(E23),AND(Z23=1,OR(C23=RESULTADOS!C23,E23=RESULTADOS!E23))),1,0)</f>
        <v>0</v>
      </c>
      <c r="AB23" s="83"/>
      <c r="AC23" s="83" t="s">
        <v>77</v>
      </c>
      <c r="AD23" s="83" t="s">
        <v>78</v>
      </c>
      <c r="AE23" s="83" t="s">
        <v>79</v>
      </c>
      <c r="AF23" s="83" t="str">
        <f aca="false">IF(ISNUMBER(FIND("C", AC23, 1)), SUBSTITUTE(AC23, "C", "E"), SUBSTITUTE(AC23, "E", "C"))</f>
        <v>C22</v>
      </c>
      <c r="AG23" s="83" t="str">
        <f aca="false">IF(ISNUMBER(FIND("C", AD23, 1)), SUBSTITUTE(AD23, "C", "E"), SUBSTITUTE(AD23, "E", "C"))</f>
        <v>E23</v>
      </c>
      <c r="AH23" s="83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4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-8</v>
      </c>
      <c r="N24" s="16" t="n">
        <f aca="true">SUM(INDIRECT($AC24),INDIRECT($AD24),INDIRECT($AE24))</f>
        <v>1</v>
      </c>
      <c r="O24" s="16" t="n">
        <f aca="true">SUM(INDIRECT($AF24),INDIRECT($AG24),INDIRECT($AH24))</f>
        <v>9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6" t="n">
        <f aca="false">IF(AND(ISNUMBER(RESULTADOS!C24),ISNUMBER(RESULTADOS!E24),ISNUMBER(C24),ISNUMBER(E24),C24=RESULTADOS!C24,E24=RESULTADOS!E24),2,0)</f>
        <v>0</v>
      </c>
      <c r="Z24" s="136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6" t="n">
        <f aca="false">IF(AND(ISNUMBER(RESULTADOS!C24),ISNUMBER(RESULTADOS!E24),ISNUMBER(C24),ISNUMBER(E24),AND(Z24=1,OR(C24=RESULTADOS!C24,E24=RESULTADOS!E24))),1,0)</f>
        <v>0</v>
      </c>
      <c r="AB24" s="83"/>
      <c r="AC24" s="83" t="s">
        <v>80</v>
      </c>
      <c r="AD24" s="83" t="s">
        <v>81</v>
      </c>
      <c r="AE24" s="83" t="s">
        <v>82</v>
      </c>
      <c r="AF24" s="83" t="str">
        <f aca="false">IF(ISNUMBER(FIND("C", AC24, 1)), SUBSTITUTE(AC24, "C", "E"), SUBSTITUTE(AC24, "E", "C"))</f>
        <v>E22</v>
      </c>
      <c r="AG24" s="83" t="str">
        <f aca="false">IF(ISNUMBER(FIND("C", AD24, 1)), SUBSTITUTE(AD24, "C", "E"), SUBSTITUTE(AD24, "E", "C"))</f>
        <v>C24</v>
      </c>
      <c r="AH24" s="83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1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6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6" t="n">
        <f aca="false">IF(AND(ISNUMBER(RESULTADOS!C25),ISNUMBER(RESULTADOS!E25),ISNUMBER(C25),ISNUMBER(E25),C25=RESULTADOS!C25,E25=RESULTADOS!E25),2,0)</f>
        <v>0</v>
      </c>
      <c r="Z25" s="136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6" t="n">
        <f aca="false">IF(AND(ISNUMBER(RESULTADOS!C25),ISNUMBER(RESULTADOS!E25),ISNUMBER(C25),ISNUMBER(E25),AND(Z25=1,OR(C25=RESULTADOS!C25,E25=RESULTADOS!E25))),1,0)</f>
        <v>0</v>
      </c>
      <c r="AB25" s="83"/>
      <c r="AC25" s="83" t="s">
        <v>83</v>
      </c>
      <c r="AD25" s="83" t="s">
        <v>84</v>
      </c>
      <c r="AE25" s="83" t="s">
        <v>85</v>
      </c>
      <c r="AF25" s="83" t="str">
        <f aca="false">IF(ISNUMBER(FIND("C", AC25, 1)), SUBSTITUTE(AC25, "C", "E"), SUBSTITUTE(AC25, "E", "C"))</f>
        <v>C21</v>
      </c>
      <c r="AG25" s="83" t="str">
        <f aca="false">IF(ISNUMBER(FIND("C", AD25, 1)), SUBSTITUTE(AD25, "C", "E"), SUBSTITUTE(AD25, "E", "C"))</f>
        <v>C23</v>
      </c>
      <c r="AH25" s="83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2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6" t="n">
        <f aca="false">IF(AND(ISNUMBER(RESULTADOS!C26),ISNUMBER(RESULTADOS!E26),ISNUMBER(C26),ISNUMBER(E26),C26=RESULTADOS!C26,E26=RESULTADOS!E26),2,0)</f>
        <v>0</v>
      </c>
      <c r="Z26" s="136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6" t="n">
        <f aca="false">IF(AND(ISNUMBER(RESULTADOS!C26),ISNUMBER(RESULTADOS!E26),ISNUMBER(C26),ISNUMBER(E26),AND(Z26=1,OR(C26=RESULTADOS!C26,E26=RESULTADOS!E26))),1,0)</f>
        <v>0</v>
      </c>
      <c r="AB26" s="83"/>
      <c r="AC26" s="83"/>
      <c r="AD26" s="83"/>
      <c r="AE26" s="83"/>
      <c r="AF26" s="83"/>
      <c r="AG26" s="83"/>
      <c r="AH26" s="83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3"/>
      <c r="AC27" s="83"/>
      <c r="AD27" s="83"/>
      <c r="AE27" s="83"/>
      <c r="AF27" s="83"/>
      <c r="AG27" s="83"/>
      <c r="AH27" s="83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6"/>
      <c r="Z28" s="136"/>
      <c r="AA28" s="136"/>
      <c r="AB28" s="83"/>
      <c r="AC28" s="83"/>
      <c r="AD28" s="83"/>
      <c r="AE28" s="83"/>
      <c r="AF28" s="83"/>
      <c r="AG28" s="83"/>
      <c r="AH28" s="83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1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6" t="n">
        <f aca="false">IF(AND(ISNUMBER(RESULTADOS!C29),ISNUMBER(RESULTADOS!E29),ISNUMBER(C29),ISNUMBER(E29),C29=RESULTADOS!C29,E29=RESULTADOS!E29),2,0)</f>
        <v>0</v>
      </c>
      <c r="Z29" s="136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6" t="n">
        <f aca="false">IF(AND(ISNUMBER(RESULTADOS!C29),ISNUMBER(RESULTADOS!E29),ISNUMBER(C29),ISNUMBER(E29),AND(Z29=1,OR(C29=RESULTADOS!C29,E29=RESULTADOS!E29))),1,0)</f>
        <v>0</v>
      </c>
      <c r="AB29" s="83"/>
      <c r="AC29" s="83"/>
      <c r="AD29" s="83"/>
      <c r="AE29" s="83"/>
      <c r="AF29" s="83"/>
      <c r="AG29" s="83"/>
      <c r="AH29" s="83"/>
    </row>
    <row r="30" customFormat="false" ht="13.5" hidden="false" customHeight="true" outlineLevel="0" collapsed="false">
      <c r="B30" s="17" t="s">
        <v>89</v>
      </c>
      <c r="C30" s="18" t="n">
        <v>1</v>
      </c>
      <c r="D30" s="16" t="s">
        <v>29</v>
      </c>
      <c r="E30" s="19" t="n">
        <v>2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-4</v>
      </c>
      <c r="N30" s="16" t="n">
        <f aca="true">SUM(INDIRECT($AC30),INDIRECT($AD30),INDIRECT($AE30))</f>
        <v>1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6" t="n">
        <f aca="false">IF(AND(ISNUMBER(RESULTADOS!C30),ISNUMBER(RESULTADOS!E30),ISNUMBER(C30),ISNUMBER(E30),C30=RESULTADOS!C30,E30=RESULTADOS!E30),2,0)</f>
        <v>0</v>
      </c>
      <c r="Z30" s="136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6" t="n">
        <f aca="false">IF(AND(ISNUMBER(RESULTADOS!C30),ISNUMBER(RESULTADOS!E30),ISNUMBER(C30),ISNUMBER(E30),AND(Z30=1,OR(C30=RESULTADOS!C30,E30=RESULTADOS!E30))),1,0)</f>
        <v>0</v>
      </c>
      <c r="AB30" s="83"/>
      <c r="AC30" s="83" t="s">
        <v>91</v>
      </c>
      <c r="AD30" s="83" t="s">
        <v>92</v>
      </c>
      <c r="AE30" s="83" t="s">
        <v>93</v>
      </c>
      <c r="AF30" s="83" t="str">
        <f aca="false">IF(ISNUMBER(FIND("C", AC30, 1)), SUBSTITUTE(AC30, "C", "E"), SUBSTITUTE(AC30, "E", "C"))</f>
        <v>E30</v>
      </c>
      <c r="AG30" s="83" t="str">
        <f aca="false">IF(ISNUMBER(FIND("C", AD30, 1)), SUBSTITUTE(AD30, "C", "E"), SUBSTITUTE(AD30, "E", "C"))</f>
        <v>C31</v>
      </c>
      <c r="AH30" s="83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2</v>
      </c>
      <c r="D31" s="16" t="s">
        <v>29</v>
      </c>
      <c r="E31" s="19" t="n">
        <v>0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3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6" t="n">
        <f aca="false">IF(AND(ISNUMBER(RESULTADOS!C31),ISNUMBER(RESULTADOS!E31),ISNUMBER(C31),ISNUMBER(E31),C31=RESULTADOS!C31,E31=RESULTADOS!E31),2,0)</f>
        <v>0</v>
      </c>
      <c r="Z31" s="136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6" t="n">
        <f aca="false">IF(AND(ISNUMBER(RESULTADOS!C31),ISNUMBER(RESULTADOS!E31),ISNUMBER(C31),ISNUMBER(E31),AND(Z31=1,OR(C31=RESULTADOS!C31,E31=RESULTADOS!E31))),1,0)</f>
        <v>0</v>
      </c>
      <c r="AB31" s="83"/>
      <c r="AC31" s="83" t="s">
        <v>94</v>
      </c>
      <c r="AD31" s="83" t="s">
        <v>95</v>
      </c>
      <c r="AE31" s="83" t="s">
        <v>96</v>
      </c>
      <c r="AF31" s="83" t="str">
        <f aca="false">IF(ISNUMBER(FIND("C", AC31, 1)), SUBSTITUTE(AC31, "C", "E"), SUBSTITUTE(AC31, "E", "C"))</f>
        <v>E29</v>
      </c>
      <c r="AG31" s="83" t="str">
        <f aca="false">IF(ISNUMBER(FIND("C", AD31, 1)), SUBSTITUTE(AD31, "C", "E"), SUBSTITUTE(AD31, "E", "C"))</f>
        <v>E31</v>
      </c>
      <c r="AH31" s="83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1</v>
      </c>
      <c r="D32" s="16" t="s">
        <v>29</v>
      </c>
      <c r="E32" s="19" t="n">
        <v>2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6" t="n">
        <f aca="false">IF(AND(ISNUMBER(RESULTADOS!C32),ISNUMBER(RESULTADOS!E32),ISNUMBER(C32),ISNUMBER(E32),C32=RESULTADOS!C32,E32=RESULTADOS!E32),2,0)</f>
        <v>0</v>
      </c>
      <c r="Z32" s="136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6" t="n">
        <f aca="false">IF(AND(ISNUMBER(RESULTADOS!C32),ISNUMBER(RESULTADOS!E32),ISNUMBER(C32),ISNUMBER(E32),AND(Z32=1,OR(C32=RESULTADOS!C32,E32=RESULTADOS!E32))),1,0)</f>
        <v>0</v>
      </c>
      <c r="AB32" s="83"/>
      <c r="AC32" s="83" t="s">
        <v>97</v>
      </c>
      <c r="AD32" s="83" t="s">
        <v>98</v>
      </c>
      <c r="AE32" s="83" t="s">
        <v>93</v>
      </c>
      <c r="AF32" s="83" t="str">
        <f aca="false">IF(ISNUMBER(FIND("C", AC32, 1)), SUBSTITUTE(AC32, "C", "E"), SUBSTITUTE(AC32, "E", "C"))</f>
        <v>C29</v>
      </c>
      <c r="AG32" s="83" t="str">
        <f aca="false">IF(ISNUMBER(FIND("C", AD32, 1)), SUBSTITUTE(AD32, "C", "E"), SUBSTITUTE(AD32, "E", "C"))</f>
        <v>C32</v>
      </c>
      <c r="AH32" s="83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0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2</v>
      </c>
      <c r="N33" s="35" t="n">
        <f aca="true">SUM(INDIRECT($AC33),INDIRECT($AD33),INDIRECT($AE33))</f>
        <v>5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6" t="n">
        <f aca="false">IF(AND(ISNUMBER(RESULTADOS!C33),ISNUMBER(RESULTADOS!E33),ISNUMBER(C33),ISNUMBER(E33),C33=RESULTADOS!C33,E33=RESULTADOS!E33),2,0)</f>
        <v>0</v>
      </c>
      <c r="Z33" s="136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6" t="n">
        <f aca="false">IF(AND(ISNUMBER(RESULTADOS!C33),ISNUMBER(RESULTADOS!E33),ISNUMBER(C33),ISNUMBER(E33),AND(Z33=1,OR(C33=RESULTADOS!C33,E33=RESULTADOS!E33))),1,0)</f>
        <v>0</v>
      </c>
      <c r="AB33" s="83"/>
      <c r="AC33" s="83" t="s">
        <v>99</v>
      </c>
      <c r="AD33" s="83" t="s">
        <v>100</v>
      </c>
      <c r="AE33" s="83" t="s">
        <v>101</v>
      </c>
      <c r="AF33" s="83" t="str">
        <f aca="false">IF(ISNUMBER(FIND("C", AC33, 1)), SUBSTITUTE(AC33, "C", "E"), SUBSTITUTE(AC33, "E", "C"))</f>
        <v>C30</v>
      </c>
      <c r="AG33" s="83" t="str">
        <f aca="false">IF(ISNUMBER(FIND("C", AD33, 1)), SUBSTITUTE(AD33, "C", "E"), SUBSTITUTE(AD33, "E", "C"))</f>
        <v>E32</v>
      </c>
      <c r="AH33" s="83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1</v>
      </c>
      <c r="D34" s="35" t="s">
        <v>29</v>
      </c>
      <c r="E34" s="39" t="n">
        <v>0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6" t="n">
        <f aca="false">IF(AND(ISNUMBER(RESULTADOS!C34),ISNUMBER(RESULTADOS!E34),ISNUMBER(C34),ISNUMBER(E34),C34=RESULTADOS!C34,E34=RESULTADOS!E34),2,0)</f>
        <v>0</v>
      </c>
      <c r="Z34" s="136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6" t="n">
        <f aca="false">IF(AND(ISNUMBER(RESULTADOS!C34),ISNUMBER(RESULTADOS!E34),ISNUMBER(C34),ISNUMBER(E34),AND(Z34=1,OR(C34=RESULTADOS!C34,E34=RESULTADOS!E34))),1,0)</f>
        <v>0</v>
      </c>
      <c r="AB34" s="83"/>
      <c r="AC34" s="83"/>
      <c r="AD34" s="83"/>
      <c r="AE34" s="83"/>
      <c r="AF34" s="83"/>
      <c r="AG34" s="83"/>
      <c r="AH34" s="83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3"/>
      <c r="AC35" s="83"/>
      <c r="AD35" s="83"/>
      <c r="AE35" s="83"/>
      <c r="AF35" s="83"/>
      <c r="AG35" s="83"/>
      <c r="AH35" s="83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6"/>
      <c r="Z36" s="136"/>
      <c r="AA36" s="136"/>
      <c r="AB36" s="83"/>
      <c r="AC36" s="83"/>
      <c r="AD36" s="83"/>
      <c r="AE36" s="83"/>
      <c r="AF36" s="83"/>
      <c r="AG36" s="83"/>
      <c r="AH36" s="83"/>
    </row>
    <row r="37" customFormat="false" ht="13.5" hidden="false" customHeight="true" outlineLevel="0" collapsed="false">
      <c r="B37" s="17" t="s">
        <v>103</v>
      </c>
      <c r="C37" s="18" t="n">
        <v>5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6" t="n">
        <f aca="false">IF(AND(ISNUMBER(RESULTADOS!C37),ISNUMBER(RESULTADOS!E37),ISNUMBER(C37),ISNUMBER(E37),C37=RESULTADOS!C37,E37=RESULTADOS!E37),2,0)</f>
        <v>0</v>
      </c>
      <c r="Z37" s="136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6" t="n">
        <f aca="false">IF(AND(ISNUMBER(RESULTADOS!C37),ISNUMBER(RESULTADOS!E37),ISNUMBER(C37),ISNUMBER(E37),AND(Z37=1,OR(C37=RESULTADOS!C37,E37=RESULTADOS!E37))),1,0)</f>
        <v>0</v>
      </c>
      <c r="AB37" s="83"/>
      <c r="AC37" s="83"/>
      <c r="AD37" s="83"/>
      <c r="AE37" s="83"/>
      <c r="AF37" s="83"/>
      <c r="AG37" s="83"/>
      <c r="AH37" s="83"/>
    </row>
    <row r="38" customFormat="false" ht="13.5" hidden="false" customHeight="true" outlineLevel="0" collapsed="false">
      <c r="B38" s="17" t="s">
        <v>105</v>
      </c>
      <c r="C38" s="18" t="n">
        <v>0</v>
      </c>
      <c r="D38" s="16" t="s">
        <v>29</v>
      </c>
      <c r="E38" s="19" t="n">
        <v>2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6</v>
      </c>
      <c r="N38" s="16" t="n">
        <f aca="true">SUM(INDIRECT($AC38),INDIRECT($AD38),INDIRECT($AE38))</f>
        <v>9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6" t="n">
        <f aca="false">IF(AND(ISNUMBER(RESULTADOS!C38),ISNUMBER(RESULTADOS!E38),ISNUMBER(C38),ISNUMBER(E38),C38=RESULTADOS!C38,E38=RESULTADOS!E38),2,0)</f>
        <v>0</v>
      </c>
      <c r="Z38" s="136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6" t="n">
        <f aca="false">IF(AND(ISNUMBER(RESULTADOS!C38),ISNUMBER(RESULTADOS!E38),ISNUMBER(C38),ISNUMBER(E38),AND(Z38=1,OR(C38=RESULTADOS!C38,E38=RESULTADOS!E38))),1,0)</f>
        <v>0</v>
      </c>
      <c r="AB38" s="83"/>
      <c r="AC38" s="83" t="s">
        <v>107</v>
      </c>
      <c r="AD38" s="83" t="s">
        <v>108</v>
      </c>
      <c r="AE38" s="83" t="s">
        <v>109</v>
      </c>
      <c r="AF38" s="83" t="str">
        <f aca="false">IF(ISNUMBER(FIND("C", AC38, 1)), SUBSTITUTE(AC38, "C", "E"), SUBSTITUTE(AC38, "E", "C"))</f>
        <v>E37</v>
      </c>
      <c r="AG38" s="83" t="str">
        <f aca="false">IF(ISNUMBER(FIND("C", AD38, 1)), SUBSTITUTE(AD38, "C", "E"), SUBSTITUTE(AD38, "E", "C"))</f>
        <v>E39</v>
      </c>
      <c r="AH38" s="83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2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0</v>
      </c>
      <c r="N39" s="16" t="n">
        <f aca="true">SUM(INDIRECT($AC39),INDIRECT($AD39),INDIRECT($AE39))</f>
        <v>4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6" t="n">
        <f aca="false">IF(AND(ISNUMBER(RESULTADOS!C39),ISNUMBER(RESULTADOS!E39),ISNUMBER(C39),ISNUMBER(E39),C39=RESULTADOS!C39,E39=RESULTADOS!E39),2,0)</f>
        <v>0</v>
      </c>
      <c r="Z39" s="136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6" t="n">
        <f aca="false">IF(AND(ISNUMBER(RESULTADOS!C39),ISNUMBER(RESULTADOS!E39),ISNUMBER(C39),ISNUMBER(E39),AND(Z39=1,OR(C39=RESULTADOS!C39,E39=RESULTADOS!E39))),1,0)</f>
        <v>0</v>
      </c>
      <c r="AB39" s="83"/>
      <c r="AC39" s="83" t="s">
        <v>110</v>
      </c>
      <c r="AD39" s="83" t="s">
        <v>111</v>
      </c>
      <c r="AE39" s="83" t="s">
        <v>112</v>
      </c>
      <c r="AF39" s="83" t="str">
        <f aca="false">IF(ISNUMBER(FIND("C", AC39, 1)), SUBSTITUTE(AC39, "C", "E"), SUBSTITUTE(AC39, "E", "C"))</f>
        <v>E38</v>
      </c>
      <c r="AG39" s="83" t="str">
        <f aca="false">IF(ISNUMBER(FIND("C", AD39, 1)), SUBSTITUTE(AD39, "C", "E"), SUBSTITUTE(AD39, "E", "C"))</f>
        <v>C39</v>
      </c>
      <c r="AH39" s="83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3</v>
      </c>
      <c r="D40" s="16" t="s">
        <v>29</v>
      </c>
      <c r="E40" s="19" t="n">
        <v>1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1</v>
      </c>
      <c r="O40" s="16" t="n">
        <f aca="true">SUM(INDIRECT($AF40),INDIRECT($AG40),INDIRECT($AH40))</f>
        <v>10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6" t="n">
        <f aca="false">IF(AND(ISNUMBER(RESULTADOS!C40),ISNUMBER(RESULTADOS!E40),ISNUMBER(C40),ISNUMBER(E40),C40=RESULTADOS!C40,E40=RESULTADOS!E40),2,0)</f>
        <v>0</v>
      </c>
      <c r="Z40" s="136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6" t="n">
        <f aca="false">IF(AND(ISNUMBER(RESULTADOS!C40),ISNUMBER(RESULTADOS!E40),ISNUMBER(C40),ISNUMBER(E40),AND(Z40=1,OR(C40=RESULTADOS!C40,E40=RESULTADOS!E40))),1,0)</f>
        <v>0</v>
      </c>
      <c r="AB40" s="83"/>
      <c r="AC40" s="83" t="s">
        <v>113</v>
      </c>
      <c r="AD40" s="83" t="s">
        <v>114</v>
      </c>
      <c r="AE40" s="83" t="s">
        <v>115</v>
      </c>
      <c r="AF40" s="83" t="str">
        <f aca="false">IF(ISNUMBER(FIND("C", AC40, 1)), SUBSTITUTE(AC40, "C", "E"), SUBSTITUTE(AC40, "E", "C"))</f>
        <v>C37</v>
      </c>
      <c r="AG40" s="83" t="str">
        <f aca="false">IF(ISNUMBER(FIND("C", AD40, 1)), SUBSTITUTE(AD40, "C", "E"), SUBSTITUTE(AD40, "E", "C"))</f>
        <v>C40</v>
      </c>
      <c r="AH40" s="83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2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6" t="n">
        <f aca="false">IF(AND(ISNUMBER(RESULTADOS!C41),ISNUMBER(RESULTADOS!E41),ISNUMBER(C41),ISNUMBER(E41),C41=RESULTADOS!C41,E41=RESULTADOS!E41),2,0)</f>
        <v>0</v>
      </c>
      <c r="Z41" s="136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6" t="n">
        <f aca="false">IF(AND(ISNUMBER(RESULTADOS!C41),ISNUMBER(RESULTADOS!E41),ISNUMBER(C41),ISNUMBER(E41),AND(Z41=1,OR(C41=RESULTADOS!C41,E41=RESULTADOS!E41))),1,0)</f>
        <v>0</v>
      </c>
      <c r="AB41" s="83"/>
      <c r="AC41" s="83" t="s">
        <v>116</v>
      </c>
      <c r="AD41" s="83" t="s">
        <v>117</v>
      </c>
      <c r="AE41" s="83" t="s">
        <v>118</v>
      </c>
      <c r="AF41" s="83" t="str">
        <f aca="false">IF(ISNUMBER(FIND("C", AC41, 1)), SUBSTITUTE(AC41, "C", "E"), SUBSTITUTE(AC41, "E", "C"))</f>
        <v>C38</v>
      </c>
      <c r="AG41" s="83" t="str">
        <f aca="false">IF(ISNUMBER(FIND("C", AD41, 1)), SUBSTITUTE(AD41, "C", "E"), SUBSTITUTE(AD41, "E", "C"))</f>
        <v>E40</v>
      </c>
      <c r="AH41" s="83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2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6" t="n">
        <f aca="false">IF(AND(ISNUMBER(RESULTADOS!C42),ISNUMBER(RESULTADOS!E42),ISNUMBER(C42),ISNUMBER(E42),C42=RESULTADOS!C42,E42=RESULTADOS!E42),2,0)</f>
        <v>0</v>
      </c>
      <c r="Z42" s="136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6" t="n">
        <f aca="false">IF(AND(ISNUMBER(RESULTADOS!C42),ISNUMBER(RESULTADOS!E42),ISNUMBER(C42),ISNUMBER(E42),AND(Z42=1,OR(C42=RESULTADOS!C42,E42=RESULTADOS!E42))),1,0)</f>
        <v>0</v>
      </c>
      <c r="AB42" s="83"/>
      <c r="AC42" s="83"/>
      <c r="AD42" s="83"/>
      <c r="AE42" s="83"/>
      <c r="AF42" s="83"/>
      <c r="AG42" s="83"/>
      <c r="AH42" s="83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3"/>
      <c r="AC43" s="83"/>
      <c r="AD43" s="83"/>
      <c r="AE43" s="83"/>
      <c r="AF43" s="83"/>
      <c r="AG43" s="83"/>
      <c r="AH43" s="83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6"/>
      <c r="Z44" s="136"/>
      <c r="AA44" s="136"/>
      <c r="AB44" s="83"/>
      <c r="AC44" s="83"/>
      <c r="AD44" s="83"/>
      <c r="AE44" s="83"/>
      <c r="AF44" s="83"/>
      <c r="AG44" s="83"/>
      <c r="AH44" s="83"/>
    </row>
    <row r="45" customFormat="false" ht="13.5" hidden="false" customHeight="true" outlineLevel="0" collapsed="false">
      <c r="B45" s="17" t="s">
        <v>120</v>
      </c>
      <c r="C45" s="18" t="n">
        <v>1</v>
      </c>
      <c r="D45" s="16" t="s">
        <v>29</v>
      </c>
      <c r="E45" s="19" t="n">
        <v>2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6" t="n">
        <f aca="false">IF(AND(ISNUMBER(RESULTADOS!C45),ISNUMBER(RESULTADOS!E45),ISNUMBER(C45),ISNUMBER(E45),C45=RESULTADOS!C45,E45=RESULTADOS!E45),2,0)</f>
        <v>0</v>
      </c>
      <c r="Z45" s="136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6" t="n">
        <f aca="false">IF(AND(ISNUMBER(RESULTADOS!C45),ISNUMBER(RESULTADOS!E45),ISNUMBER(C45),ISNUMBER(E45),AND(Z45=1,OR(C45=RESULTADOS!C45,E45=RESULTADOS!E45))),1,0)</f>
        <v>0</v>
      </c>
      <c r="AB45" s="83"/>
      <c r="AC45" s="83"/>
      <c r="AD45" s="83"/>
      <c r="AE45" s="83"/>
      <c r="AF45" s="83"/>
      <c r="AG45" s="83"/>
      <c r="AH45" s="83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1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6" t="n">
        <f aca="false">IF(AND(ISNUMBER(RESULTADOS!C46),ISNUMBER(RESULTADOS!E46),ISNUMBER(C46),ISNUMBER(E46),C46=RESULTADOS!C46,E46=RESULTADOS!E46),2,0)</f>
        <v>0</v>
      </c>
      <c r="Z46" s="136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6" t="n">
        <f aca="false">IF(AND(ISNUMBER(RESULTADOS!C46),ISNUMBER(RESULTADOS!E46),ISNUMBER(C46),ISNUMBER(E46),AND(Z46=1,OR(C46=RESULTADOS!C46,E46=RESULTADOS!E46))),1,0)</f>
        <v>0</v>
      </c>
      <c r="AB46" s="83"/>
      <c r="AC46" s="83" t="s">
        <v>124</v>
      </c>
      <c r="AD46" s="83" t="s">
        <v>125</v>
      </c>
      <c r="AE46" s="83" t="s">
        <v>126</v>
      </c>
      <c r="AF46" s="83" t="str">
        <f aca="false">IF(ISNUMBER(FIND("C", AC46, 1)), SUBSTITUTE(AC46, "C", "E"), SUBSTITUTE(AC46, "E", "C"))</f>
        <v>E45</v>
      </c>
      <c r="AG46" s="83" t="str">
        <f aca="false">IF(ISNUMBER(FIND("C", AD46, 1)), SUBSTITUTE(AD46, "C", "E"), SUBSTITUTE(AD46, "E", "C"))</f>
        <v>E47</v>
      </c>
      <c r="AH46" s="83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3</v>
      </c>
      <c r="D47" s="16" t="s">
        <v>29</v>
      </c>
      <c r="E47" s="19" t="n">
        <v>1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6" t="n">
        <f aca="false">IF(AND(ISNUMBER(RESULTADOS!C47),ISNUMBER(RESULTADOS!E47),ISNUMBER(C47),ISNUMBER(E47),C47=RESULTADOS!C47,E47=RESULTADOS!E47),2,0)</f>
        <v>0</v>
      </c>
      <c r="Z47" s="136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6" t="n">
        <f aca="false">IF(AND(ISNUMBER(RESULTADOS!C47),ISNUMBER(RESULTADOS!E47),ISNUMBER(C47),ISNUMBER(E47),AND(Z47=1,OR(C47=RESULTADOS!C47,E47=RESULTADOS!E47))),1,0)</f>
        <v>0</v>
      </c>
      <c r="AB47" s="83"/>
      <c r="AC47" s="83" t="s">
        <v>127</v>
      </c>
      <c r="AD47" s="83" t="s">
        <v>128</v>
      </c>
      <c r="AE47" s="83" t="s">
        <v>129</v>
      </c>
      <c r="AF47" s="83" t="str">
        <f aca="false">IF(ISNUMBER(FIND("C", AC47, 1)), SUBSTITUTE(AC47, "C", "E"), SUBSTITUTE(AC47, "E", "C"))</f>
        <v>C45</v>
      </c>
      <c r="AG47" s="83" t="str">
        <f aca="false">IF(ISNUMBER(FIND("C", AD47, 1)), SUBSTITUTE(AD47, "C", "E"), SUBSTITUTE(AD47, "E", "C"))</f>
        <v>C48</v>
      </c>
      <c r="AH47" s="83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1</v>
      </c>
      <c r="D48" s="16" t="s">
        <v>29</v>
      </c>
      <c r="E48" s="19" t="n">
        <v>1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3</v>
      </c>
      <c r="O48" s="16" t="n">
        <f aca="true">SUM(INDIRECT($AF48),INDIRECT($AG48),INDIRECT($AH48))</f>
        <v>7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6" t="n">
        <f aca="false">IF(AND(ISNUMBER(RESULTADOS!C48),ISNUMBER(RESULTADOS!E48),ISNUMBER(C48),ISNUMBER(E48),C48=RESULTADOS!C48,E48=RESULTADOS!E48),2,0)</f>
        <v>0</v>
      </c>
      <c r="Z48" s="136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6" t="n">
        <f aca="false">IF(AND(ISNUMBER(RESULTADOS!C48),ISNUMBER(RESULTADOS!E48),ISNUMBER(C48),ISNUMBER(E48),AND(Z48=1,OR(C48=RESULTADOS!C48,E48=RESULTADOS!E48))),1,0)</f>
        <v>0</v>
      </c>
      <c r="AB48" s="83"/>
      <c r="AC48" s="83" t="s">
        <v>130</v>
      </c>
      <c r="AD48" s="83" t="s">
        <v>131</v>
      </c>
      <c r="AE48" s="83" t="s">
        <v>132</v>
      </c>
      <c r="AF48" s="83" t="str">
        <f aca="false">IF(ISNUMBER(FIND("C", AC48, 1)), SUBSTITUTE(AC48, "C", "E"), SUBSTITUTE(AC48, "E", "C"))</f>
        <v>E46</v>
      </c>
      <c r="AG48" s="83" t="str">
        <f aca="false">IF(ISNUMBER(FIND("C", AD48, 1)), SUBSTITUTE(AD48, "C", "E"), SUBSTITUTE(AD48, "E", "C"))</f>
        <v>C47</v>
      </c>
      <c r="AH48" s="83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2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2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6" t="n">
        <f aca="false">IF(AND(ISNUMBER(RESULTADOS!C49),ISNUMBER(RESULTADOS!E49),ISNUMBER(C49),ISNUMBER(E49),C49=RESULTADOS!C49,E49=RESULTADOS!E49),2,0)</f>
        <v>0</v>
      </c>
      <c r="Z49" s="136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6" t="n">
        <f aca="false">IF(AND(ISNUMBER(RESULTADOS!C49),ISNUMBER(RESULTADOS!E49),ISNUMBER(C49),ISNUMBER(E49),AND(Z49=1,OR(C49=RESULTADOS!C49,E49=RESULTADOS!E49))),1,0)</f>
        <v>0</v>
      </c>
      <c r="AB49" s="83"/>
      <c r="AC49" s="83" t="s">
        <v>133</v>
      </c>
      <c r="AD49" s="83" t="s">
        <v>134</v>
      </c>
      <c r="AE49" s="83" t="s">
        <v>135</v>
      </c>
      <c r="AF49" s="83" t="str">
        <f aca="false">IF(ISNUMBER(FIND("C", AC49, 1)), SUBSTITUTE(AC49, "C", "E"), SUBSTITUTE(AC49, "E", "C"))</f>
        <v>C46</v>
      </c>
      <c r="AG49" s="83" t="str">
        <f aca="false">IF(ISNUMBER(FIND("C", AD49, 1)), SUBSTITUTE(AD49, "C", "E"), SUBSTITUTE(AD49, "E", "C"))</f>
        <v>E48</v>
      </c>
      <c r="AH49" s="83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3</v>
      </c>
      <c r="D50" s="35" t="s">
        <v>29</v>
      </c>
      <c r="E50" s="39" t="n">
        <v>1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6" t="n">
        <f aca="false">IF(AND(ISNUMBER(RESULTADOS!C50),ISNUMBER(RESULTADOS!E50),ISNUMBER(C50),ISNUMBER(E50),C50=RESULTADOS!C50,E50=RESULTADOS!E50),2,0)</f>
        <v>0</v>
      </c>
      <c r="Z50" s="136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6" t="n">
        <f aca="false">IF(AND(ISNUMBER(RESULTADOS!C50),ISNUMBER(RESULTADOS!E50),ISNUMBER(C50),ISNUMBER(E50),AND(Z50=1,OR(C50=RESULTADOS!C50,E50=RESULTADOS!E50))),1,0)</f>
        <v>0</v>
      </c>
      <c r="AB50" s="83"/>
      <c r="AC50" s="83"/>
      <c r="AD50" s="83"/>
      <c r="AE50" s="83"/>
      <c r="AF50" s="83"/>
      <c r="AG50" s="83"/>
      <c r="AH50" s="83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3"/>
      <c r="AC51" s="83"/>
      <c r="AD51" s="83"/>
      <c r="AE51" s="83"/>
      <c r="AF51" s="83"/>
      <c r="AG51" s="83"/>
      <c r="AH51" s="83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6"/>
      <c r="Z52" s="136"/>
      <c r="AA52" s="136"/>
      <c r="AB52" s="83"/>
      <c r="AC52" s="83"/>
      <c r="AD52" s="83"/>
      <c r="AE52" s="83"/>
      <c r="AF52" s="83"/>
      <c r="AG52" s="83"/>
      <c r="AH52" s="83"/>
    </row>
    <row r="53" customFormat="false" ht="13.5" hidden="false" customHeight="true" outlineLevel="0" collapsed="false">
      <c r="B53" s="17" t="s">
        <v>137</v>
      </c>
      <c r="C53" s="18" t="n">
        <v>2</v>
      </c>
      <c r="D53" s="16" t="s">
        <v>29</v>
      </c>
      <c r="E53" s="19" t="n">
        <v>0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6" t="n">
        <f aca="false">IF(AND(ISNUMBER(RESULTADOS!C53),ISNUMBER(RESULTADOS!E53),ISNUMBER(C53),ISNUMBER(E53),C53=RESULTADOS!C53,E53=RESULTADOS!E53),2,0)</f>
        <v>0</v>
      </c>
      <c r="Z53" s="136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6" t="n">
        <f aca="false">IF(AND(ISNUMBER(RESULTADOS!C53),ISNUMBER(RESULTADOS!E53),ISNUMBER(C53),ISNUMBER(E53),AND(Z53=1,OR(C53=RESULTADOS!C53,E53=RESULTADOS!E53))),1,0)</f>
        <v>0</v>
      </c>
      <c r="AB53" s="83"/>
      <c r="AC53" s="83"/>
      <c r="AD53" s="83"/>
      <c r="AE53" s="83"/>
      <c r="AF53" s="83"/>
      <c r="AG53" s="83"/>
      <c r="AH53" s="83"/>
    </row>
    <row r="54" customFormat="false" ht="13.5" hidden="false" customHeight="true" outlineLevel="0" collapsed="false">
      <c r="B54" s="17" t="s">
        <v>139</v>
      </c>
      <c r="C54" s="18" t="n">
        <v>2</v>
      </c>
      <c r="D54" s="16" t="s">
        <v>29</v>
      </c>
      <c r="E54" s="19" t="n">
        <v>1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5</v>
      </c>
      <c r="N54" s="16" t="n">
        <f aca="true">SUM(INDIRECT($AC54),INDIRECT($AD54),INDIRECT($AE54))</f>
        <v>9</v>
      </c>
      <c r="O54" s="16" t="n">
        <f aca="true">SUM(INDIRECT($AF54),INDIRECT($AG54),INDIRECT($AH54))</f>
        <v>4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6" t="n">
        <f aca="false">IF(AND(ISNUMBER(RESULTADOS!C54),ISNUMBER(RESULTADOS!E54),ISNUMBER(C54),ISNUMBER(E54),C54=RESULTADOS!C54,E54=RESULTADOS!E54),2,0)</f>
        <v>0</v>
      </c>
      <c r="Z54" s="136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6" t="n">
        <f aca="false">IF(AND(ISNUMBER(RESULTADOS!C54),ISNUMBER(RESULTADOS!E54),ISNUMBER(C54),ISNUMBER(E54),AND(Z54=1,OR(C54=RESULTADOS!C54,E54=RESULTADOS!E54))),1,0)</f>
        <v>0</v>
      </c>
      <c r="AB54" s="83"/>
      <c r="AC54" s="83" t="s">
        <v>141</v>
      </c>
      <c r="AD54" s="83" t="s">
        <v>142</v>
      </c>
      <c r="AE54" s="83" t="s">
        <v>143</v>
      </c>
      <c r="AF54" s="83" t="str">
        <f aca="false">IF(ISNUMBER(FIND("C", AC54, 1)), SUBSTITUTE(AC54, "C", "E"), SUBSTITUTE(AC54, "E", "C"))</f>
        <v>E53</v>
      </c>
      <c r="AG54" s="83" t="str">
        <f aca="false">IF(ISNUMBER(FIND("C", AD54, 1)), SUBSTITUTE(AD54, "C", "E"), SUBSTITUTE(AD54, "E", "C"))</f>
        <v>E55</v>
      </c>
      <c r="AH54" s="83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2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-3</v>
      </c>
      <c r="N55" s="16" t="n">
        <f aca="true">SUM(INDIRECT($AC55),INDIRECT($AD55),INDIRECT($AE55))</f>
        <v>2</v>
      </c>
      <c r="O55" s="16" t="n">
        <f aca="true">SUM(INDIRECT($AF55),INDIRECT($AG55),INDIRECT($AH55))</f>
        <v>5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6" t="n">
        <f aca="false">IF(AND(ISNUMBER(RESULTADOS!C55),ISNUMBER(RESULTADOS!E55),ISNUMBER(C55),ISNUMBER(E55),C55=RESULTADOS!C55,E55=RESULTADOS!E55),2,0)</f>
        <v>0</v>
      </c>
      <c r="Z55" s="136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6" t="n">
        <f aca="false">IF(AND(ISNUMBER(RESULTADOS!C55),ISNUMBER(RESULTADOS!E55),ISNUMBER(C55),ISNUMBER(E55),AND(Z55=1,OR(C55=RESULTADOS!C55,E55=RESULTADOS!E55))),1,0)</f>
        <v>0</v>
      </c>
      <c r="AB55" s="83"/>
      <c r="AC55" s="83" t="s">
        <v>144</v>
      </c>
      <c r="AD55" s="83" t="s">
        <v>145</v>
      </c>
      <c r="AE55" s="83" t="s">
        <v>146</v>
      </c>
      <c r="AF55" s="83" t="str">
        <f aca="false">IF(ISNUMBER(FIND("C", AC55, 1)), SUBSTITUTE(AC55, "C", "E"), SUBSTITUTE(AC55, "E", "C"))</f>
        <v>C53</v>
      </c>
      <c r="AG55" s="83" t="str">
        <f aca="false">IF(ISNUMBER(FIND("C", AD55, 1)), SUBSTITUTE(AD55, "C", "E"), SUBSTITUTE(AD55, "E", "C"))</f>
        <v>C56</v>
      </c>
      <c r="AH55" s="83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1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6" t="n">
        <f aca="false">N56-O56</f>
        <v>3</v>
      </c>
      <c r="N56" s="16" t="n">
        <f aca="true">SUM(INDIRECT($AC56),INDIRECT($AD56),INDIRECT($AE56))</f>
        <v>7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6" t="n">
        <f aca="false">IF(AND(ISNUMBER(RESULTADOS!C56),ISNUMBER(RESULTADOS!E56),ISNUMBER(C56),ISNUMBER(E56),C56=RESULTADOS!C56,E56=RESULTADOS!E56),2,0)</f>
        <v>0</v>
      </c>
      <c r="Z56" s="136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6" t="n">
        <f aca="false">IF(AND(ISNUMBER(RESULTADOS!C56),ISNUMBER(RESULTADOS!E56),ISNUMBER(C56),ISNUMBER(E56),AND(Z56=1,OR(C56=RESULTADOS!C56,E56=RESULTADOS!E56))),1,0)</f>
        <v>0</v>
      </c>
      <c r="AB56" s="83"/>
      <c r="AC56" s="83" t="s">
        <v>147</v>
      </c>
      <c r="AD56" s="83" t="s">
        <v>148</v>
      </c>
      <c r="AE56" s="83" t="s">
        <v>149</v>
      </c>
      <c r="AF56" s="83" t="str">
        <f aca="false">IF(ISNUMBER(FIND("C", AC56, 1)), SUBSTITUTE(AC56, "C", "E"), SUBSTITUTE(AC56, "E", "C"))</f>
        <v>E54</v>
      </c>
      <c r="AG56" s="83" t="str">
        <f aca="false">IF(ISNUMBER(FIND("C", AD56, 1)), SUBSTITUTE(AD56, "C", "E"), SUBSTITUTE(AD56, "E", "C"))</f>
        <v>C55</v>
      </c>
      <c r="AH56" s="83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3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3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6" t="n">
        <f aca="false">IF(AND(ISNUMBER(RESULTADOS!C57),ISNUMBER(RESULTADOS!E57),ISNUMBER(C57),ISNUMBER(E57),C57=RESULTADOS!C57,E57=RESULTADOS!E57),2,0)</f>
        <v>0</v>
      </c>
      <c r="Z57" s="136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6" t="n">
        <f aca="false">IF(AND(ISNUMBER(RESULTADOS!C57),ISNUMBER(RESULTADOS!E57),ISNUMBER(C57),ISNUMBER(E57),AND(Z57=1,OR(C57=RESULTADOS!C57,E57=RESULTADOS!E57))),1,0)</f>
        <v>0</v>
      </c>
      <c r="AB57" s="83"/>
      <c r="AC57" s="83" t="s">
        <v>150</v>
      </c>
      <c r="AD57" s="83" t="s">
        <v>151</v>
      </c>
      <c r="AE57" s="83" t="s">
        <v>152</v>
      </c>
      <c r="AF57" s="83" t="str">
        <f aca="false">IF(ISNUMBER(FIND("C", AC57, 1)), SUBSTITUTE(AC57, "C", "E"), SUBSTITUTE(AC57, "E", "C"))</f>
        <v>C54</v>
      </c>
      <c r="AG57" s="83" t="str">
        <f aca="false">IF(ISNUMBER(FIND("C", AD57, 1)), SUBSTITUTE(AD57, "C", "E"), SUBSTITUTE(AD57, "E", "C"))</f>
        <v>E56</v>
      </c>
      <c r="AH57" s="83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2</v>
      </c>
      <c r="D58" s="35" t="s">
        <v>29</v>
      </c>
      <c r="E58" s="39" t="n">
        <v>5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6" t="n">
        <f aca="false">IF(AND(ISNUMBER(RESULTADOS!C58),ISNUMBER(RESULTADOS!E58),ISNUMBER(C58),ISNUMBER(E58),C58=RESULTADOS!C58,E58=RESULTADOS!E58),2,0)</f>
        <v>0</v>
      </c>
      <c r="Z58" s="136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6" t="n">
        <f aca="false">IF(AND(ISNUMBER(RESULTADOS!C58),ISNUMBER(RESULTADOS!E58),ISNUMBER(C58),ISNUMBER(E58),AND(Z58=1,OR(C58=RESULTADOS!C58,E58=RESULTADOS!E58))),1,0)</f>
        <v>0</v>
      </c>
      <c r="AB58" s="83"/>
      <c r="AC58" s="83"/>
      <c r="AD58" s="83"/>
      <c r="AE58" s="83"/>
      <c r="AF58" s="83"/>
      <c r="AG58" s="83"/>
      <c r="AH58" s="83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3"/>
      <c r="AC59" s="83"/>
      <c r="AD59" s="83"/>
      <c r="AE59" s="83"/>
      <c r="AF59" s="83"/>
      <c r="AG59" s="83"/>
      <c r="AH59" s="83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6"/>
      <c r="Z60" s="136"/>
      <c r="AA60" s="136"/>
      <c r="AB60" s="83"/>
      <c r="AC60" s="83"/>
      <c r="AD60" s="83"/>
      <c r="AE60" s="83"/>
      <c r="AF60" s="83"/>
      <c r="AG60" s="83"/>
      <c r="AH60" s="83"/>
    </row>
    <row r="61" customFormat="false" ht="13.5" hidden="false" customHeight="true" outlineLevel="0" collapsed="false">
      <c r="B61" s="17" t="s">
        <v>154</v>
      </c>
      <c r="C61" s="18" t="n">
        <v>3</v>
      </c>
      <c r="D61" s="16" t="s">
        <v>29</v>
      </c>
      <c r="E61" s="19" t="n">
        <v>1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6" t="n">
        <f aca="false">IF(AND(ISNUMBER(RESULTADOS!C61),ISNUMBER(RESULTADOS!E61),ISNUMBER(C61),ISNUMBER(E61),C61=RESULTADOS!C61,E61=RESULTADOS!E61),2,0)</f>
        <v>0</v>
      </c>
      <c r="Z61" s="136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6" t="n">
        <f aca="false">IF(AND(ISNUMBER(RESULTADOS!C61),ISNUMBER(RESULTADOS!E61),ISNUMBER(C61),ISNUMBER(E61),AND(Z61=1,OR(C61=RESULTADOS!C61,E61=RESULTADOS!E61))),1,0)</f>
        <v>0</v>
      </c>
      <c r="AB61" s="83"/>
      <c r="AC61" s="83"/>
      <c r="AD61" s="83"/>
      <c r="AE61" s="83"/>
      <c r="AF61" s="83"/>
      <c r="AG61" s="83"/>
      <c r="AH61" s="83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2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-3</v>
      </c>
      <c r="N62" s="16" t="n">
        <f aca="true">SUM(INDIRECT($AC62),INDIRECT($AD62),INDIRECT($AE62))</f>
        <v>3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6" t="n">
        <f aca="false">IF(AND(ISNUMBER(RESULTADOS!C62),ISNUMBER(RESULTADOS!E62),ISNUMBER(C62),ISNUMBER(E62),C62=RESULTADOS!C62,E62=RESULTADOS!E62),2,0)</f>
        <v>0</v>
      </c>
      <c r="Z62" s="136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6" t="n">
        <f aca="false">IF(AND(ISNUMBER(RESULTADOS!C62),ISNUMBER(RESULTADOS!E62),ISNUMBER(C62),ISNUMBER(E62),AND(Z62=1,OR(C62=RESULTADOS!C62,E62=RESULTADOS!E62))),1,0)</f>
        <v>0</v>
      </c>
      <c r="AB62" s="83"/>
      <c r="AC62" s="83" t="s">
        <v>158</v>
      </c>
      <c r="AD62" s="83" t="s">
        <v>159</v>
      </c>
      <c r="AE62" s="83" t="s">
        <v>160</v>
      </c>
      <c r="AF62" s="83" t="str">
        <f aca="false">IF(ISNUMBER(FIND("C", AC62, 1)), SUBSTITUTE(AC62, "C", "E"), SUBSTITUTE(AC62, "E", "C"))</f>
        <v>E62</v>
      </c>
      <c r="AG62" s="83" t="str">
        <f aca="false">IF(ISNUMBER(FIND("C", AD62, 1)), SUBSTITUTE(AD62, "C", "E"), SUBSTITUTE(AD62, "E", "C"))</f>
        <v>C63</v>
      </c>
      <c r="AH62" s="83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2</v>
      </c>
      <c r="D63" s="16" t="s">
        <v>29</v>
      </c>
      <c r="E63" s="19" t="n">
        <v>0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-3</v>
      </c>
      <c r="N63" s="16" t="n">
        <f aca="true">SUM(INDIRECT($AC63),INDIRECT($AD63),INDIRECT($AE63))</f>
        <v>3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6" t="n">
        <f aca="false">IF(AND(ISNUMBER(RESULTADOS!C63),ISNUMBER(RESULTADOS!E63),ISNUMBER(C63),ISNUMBER(E63),C63=RESULTADOS!C63,E63=RESULTADOS!E63),2,0)</f>
        <v>0</v>
      </c>
      <c r="Z63" s="136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6" t="n">
        <f aca="false">IF(AND(ISNUMBER(RESULTADOS!C63),ISNUMBER(RESULTADOS!E63),ISNUMBER(C63),ISNUMBER(E63),AND(Z63=1,OR(C63=RESULTADOS!C63,E63=RESULTADOS!E63))),1,0)</f>
        <v>0</v>
      </c>
      <c r="AB63" s="83"/>
      <c r="AC63" s="83" t="s">
        <v>161</v>
      </c>
      <c r="AD63" s="83" t="s">
        <v>162</v>
      </c>
      <c r="AE63" s="83" t="s">
        <v>163</v>
      </c>
      <c r="AF63" s="83" t="str">
        <f aca="false">IF(ISNUMBER(FIND("C", AC63, 1)), SUBSTITUTE(AC63, "C", "E"), SUBSTITUTE(AC63, "E", "C"))</f>
        <v>C61</v>
      </c>
      <c r="AG63" s="83" t="str">
        <f aca="false">IF(ISNUMBER(FIND("C", AD63, 1)), SUBSTITUTE(AD63, "C", "E"), SUBSTITUTE(AD63, "E", "C"))</f>
        <v>C64</v>
      </c>
      <c r="AH63" s="83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1</v>
      </c>
      <c r="D64" s="16" t="s">
        <v>29</v>
      </c>
      <c r="E64" s="19" t="n">
        <v>0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5</v>
      </c>
      <c r="N64" s="16" t="n">
        <f aca="true">SUM(INDIRECT($AC64),INDIRECT($AD64),INDIRECT($AE64))</f>
        <v>7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6" t="n">
        <f aca="false">IF(AND(ISNUMBER(RESULTADOS!C64),ISNUMBER(RESULTADOS!E64),ISNUMBER(C64),ISNUMBER(E64),C64=RESULTADOS!C64,E64=RESULTADOS!E64),2,0)</f>
        <v>0</v>
      </c>
      <c r="Z64" s="136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6" t="n">
        <f aca="false">IF(AND(ISNUMBER(RESULTADOS!C64),ISNUMBER(RESULTADOS!E64),ISNUMBER(C64),ISNUMBER(E64),AND(Z64=1,OR(C64=RESULTADOS!C64,E64=RESULTADOS!E64))),1,0)</f>
        <v>0</v>
      </c>
      <c r="AB64" s="83"/>
      <c r="AC64" s="83" t="s">
        <v>164</v>
      </c>
      <c r="AD64" s="83" t="s">
        <v>165</v>
      </c>
      <c r="AE64" s="83" t="s">
        <v>166</v>
      </c>
      <c r="AF64" s="83" t="str">
        <f aca="false">IF(ISNUMBER(FIND("C", AC64, 1)), SUBSTITUTE(AC64, "C", "E"), SUBSTITUTE(AC64, "E", "C"))</f>
        <v>E61</v>
      </c>
      <c r="AG64" s="83" t="str">
        <f aca="false">IF(ISNUMBER(FIND("C", AD64, 1)), SUBSTITUTE(AD64, "C", "E"), SUBSTITUTE(AD64, "E", "C"))</f>
        <v>E63</v>
      </c>
      <c r="AH64" s="83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2</v>
      </c>
      <c r="D65" s="16" t="s">
        <v>29</v>
      </c>
      <c r="E65" s="19" t="n">
        <v>2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4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6" t="n">
        <f aca="false">IF(AND(ISNUMBER(RESULTADOS!C65),ISNUMBER(RESULTADOS!E65),ISNUMBER(C65),ISNUMBER(E65),C65=RESULTADOS!C65,E65=RESULTADOS!E65),2,0)</f>
        <v>0</v>
      </c>
      <c r="Z65" s="136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6" t="n">
        <f aca="false">IF(AND(ISNUMBER(RESULTADOS!C65),ISNUMBER(RESULTADOS!E65),ISNUMBER(C65),ISNUMBER(E65),AND(Z65=1,OR(C65=RESULTADOS!C65,E65=RESULTADOS!E65))),1,0)</f>
        <v>0</v>
      </c>
      <c r="AB65" s="83"/>
      <c r="AC65" s="83" t="s">
        <v>167</v>
      </c>
      <c r="AD65" s="83" t="s">
        <v>168</v>
      </c>
      <c r="AE65" s="83" t="s">
        <v>169</v>
      </c>
      <c r="AF65" s="83" t="str">
        <f aca="false">IF(ISNUMBER(FIND("C", AC65, 1)), SUBSTITUTE(AC65, "C", "E"), SUBSTITUTE(AC65, "E", "C"))</f>
        <v>C62</v>
      </c>
      <c r="AG65" s="83" t="str">
        <f aca="false">IF(ISNUMBER(FIND("C", AD65, 1)), SUBSTITUTE(AD65, "C", "E"), SUBSTITUTE(AD65, "E", "C"))</f>
        <v>E64</v>
      </c>
      <c r="AH65" s="83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2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6" t="n">
        <f aca="false">IF(AND(ISNUMBER(RESULTADOS!C66),ISNUMBER(RESULTADOS!E66),ISNUMBER(C66),ISNUMBER(E66),C66=RESULTADOS!C66,E66=RESULTADOS!E66),2,0)</f>
        <v>0</v>
      </c>
      <c r="Z66" s="136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6" t="n">
        <f aca="false">IF(AND(ISNUMBER(RESULTADOS!C66),ISNUMBER(RESULTADOS!E66),ISNUMBER(C66),ISNUMBER(E66),AND(Z66=1,OR(C66=RESULTADOS!C66,E66=RESULTADOS!E66))),1,0)</f>
        <v>0</v>
      </c>
      <c r="AB66" s="83"/>
      <c r="AC66" s="83"/>
      <c r="AD66" s="83"/>
      <c r="AE66" s="83"/>
      <c r="AF66" s="83"/>
      <c r="AG66" s="83"/>
      <c r="AH66" s="83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0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6" t="n">
        <f aca="false">IF(AND(ISNUMBER(RESULTADOS!C69),ISNUMBER(RESULTADOS!E69),ISNUMBER(C69),ISNUMBER(E69),C69=RESULTADOS!C69,E69=RESULTADOS!E69),2,0)</f>
        <v>0</v>
      </c>
      <c r="Z69" s="136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6" t="n">
        <f aca="false">IF(AND(ISNUMBER(RESULTADOS!C69),ISNUMBER(RESULTADOS!E69),ISNUMBER(C69),ISNUMBER(E69),AND(Z69=1,OR(C69=RESULTADOS!C69,E69=RESULTADOS!E69))),1,0)</f>
        <v>0</v>
      </c>
      <c r="AB69" s="83"/>
      <c r="AC69" s="83"/>
      <c r="AD69" s="83"/>
      <c r="AE69" s="83"/>
      <c r="AF69" s="83"/>
      <c r="AG69" s="83"/>
      <c r="AH69" s="83"/>
    </row>
    <row r="70" customFormat="false" ht="12.75" hidden="false" customHeight="true" outlineLevel="0" collapsed="false">
      <c r="B70" s="17" t="s">
        <v>173</v>
      </c>
      <c r="C70" s="18" t="n">
        <v>1</v>
      </c>
      <c r="D70" s="16" t="s">
        <v>29</v>
      </c>
      <c r="E70" s="19" t="n">
        <v>3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6" t="n">
        <f aca="false">IF(AND(ISNUMBER(RESULTADOS!C70),ISNUMBER(RESULTADOS!E70),ISNUMBER(C70),ISNUMBER(E70),C70=RESULTADOS!C70,E70=RESULTADOS!E70),2,0)</f>
        <v>0</v>
      </c>
      <c r="Z70" s="136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6" t="n">
        <f aca="false">IF(AND(ISNUMBER(RESULTADOS!C70),ISNUMBER(RESULTADOS!E70),ISNUMBER(C70),ISNUMBER(E70),AND(Z70=1,OR(C70=RESULTADOS!C70,E70=RESULTADOS!E70))),1,0)</f>
        <v>0</v>
      </c>
      <c r="AB70" s="83"/>
      <c r="AC70" s="83" t="s">
        <v>175</v>
      </c>
      <c r="AD70" s="83" t="s">
        <v>176</v>
      </c>
      <c r="AE70" s="83" t="s">
        <v>177</v>
      </c>
      <c r="AF70" s="83" t="str">
        <f aca="false">IF(ISNUMBER(FIND("C", AC70, 1)), SUBSTITUTE(AC70, "C", "E"), SUBSTITUTE(AC70, "E", "C"))</f>
        <v>E69</v>
      </c>
      <c r="AG70" s="83" t="str">
        <f aca="false">IF(ISNUMBER(FIND("C", AD70, 1)), SUBSTITUTE(AD70, "C", "E"), SUBSTITUTE(AD70, "E", "C"))</f>
        <v>E71</v>
      </c>
      <c r="AH70" s="83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4</v>
      </c>
      <c r="D71" s="16" t="s">
        <v>29</v>
      </c>
      <c r="E71" s="19" t="n">
        <v>0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-8</v>
      </c>
      <c r="N71" s="16" t="n">
        <f aca="true">SUM(INDIRECT($AC71),INDIRECT($AD71),INDIRECT($AE71))</f>
        <v>1</v>
      </c>
      <c r="O71" s="16" t="n">
        <f aca="true">SUM(INDIRECT($AF71),INDIRECT($AG71),INDIRECT($AH71))</f>
        <v>9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6" t="n">
        <f aca="false">IF(AND(ISNUMBER(RESULTADOS!C71),ISNUMBER(RESULTADOS!E71),ISNUMBER(C71),ISNUMBER(E71),C71=RESULTADOS!C71,E71=RESULTADOS!E71),2,0)</f>
        <v>0</v>
      </c>
      <c r="Z71" s="136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6" t="n">
        <f aca="false">IF(AND(ISNUMBER(RESULTADOS!C71),ISNUMBER(RESULTADOS!E71),ISNUMBER(C71),ISNUMBER(E71),AND(Z71=1,OR(C71=RESULTADOS!C71,E71=RESULTADOS!E71))),1,0)</f>
        <v>0</v>
      </c>
      <c r="AB71" s="83"/>
      <c r="AC71" s="83" t="s">
        <v>178</v>
      </c>
      <c r="AD71" s="83" t="s">
        <v>179</v>
      </c>
      <c r="AE71" s="83" t="s">
        <v>180</v>
      </c>
      <c r="AF71" s="83" t="str">
        <f aca="false">IF(ISNUMBER(FIND("C", AC71, 1)), SUBSTITUTE(AC71, "C", "E"), SUBSTITUTE(AC71, "E", "C"))</f>
        <v>E70</v>
      </c>
      <c r="AG71" s="83" t="str">
        <f aca="false">IF(ISNUMBER(FIND("C", AD71, 1)), SUBSTITUTE(AD71, "C", "E"), SUBSTITUTE(AD71, "E", "C"))</f>
        <v>C71</v>
      </c>
      <c r="AH71" s="83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1</v>
      </c>
      <c r="D72" s="16" t="s">
        <v>29</v>
      </c>
      <c r="E72" s="19" t="n">
        <v>2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6" t="n">
        <f aca="false">N72-O72</f>
        <v>0</v>
      </c>
      <c r="N72" s="16" t="n">
        <f aca="true">SUM(INDIRECT($AC72),INDIRECT($AD72),INDIRECT($AE72))</f>
        <v>5</v>
      </c>
      <c r="O72" s="16" t="n">
        <f aca="true">SUM(INDIRECT($AF72),INDIRECT($AG72),INDIRECT($AH72))</f>
        <v>5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6" t="n">
        <f aca="false">IF(AND(ISNUMBER(RESULTADOS!C72),ISNUMBER(RESULTADOS!E72),ISNUMBER(C72),ISNUMBER(E72),C72=RESULTADOS!C72,E72=RESULTADOS!E72),2,0)</f>
        <v>0</v>
      </c>
      <c r="Z72" s="136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6" t="n">
        <f aca="false">IF(AND(ISNUMBER(RESULTADOS!C72),ISNUMBER(RESULTADOS!E72),ISNUMBER(C72),ISNUMBER(E72),AND(Z72=1,OR(C72=RESULTADOS!C72,E72=RESULTADOS!E72))),1,0)</f>
        <v>0</v>
      </c>
      <c r="AB72" s="83"/>
      <c r="AC72" s="83" t="s">
        <v>181</v>
      </c>
      <c r="AD72" s="83" t="s">
        <v>182</v>
      </c>
      <c r="AE72" s="83" t="s">
        <v>183</v>
      </c>
      <c r="AF72" s="83" t="str">
        <f aca="false">IF(ISNUMBER(FIND("C", AC72, 1)), SUBSTITUTE(AC72, "C", "E"), SUBSTITUTE(AC72, "E", "C"))</f>
        <v>C70</v>
      </c>
      <c r="AG72" s="83" t="str">
        <f aca="false">IF(ISNUMBER(FIND("C", AD72, 1)), SUBSTITUTE(AD72, "C", "E"), SUBSTITUTE(AD72, "E", "C"))</f>
        <v>E72</v>
      </c>
      <c r="AH72" s="83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4</v>
      </c>
      <c r="O73" s="35" t="n">
        <f aca="true">SUM(INDIRECT($AF73),INDIRECT($AG73),INDIRECT($AH73))</f>
        <v>3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6" t="n">
        <f aca="false">IF(AND(ISNUMBER(RESULTADOS!C73),ISNUMBER(RESULTADOS!E73),ISNUMBER(C73),ISNUMBER(E73),C73=RESULTADOS!C73,E73=RESULTADOS!E73),2,0)</f>
        <v>0</v>
      </c>
      <c r="Z73" s="136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6" t="n">
        <f aca="false">IF(AND(ISNUMBER(RESULTADOS!C73),ISNUMBER(RESULTADOS!E73),ISNUMBER(C73),ISNUMBER(E73),AND(Z73=1,OR(C73=RESULTADOS!C73,E73=RESULTADOS!E73))),1,0)</f>
        <v>0</v>
      </c>
      <c r="AB73" s="83"/>
      <c r="AC73" s="83" t="s">
        <v>184</v>
      </c>
      <c r="AD73" s="83" t="s">
        <v>185</v>
      </c>
      <c r="AE73" s="83" t="s">
        <v>186</v>
      </c>
      <c r="AF73" s="83" t="str">
        <f aca="false">IF(ISNUMBER(FIND("C", AC73, 1)), SUBSTITUTE(AC73, "C", "E"), SUBSTITUTE(AC73, "E", "C"))</f>
        <v>C69</v>
      </c>
      <c r="AG73" s="83" t="str">
        <f aca="false">IF(ISNUMBER(FIND("C", AD73, 1)), SUBSTITUTE(AD73, "C", "E"), SUBSTITUTE(AD73, "E", "C"))</f>
        <v>C72</v>
      </c>
      <c r="AH73" s="83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2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6" t="n">
        <f aca="false">IF(AND(ISNUMBER(RESULTADOS!C74),ISNUMBER(RESULTADOS!E74),ISNUMBER(C74),ISNUMBER(E74),C74=RESULTADOS!C74,E74=RESULTADOS!E74),2,0)</f>
        <v>0</v>
      </c>
      <c r="Z74" s="136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6" t="n">
        <f aca="false">IF(AND(ISNUMBER(RESULTADOS!C74),ISNUMBER(RESULTADOS!E74),ISNUMBER(C74),ISNUMBER(E74),AND(Z74=1,OR(C74=RESULTADOS!C74,E74=RESULTADOS!E74))),1,0)</f>
        <v>0</v>
      </c>
      <c r="AB74" s="83"/>
      <c r="AC74" s="83"/>
      <c r="AD74" s="83"/>
      <c r="AE74" s="83"/>
      <c r="AF74" s="83"/>
      <c r="AG74" s="83"/>
      <c r="AH74" s="83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customFormat="false" ht="12.75" hidden="false" customHeight="true" outlineLevel="0" collapsed="false">
      <c r="B77" s="17" t="s">
        <v>188</v>
      </c>
      <c r="C77" s="18" t="n">
        <v>3</v>
      </c>
      <c r="D77" s="16" t="s">
        <v>29</v>
      </c>
      <c r="E77" s="19" t="n">
        <v>1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6" t="n">
        <f aca="false">IF(AND(ISNUMBER(RESULTADOS!C77),ISNUMBER(RESULTADOS!E77),ISNUMBER(C77),ISNUMBER(E77),C77=RESULTADOS!C77,E77=RESULTADOS!E77),2,0)</f>
        <v>0</v>
      </c>
      <c r="Z77" s="136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6" t="n">
        <f aca="false">IF(AND(ISNUMBER(RESULTADOS!C77),ISNUMBER(RESULTADOS!E77),ISNUMBER(C77),ISNUMBER(E77),AND(Z77=1,OR(C77=RESULTADOS!C77,E77=RESULTADOS!E77))),1,0)</f>
        <v>0</v>
      </c>
      <c r="AB77" s="83"/>
      <c r="AC77" s="83"/>
      <c r="AD77" s="83"/>
      <c r="AE77" s="83"/>
      <c r="AF77" s="83"/>
      <c r="AG77" s="83"/>
      <c r="AH77" s="83"/>
    </row>
    <row r="78" customFormat="false" ht="12.75" hidden="false" customHeight="true" outlineLevel="0" collapsed="false">
      <c r="B78" s="17" t="s">
        <v>190</v>
      </c>
      <c r="C78" s="18" t="n">
        <v>2</v>
      </c>
      <c r="D78" s="16" t="s">
        <v>29</v>
      </c>
      <c r="E78" s="19" t="n">
        <v>0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9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6" t="n">
        <f aca="false">IF(AND(ISNUMBER(RESULTADOS!C78),ISNUMBER(RESULTADOS!E78),ISNUMBER(C78),ISNUMBER(E78),C78=RESULTADOS!C78,E78=RESULTADOS!E78),2,0)</f>
        <v>0</v>
      </c>
      <c r="Z78" s="136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6" t="n">
        <f aca="false">IF(AND(ISNUMBER(RESULTADOS!C78),ISNUMBER(RESULTADOS!E78),ISNUMBER(C78),ISNUMBER(E78),AND(Z78=1,OR(C78=RESULTADOS!C78,E78=RESULTADOS!E78))),1,0)</f>
        <v>0</v>
      </c>
      <c r="AB78" s="83"/>
      <c r="AC78" s="83" t="s">
        <v>192</v>
      </c>
      <c r="AD78" s="83" t="s">
        <v>193</v>
      </c>
      <c r="AE78" s="83" t="s">
        <v>194</v>
      </c>
      <c r="AF78" s="83" t="str">
        <f aca="false">IF(ISNUMBER(FIND("C", AC78, 1)), SUBSTITUTE(AC78, "C", "E"), SUBSTITUTE(AC78, "E", "C"))</f>
        <v>E77</v>
      </c>
      <c r="AG78" s="83" t="str">
        <f aca="false">IF(ISNUMBER(FIND("C", AD78, 1)), SUBSTITUTE(AD78, "C", "E"), SUBSTITUTE(AD78, "E", "C"))</f>
        <v>E79</v>
      </c>
      <c r="AH78" s="83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2</v>
      </c>
      <c r="D79" s="16" t="s">
        <v>29</v>
      </c>
      <c r="E79" s="19" t="n">
        <v>0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5</v>
      </c>
      <c r="O79" s="16" t="n">
        <f aca="true">SUM(INDIRECT($AF79),INDIRECT($AG79),INDIRECT($AH79))</f>
        <v>8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6" t="n">
        <f aca="false">IF(AND(ISNUMBER(RESULTADOS!C79),ISNUMBER(RESULTADOS!E79),ISNUMBER(C79),ISNUMBER(E79),C79=RESULTADOS!C79,E79=RESULTADOS!E79),2,0)</f>
        <v>0</v>
      </c>
      <c r="Z79" s="136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6" t="n">
        <f aca="false">IF(AND(ISNUMBER(RESULTADOS!C79),ISNUMBER(RESULTADOS!E79),ISNUMBER(C79),ISNUMBER(E79),AND(Z79=1,OR(C79=RESULTADOS!C79,E79=RESULTADOS!E79))),1,0)</f>
        <v>0</v>
      </c>
      <c r="AB79" s="83"/>
      <c r="AC79" s="83" t="s">
        <v>195</v>
      </c>
      <c r="AD79" s="83" t="s">
        <v>196</v>
      </c>
      <c r="AE79" s="83" t="s">
        <v>197</v>
      </c>
      <c r="AF79" s="83" t="str">
        <f aca="false">IF(ISNUMBER(FIND("C", AC79, 1)), SUBSTITUTE(AC79, "C", "E"), SUBSTITUTE(AC79, "E", "C"))</f>
        <v>C77</v>
      </c>
      <c r="AG79" s="83" t="str">
        <f aca="false">IF(ISNUMBER(FIND("C", AD79, 1)), SUBSTITUTE(AD79, "C", "E"), SUBSTITUTE(AD79, "E", "C"))</f>
        <v>C80</v>
      </c>
      <c r="AH79" s="83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2</v>
      </c>
      <c r="D80" s="16" t="s">
        <v>29</v>
      </c>
      <c r="E80" s="19" t="n">
        <v>3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2</v>
      </c>
      <c r="O80" s="16" t="n">
        <f aca="true">SUM(INDIRECT($AF80),INDIRECT($AG80),INDIRECT($AH80))</f>
        <v>9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6" t="n">
        <f aca="false">IF(AND(ISNUMBER(RESULTADOS!C80),ISNUMBER(RESULTADOS!E80),ISNUMBER(C80),ISNUMBER(E80),C80=RESULTADOS!C80,E80=RESULTADOS!E80),2,0)</f>
        <v>0</v>
      </c>
      <c r="Z80" s="136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6" t="n">
        <f aca="false">IF(AND(ISNUMBER(RESULTADOS!C80),ISNUMBER(RESULTADOS!E80),ISNUMBER(C80),ISNUMBER(E80),AND(Z80=1,OR(C80=RESULTADOS!C80,E80=RESULTADOS!E80))),1,0)</f>
        <v>0</v>
      </c>
      <c r="AB80" s="83"/>
      <c r="AC80" s="83" t="s">
        <v>198</v>
      </c>
      <c r="AD80" s="83" t="s">
        <v>199</v>
      </c>
      <c r="AE80" s="83" t="s">
        <v>200</v>
      </c>
      <c r="AF80" s="83" t="str">
        <f aca="false">IF(ISNUMBER(FIND("C", AC80, 1)), SUBSTITUTE(AC80, "C", "E"), SUBSTITUTE(AC80, "E", "C"))</f>
        <v>C78</v>
      </c>
      <c r="AG80" s="83" t="str">
        <f aca="false">IF(ISNUMBER(FIND("C", AD80, 1)), SUBSTITUTE(AD80, "C", "E"), SUBSTITUTE(AD80, "E", "C"))</f>
        <v>E80</v>
      </c>
      <c r="AH80" s="83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4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6" t="n">
        <f aca="false">IF(AND(ISNUMBER(RESULTADOS!C81),ISNUMBER(RESULTADOS!E81),ISNUMBER(C81),ISNUMBER(E81),C81=RESULTADOS!C81,E81=RESULTADOS!E81),2,0)</f>
        <v>0</v>
      </c>
      <c r="Z81" s="136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6" t="n">
        <f aca="false">IF(AND(ISNUMBER(RESULTADOS!C81),ISNUMBER(RESULTADOS!E81),ISNUMBER(C81),ISNUMBER(E81),AND(Z81=1,OR(C81=RESULTADOS!C81,E81=RESULTADOS!E81))),1,0)</f>
        <v>0</v>
      </c>
      <c r="AB81" s="83"/>
      <c r="AC81" s="83" t="s">
        <v>201</v>
      </c>
      <c r="AD81" s="83" t="s">
        <v>202</v>
      </c>
      <c r="AE81" s="83" t="s">
        <v>203</v>
      </c>
      <c r="AF81" s="83" t="str">
        <f aca="false">IF(ISNUMBER(FIND("C", AC81, 1)), SUBSTITUTE(AC81, "C", "E"), SUBSTITUTE(AC81, "E", "C"))</f>
        <v>E78</v>
      </c>
      <c r="AG81" s="83" t="str">
        <f aca="false">IF(ISNUMBER(FIND("C", AD81, 1)), SUBSTITUTE(AD81, "C", "E"), SUBSTITUTE(AD81, "E", "C"))</f>
        <v>C79</v>
      </c>
      <c r="AH81" s="83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3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6" t="n">
        <f aca="false">IF(AND(ISNUMBER(RESULTADOS!C82),ISNUMBER(RESULTADOS!E82),ISNUMBER(C82),ISNUMBER(E82),C82=RESULTADOS!C82,E82=RESULTADOS!E82),2,0)</f>
        <v>0</v>
      </c>
      <c r="Z82" s="136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6" t="n">
        <f aca="false">IF(AND(ISNUMBER(RESULTADOS!C82),ISNUMBER(RESULTADOS!E82),ISNUMBER(C82),ISNUMBER(E82),AND(Z82=1,OR(C82=RESULTADOS!C82,E82=RESULTADOS!E82))),1,0)</f>
        <v>0</v>
      </c>
      <c r="AB82" s="83"/>
      <c r="AC82" s="83"/>
      <c r="AD82" s="83"/>
      <c r="AE82" s="83"/>
      <c r="AF82" s="83"/>
      <c r="AG82" s="83"/>
      <c r="AH82" s="83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 customFormat="false" ht="12.75" hidden="false" customHeight="true" outlineLevel="0" collapsed="false">
      <c r="B85" s="17" t="s">
        <v>205</v>
      </c>
      <c r="C85" s="18" t="n">
        <v>4</v>
      </c>
      <c r="D85" s="16" t="s">
        <v>29</v>
      </c>
      <c r="E85" s="19" t="n">
        <v>1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6" t="n">
        <f aca="false">IF(AND(ISNUMBER(RESULTADOS!C85),ISNUMBER(RESULTADOS!E85),ISNUMBER(C85),ISNUMBER(E85),C85=RESULTADOS!C85,E85=RESULTADOS!E85),2,0)</f>
        <v>0</v>
      </c>
      <c r="Z85" s="136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6" t="n">
        <f aca="false">IF(AND(ISNUMBER(RESULTADOS!C85),ISNUMBER(RESULTADOS!E85),ISNUMBER(C85),ISNUMBER(E85),AND(Z85=1,OR(C85=RESULTADOS!C85,E85=RESULTADOS!E85))),1,0)</f>
        <v>0</v>
      </c>
      <c r="AB85" s="83"/>
      <c r="AC85" s="83"/>
      <c r="AD85" s="83"/>
      <c r="AE85" s="83"/>
      <c r="AF85" s="83"/>
      <c r="AG85" s="83"/>
      <c r="AH85" s="83"/>
    </row>
    <row r="86" customFormat="false" ht="12.75" hidden="false" customHeight="true" outlineLevel="0" collapsed="false">
      <c r="B86" s="17" t="s">
        <v>207</v>
      </c>
      <c r="C86" s="18" t="n">
        <v>1</v>
      </c>
      <c r="D86" s="16" t="s">
        <v>29</v>
      </c>
      <c r="E86" s="19" t="n">
        <v>2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6" t="n">
        <f aca="false">N86-O86</f>
        <v>1</v>
      </c>
      <c r="N86" s="16" t="n">
        <f aca="true">SUM(INDIRECT($AC86),INDIRECT($AD86),INDIRECT($AE86))</f>
        <v>5</v>
      </c>
      <c r="O86" s="16" t="n">
        <f aca="true">SUM(INDIRECT($AF86),INDIRECT($AG86),INDIRECT($AH86))</f>
        <v>4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6" t="n">
        <f aca="false">IF(AND(ISNUMBER(RESULTADOS!C86),ISNUMBER(RESULTADOS!E86),ISNUMBER(C86),ISNUMBER(E86),C86=RESULTADOS!C86,E86=RESULTADOS!E86),2,0)</f>
        <v>0</v>
      </c>
      <c r="Z86" s="136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6" t="n">
        <f aca="false">IF(AND(ISNUMBER(RESULTADOS!C86),ISNUMBER(RESULTADOS!E86),ISNUMBER(C86),ISNUMBER(E86),AND(Z86=1,OR(C86=RESULTADOS!C86,E86=RESULTADOS!E86))),1,0)</f>
        <v>0</v>
      </c>
      <c r="AB86" s="83"/>
      <c r="AC86" s="83" t="s">
        <v>209</v>
      </c>
      <c r="AD86" s="83" t="s">
        <v>210</v>
      </c>
      <c r="AE86" s="83" t="s">
        <v>211</v>
      </c>
      <c r="AF86" s="83" t="str">
        <f aca="false">IF(ISNUMBER(FIND("C", AC86, 1)), SUBSTITUTE(AC86, "C", "E"), SUBSTITUTE(AC86, "E", "C"))</f>
        <v>C86</v>
      </c>
      <c r="AG86" s="83" t="str">
        <f aca="false">IF(ISNUMBER(FIND("C", AD86, 1)), SUBSTITUTE(AD86, "C", "E"), SUBSTITUTE(AD86, "E", "C"))</f>
        <v>E88</v>
      </c>
      <c r="AH86" s="83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3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9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6" t="n">
        <f aca="false">IF(AND(ISNUMBER(RESULTADOS!C87),ISNUMBER(RESULTADOS!E87),ISNUMBER(C87),ISNUMBER(E87),C87=RESULTADOS!C87,E87=RESULTADOS!E87),2,0)</f>
        <v>0</v>
      </c>
      <c r="Z87" s="136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6" t="n">
        <f aca="false">IF(AND(ISNUMBER(RESULTADOS!C87),ISNUMBER(RESULTADOS!E87),ISNUMBER(C87),ISNUMBER(E87),AND(Z87=1,OR(C87=RESULTADOS!C87,E87=RESULTADOS!E87))),1,0)</f>
        <v>0</v>
      </c>
      <c r="AB87" s="83"/>
      <c r="AC87" s="83" t="s">
        <v>212</v>
      </c>
      <c r="AD87" s="83" t="s">
        <v>213</v>
      </c>
      <c r="AE87" s="83" t="s">
        <v>214</v>
      </c>
      <c r="AF87" s="83" t="str">
        <f aca="false">IF(ISNUMBER(FIND("C", AC87, 1)), SUBSTITUTE(AC87, "C", "E"), SUBSTITUTE(AC87, "E", "C"))</f>
        <v>E85</v>
      </c>
      <c r="AG87" s="83" t="str">
        <f aca="false">IF(ISNUMBER(FIND("C", AD87, 1)), SUBSTITUTE(AD87, "C", "E"), SUBSTITUTE(AD87, "E", "C"))</f>
        <v>E87</v>
      </c>
      <c r="AH87" s="83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1</v>
      </c>
      <c r="D88" s="16" t="s">
        <v>29</v>
      </c>
      <c r="E88" s="19" t="n">
        <v>1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6" t="n">
        <f aca="false">N88-O88</f>
        <v>-2</v>
      </c>
      <c r="N88" s="16" t="n">
        <f aca="true">SUM(INDIRECT($AC88),INDIRECT($AD88),INDIRECT($AE88))</f>
        <v>4</v>
      </c>
      <c r="O88" s="16" t="n">
        <f aca="true">SUM(INDIRECT($AF88),INDIRECT($AG88),INDIRECT($AH88))</f>
        <v>6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6" t="n">
        <f aca="false">IF(AND(ISNUMBER(RESULTADOS!C88),ISNUMBER(RESULTADOS!E88),ISNUMBER(C88),ISNUMBER(E88),C88=RESULTADOS!C88,E88=RESULTADOS!E88),2,0)</f>
        <v>0</v>
      </c>
      <c r="Z88" s="136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6" t="n">
        <f aca="false">IF(AND(ISNUMBER(RESULTADOS!C88),ISNUMBER(RESULTADOS!E88),ISNUMBER(C88),ISNUMBER(E88),AND(Z88=1,OR(C88=RESULTADOS!C88,E88=RESULTADOS!E88))),1,0)</f>
        <v>0</v>
      </c>
      <c r="AB88" s="83"/>
      <c r="AC88" s="83" t="s">
        <v>215</v>
      </c>
      <c r="AD88" s="83" t="s">
        <v>216</v>
      </c>
      <c r="AE88" s="83" t="s">
        <v>217</v>
      </c>
      <c r="AF88" s="83" t="str">
        <f aca="false">IF(ISNUMBER(FIND("C", AC88, 1)), SUBSTITUTE(AC88, "C", "E"), SUBSTITUTE(AC88, "E", "C"))</f>
        <v>C85</v>
      </c>
      <c r="AG88" s="83" t="str">
        <f aca="false">IF(ISNUMBER(FIND("C", AD88, 1)), SUBSTITUTE(AD88, "C", "E"), SUBSTITUTE(AD88, "E", "C"))</f>
        <v>C88</v>
      </c>
      <c r="AH88" s="83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1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-5</v>
      </c>
      <c r="N89" s="35" t="n">
        <f aca="true">SUM(INDIRECT($AC89),INDIRECT($AD89),INDIRECT($AE89))</f>
        <v>2</v>
      </c>
      <c r="O89" s="35" t="n">
        <f aca="true">SUM(INDIRECT($AF89),INDIRECT($AG89),INDIRECT($AH89))</f>
        <v>7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6" t="n">
        <f aca="false">IF(AND(ISNUMBER(RESULTADOS!C89),ISNUMBER(RESULTADOS!E89),ISNUMBER(C89),ISNUMBER(E89),C89=RESULTADOS!C89,E89=RESULTADOS!E89),2,0)</f>
        <v>0</v>
      </c>
      <c r="Z89" s="136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6" t="n">
        <f aca="false">IF(AND(ISNUMBER(RESULTADOS!C89),ISNUMBER(RESULTADOS!E89),ISNUMBER(C89),ISNUMBER(E89),AND(Z89=1,OR(C89=RESULTADOS!C89,E89=RESULTADOS!E89))),1,0)</f>
        <v>0</v>
      </c>
      <c r="AB89" s="83"/>
      <c r="AC89" s="83" t="s">
        <v>218</v>
      </c>
      <c r="AD89" s="83" t="s">
        <v>219</v>
      </c>
      <c r="AE89" s="83" t="s">
        <v>220</v>
      </c>
      <c r="AF89" s="83" t="str">
        <f aca="false">IF(ISNUMBER(FIND("C", AC89, 1)), SUBSTITUTE(AC89, "C", "E"), SUBSTITUTE(AC89, "E", "C"))</f>
        <v>E86</v>
      </c>
      <c r="AG89" s="83" t="str">
        <f aca="false">IF(ISNUMBER(FIND("C", AD89, 1)), SUBSTITUTE(AD89, "C", "E"), SUBSTITUTE(AD89, "E", "C"))</f>
        <v>C87</v>
      </c>
      <c r="AH89" s="83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2</v>
      </c>
      <c r="D90" s="35" t="s">
        <v>29</v>
      </c>
      <c r="E90" s="39" t="n">
        <v>2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6" t="n">
        <f aca="false">IF(AND(ISNUMBER(RESULTADOS!C90),ISNUMBER(RESULTADOS!E90),ISNUMBER(C90),ISNUMBER(E90),C90=RESULTADOS!C90,E90=RESULTADOS!E90),2,0)</f>
        <v>0</v>
      </c>
      <c r="Z90" s="136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6" t="n">
        <f aca="false">IF(AND(ISNUMBER(RESULTADOS!C90),ISNUMBER(RESULTADOS!E90),ISNUMBER(C90),ISNUMBER(E90),AND(Z90=1,OR(C90=RESULTADOS!C90,E90=RESULTADOS!E90))),1,0)</f>
        <v>0</v>
      </c>
      <c r="AB90" s="83"/>
      <c r="AC90" s="83"/>
      <c r="AD90" s="83"/>
      <c r="AE90" s="83"/>
      <c r="AF90" s="83"/>
      <c r="AG90" s="83"/>
      <c r="AH90" s="83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 customFormat="false" ht="12.75" hidden="false" customHeight="true" outlineLevel="0" collapsed="false">
      <c r="B93" s="17" t="s">
        <v>222</v>
      </c>
      <c r="C93" s="18" t="n">
        <v>1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6" t="n">
        <f aca="false">IF(AND(ISNUMBER(RESULTADOS!C93),ISNUMBER(RESULTADOS!E93),ISNUMBER(C93),ISNUMBER(E93),C93=RESULTADOS!C93,E93=RESULTADOS!E93),2,0)</f>
        <v>0</v>
      </c>
      <c r="Z93" s="136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6" t="n">
        <f aca="false">IF(AND(ISNUMBER(RESULTADOS!C93),ISNUMBER(RESULTADOS!E93),ISNUMBER(C93),ISNUMBER(E93),AND(Z93=1,OR(C93=RESULTADOS!C93,E93=RESULTADOS!E93))),1,0)</f>
        <v>0</v>
      </c>
      <c r="AB93" s="83"/>
      <c r="AC93" s="83"/>
      <c r="AD93" s="83"/>
      <c r="AE93" s="83"/>
      <c r="AF93" s="83"/>
      <c r="AG93" s="83"/>
      <c r="AH93" s="83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0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3</v>
      </c>
      <c r="N94" s="16" t="n">
        <f aca="true">SUM(INDIRECT($AC94),INDIRECT($AD94),INDIRECT($AE94))</f>
        <v>6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6" t="n">
        <f aca="false">IF(AND(ISNUMBER(RESULTADOS!C94),ISNUMBER(RESULTADOS!E94),ISNUMBER(C94),ISNUMBER(E94),C94=RESULTADOS!C94,E94=RESULTADOS!E94),2,0)</f>
        <v>0</v>
      </c>
      <c r="Z94" s="136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6" t="n">
        <f aca="false">IF(AND(ISNUMBER(RESULTADOS!C94),ISNUMBER(RESULTADOS!E94),ISNUMBER(C94),ISNUMBER(E94),AND(Z94=1,OR(C94=RESULTADOS!C94,E94=RESULTADOS!E94))),1,0)</f>
        <v>0</v>
      </c>
      <c r="AB94" s="83"/>
      <c r="AC94" s="83" t="s">
        <v>226</v>
      </c>
      <c r="AD94" s="83" t="s">
        <v>227</v>
      </c>
      <c r="AE94" s="83" t="s">
        <v>228</v>
      </c>
      <c r="AF94" s="83" t="str">
        <f aca="false">IF(ISNUMBER(FIND("C", AC94, 1)), SUBSTITUTE(AC94, "C", "E"), SUBSTITUTE(AC94, "E", "C"))</f>
        <v>C93</v>
      </c>
      <c r="AG94" s="83" t="str">
        <f aca="false">IF(ISNUMBER(FIND("C", AD94, 1)), SUBSTITUTE(AD94, "C", "E"), SUBSTITUTE(AD94, "E", "C"))</f>
        <v>C96</v>
      </c>
      <c r="AH94" s="83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0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6" t="n">
        <f aca="false">IF(AND(ISNUMBER(RESULTADOS!C95),ISNUMBER(RESULTADOS!E95),ISNUMBER(C95),ISNUMBER(E95),C95=RESULTADOS!C95,E95=RESULTADOS!E95),2,0)</f>
        <v>0</v>
      </c>
      <c r="Z95" s="136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6" t="n">
        <f aca="false">IF(AND(ISNUMBER(RESULTADOS!C95),ISNUMBER(RESULTADOS!E95),ISNUMBER(C95),ISNUMBER(E95),AND(Z95=1,OR(C95=RESULTADOS!C95,E95=RESULTADOS!E95))),1,0)</f>
        <v>0</v>
      </c>
      <c r="AB95" s="83"/>
      <c r="AC95" s="83" t="s">
        <v>229</v>
      </c>
      <c r="AD95" s="83" t="s">
        <v>230</v>
      </c>
      <c r="AE95" s="83" t="s">
        <v>231</v>
      </c>
      <c r="AF95" s="83" t="str">
        <f aca="false">IF(ISNUMBER(FIND("C", AC95, 1)), SUBSTITUTE(AC95, "C", "E"), SUBSTITUTE(AC95, "E", "C"))</f>
        <v>E94</v>
      </c>
      <c r="AG95" s="83" t="str">
        <f aca="false">IF(ISNUMBER(FIND("C", AD95, 1)), SUBSTITUTE(AD95, "C", "E"), SUBSTITUTE(AD95, "E", "C"))</f>
        <v>C95</v>
      </c>
      <c r="AH95" s="83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1</v>
      </c>
      <c r="D96" s="16" t="s">
        <v>29</v>
      </c>
      <c r="E96" s="18" t="n">
        <v>3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6" t="n">
        <f aca="false">IF(AND(ISNUMBER(RESULTADOS!C96),ISNUMBER(RESULTADOS!E96),ISNUMBER(C96),ISNUMBER(E96),C96=RESULTADOS!C96,E96=RESULTADOS!E96),2,0)</f>
        <v>0</v>
      </c>
      <c r="Z96" s="136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6" t="n">
        <f aca="false">IF(AND(ISNUMBER(RESULTADOS!C96),ISNUMBER(RESULTADOS!E96),ISNUMBER(C96),ISNUMBER(E96),AND(Z96=1,OR(C96=RESULTADOS!C96,E96=RESULTADOS!E96))),1,0)</f>
        <v>0</v>
      </c>
      <c r="AB96" s="83"/>
      <c r="AC96" s="83" t="s">
        <v>232</v>
      </c>
      <c r="AD96" s="83" t="s">
        <v>233</v>
      </c>
      <c r="AE96" s="83" t="s">
        <v>234</v>
      </c>
      <c r="AF96" s="83" t="str">
        <f aca="false">IF(ISNUMBER(FIND("C", AC96, 1)), SUBSTITUTE(AC96, "C", "E"), SUBSTITUTE(AC96, "E", "C"))</f>
        <v>E93</v>
      </c>
      <c r="AG96" s="83" t="str">
        <f aca="false">IF(ISNUMBER(FIND("C", AD96, 1)), SUBSTITUTE(AD96, "C", "E"), SUBSTITUTE(AD96, "E", "C"))</f>
        <v>E95</v>
      </c>
      <c r="AH96" s="83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1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-7</v>
      </c>
      <c r="N97" s="35" t="n">
        <f aca="true">SUM(INDIRECT($AC97),INDIRECT($AD97),INDIRECT($AE97))</f>
        <v>1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6" t="n">
        <f aca="false">IF(AND(ISNUMBER(RESULTADOS!C97),ISNUMBER(RESULTADOS!E97),ISNUMBER(C97),ISNUMBER(E97),C97=RESULTADOS!C97,E97=RESULTADOS!E97),2,0)</f>
        <v>0</v>
      </c>
      <c r="Z97" s="136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6" t="n">
        <f aca="false">IF(AND(ISNUMBER(RESULTADOS!C97),ISNUMBER(RESULTADOS!E97),ISNUMBER(C97),ISNUMBER(E97),AND(Z97=1,OR(C97=RESULTADOS!C97,E97=RESULTADOS!E97))),1,0)</f>
        <v>0</v>
      </c>
      <c r="AB97" s="83"/>
      <c r="AC97" s="83" t="s">
        <v>235</v>
      </c>
      <c r="AD97" s="83" t="s">
        <v>236</v>
      </c>
      <c r="AE97" s="83" t="s">
        <v>237</v>
      </c>
      <c r="AF97" s="83" t="str">
        <f aca="false">IF(ISNUMBER(FIND("C", AC97, 1)), SUBSTITUTE(AC97, "C", "E"), SUBSTITUTE(AC97, "E", "C"))</f>
        <v>C94</v>
      </c>
      <c r="AG97" s="83" t="str">
        <f aca="false">IF(ISNUMBER(FIND("C", AD97, 1)), SUBSTITUTE(AD97, "C", "E"), SUBSTITUTE(AD97, "E", "C"))</f>
        <v>E96</v>
      </c>
      <c r="AH97" s="83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3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6" t="n">
        <f aca="false">IF(AND(ISNUMBER(RESULTADOS!C98),ISNUMBER(RESULTADOS!E98),ISNUMBER(C98),ISNUMBER(E98),C98=RESULTADOS!C98,E98=RESULTADOS!E98),2,0)</f>
        <v>0</v>
      </c>
      <c r="Z98" s="136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6" t="n">
        <f aca="false">IF(AND(ISNUMBER(RESULTADOS!C98),ISNUMBER(RESULTADOS!E98),ISNUMBER(C98),ISNUMBER(E98),AND(Z98=1,OR(C98=RESULTADOS!C98,E98=RESULTADOS!E98))),1,0)</f>
        <v>0</v>
      </c>
      <c r="AB98" s="83"/>
      <c r="AC98" s="83"/>
      <c r="AD98" s="83"/>
      <c r="AE98" s="83"/>
      <c r="AF98" s="83"/>
      <c r="AG98" s="83"/>
      <c r="AH98" s="83"/>
    </row>
    <row r="99" customFormat="false" ht="12.75" hidden="false" customHeight="true" outlineLevel="0" collapsed="false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customFormat="false" ht="12.75" hidden="false" customHeight="true" outlineLevel="0" collapsed="false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89" colorId="64" zoomScale="100" zoomScaleNormal="100" zoomScalePageLayoutView="100" workbookViewId="0">
      <selection pane="topLeft" activeCell="A89" activeCellId="0" sqref="A89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249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1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0</v>
      </c>
      <c r="D7" s="16" t="s">
        <v>29</v>
      </c>
      <c r="E7" s="19" t="n">
        <v>0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1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0</v>
      </c>
      <c r="N8" s="16" t="n">
        <f aca="true">SUM(INDIRECT($AC8),INDIRECT($AD8),INDIRECT($AE8))</f>
        <v>2</v>
      </c>
      <c r="O8" s="16" t="n">
        <f aca="true">SUM(INDIRECT($AF8),INDIRECT($AG8),INDIRECT($AH8))</f>
        <v>2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1</v>
      </c>
      <c r="D9" s="16" t="s">
        <v>29</v>
      </c>
      <c r="E9" s="19" t="n">
        <v>2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1</v>
      </c>
      <c r="D10" s="35" t="s">
        <v>29</v>
      </c>
      <c r="E10" s="39" t="n">
        <v>1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2</v>
      </c>
      <c r="D13" s="16" t="s">
        <v>29</v>
      </c>
      <c r="E13" s="19" t="n">
        <v>0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2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1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1</v>
      </c>
      <c r="D15" s="16" t="s">
        <v>29</v>
      </c>
      <c r="E15" s="19" t="n">
        <v>0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2</v>
      </c>
      <c r="N15" s="16" t="n">
        <f aca="true">SUM(INDIRECT($AC15),INDIRECT($AD15),INDIRECT($AE15))</f>
        <v>4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1</v>
      </c>
      <c r="D16" s="16" t="s">
        <v>29</v>
      </c>
      <c r="E16" s="19" t="n">
        <v>0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1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4</v>
      </c>
      <c r="N17" s="35" t="n">
        <f aca="true">SUM(INDIRECT($AC17),INDIRECT($AD17),INDIRECT($AE17))</f>
        <v>5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1</v>
      </c>
      <c r="D18" s="35" t="s">
        <v>29</v>
      </c>
      <c r="E18" s="39" t="n">
        <v>1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1</v>
      </c>
      <c r="D22" s="16" t="s">
        <v>29</v>
      </c>
      <c r="E22" s="19" t="n">
        <v>3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8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0</v>
      </c>
      <c r="D23" s="16" t="s">
        <v>29</v>
      </c>
      <c r="E23" s="19" t="n">
        <v>2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-1</v>
      </c>
      <c r="N23" s="16" t="n">
        <f aca="true">SUM(INDIRECT($AC23),INDIRECT($AD23),INDIRECT($AE23))</f>
        <v>4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4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-9</v>
      </c>
      <c r="N24" s="16" t="n">
        <f aca="true">SUM(INDIRECT($AC24),INDIRECT($AD24),INDIRECT($AE24))</f>
        <v>1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6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1</v>
      </c>
      <c r="D26" s="35" t="s">
        <v>29</v>
      </c>
      <c r="E26" s="39" t="n">
        <v>2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2</v>
      </c>
      <c r="D29" s="16" t="s">
        <v>29</v>
      </c>
      <c r="E29" s="19" t="n">
        <v>2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1</v>
      </c>
      <c r="D30" s="16" t="s">
        <v>29</v>
      </c>
      <c r="E30" s="19" t="n">
        <v>1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2</v>
      </c>
      <c r="O30" s="16" t="n">
        <f aca="true">SUM(INDIRECT($AF30),INDIRECT($AG30),INDIRECT($AH30))</f>
        <v>1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0</v>
      </c>
      <c r="D31" s="16" t="s">
        <v>29</v>
      </c>
      <c r="E31" s="19" t="n">
        <v>1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2</v>
      </c>
      <c r="D32" s="16" t="s">
        <v>29</v>
      </c>
      <c r="E32" s="19" t="n">
        <v>0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1</v>
      </c>
      <c r="D33" s="16" t="s">
        <v>29</v>
      </c>
      <c r="E33" s="19" t="n">
        <v>2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5" t="n">
        <f aca="false">N33-O33</f>
        <v>1</v>
      </c>
      <c r="N33" s="35" t="n">
        <f aca="true">SUM(INDIRECT($AC33),INDIRECT($AD33),INDIRECT($AE33))</f>
        <v>4</v>
      </c>
      <c r="O33" s="35" t="n">
        <f aca="true">SUM(INDIRECT($AF33),INDIRECT($AG33),INDIRECT($AH33))</f>
        <v>3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0</v>
      </c>
      <c r="D34" s="35" t="s">
        <v>29</v>
      </c>
      <c r="E34" s="39" t="n">
        <v>0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4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2</v>
      </c>
      <c r="D38" s="16" t="s">
        <v>29</v>
      </c>
      <c r="E38" s="19" t="n">
        <v>2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6" t="n">
        <f aca="false">N38-O38</f>
        <v>5</v>
      </c>
      <c r="N38" s="16" t="n">
        <f aca="true">SUM(INDIRECT($AC38),INDIRECT($AD38),INDIRECT($AE38))</f>
        <v>7</v>
      </c>
      <c r="O38" s="16" t="n">
        <f aca="true">SUM(INDIRECT($AF38),INDIRECT($AG38),INDIRECT($AH38))</f>
        <v>2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1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3</v>
      </c>
      <c r="D40" s="16" t="s">
        <v>29</v>
      </c>
      <c r="E40" s="19" t="n">
        <v>0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-9</v>
      </c>
      <c r="N40" s="16" t="n">
        <f aca="true">SUM(INDIRECT($AC40),INDIRECT($AD40),INDIRECT($AE40))</f>
        <v>0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1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3</v>
      </c>
      <c r="N41" s="35" t="n">
        <f aca="true">SUM(INDIRECT($AC41),INDIRECT($AD41),INDIRECT($AE41))</f>
        <v>6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2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1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0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0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4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1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-2</v>
      </c>
      <c r="N48" s="16" t="n">
        <f aca="true">SUM(INDIRECT($AC48),INDIRECT($AD48),INDIRECT($AE48))</f>
        <v>2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2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-4</v>
      </c>
      <c r="N49" s="35" t="n">
        <f aca="true">SUM(INDIRECT($AC49),INDIRECT($AD49),INDIRECT($AE49))</f>
        <v>0</v>
      </c>
      <c r="O49" s="35" t="n">
        <f aca="true">SUM(INDIRECT($AF49),INDIRECT($AG49),INDIRECT($AH49))</f>
        <v>4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1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2</v>
      </c>
      <c r="D53" s="16" t="s">
        <v>29</v>
      </c>
      <c r="E53" s="19" t="n">
        <v>1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1</v>
      </c>
      <c r="D54" s="16" t="s">
        <v>29</v>
      </c>
      <c r="E54" s="19" t="n">
        <v>0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6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0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1</v>
      </c>
      <c r="N55" s="16" t="n">
        <f aca="true">SUM(INDIRECT($AC55),INDIRECT($AD55),INDIRECT($AE55))</f>
        <v>4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2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6" t="n">
        <f aca="false">N56-O56</f>
        <v>-1</v>
      </c>
      <c r="N56" s="16" t="n">
        <f aca="true">SUM(INDIRECT($AC56),INDIRECT($AD56),INDIRECT($AE56))</f>
        <v>2</v>
      </c>
      <c r="O56" s="16" t="n">
        <f aca="true">SUM(INDIRECT($AF56),INDIRECT($AG56),INDIRECT($AH56))</f>
        <v>3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1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-5</v>
      </c>
      <c r="N57" s="35" t="n">
        <f aca="true">SUM(INDIRECT($AC57),INDIRECT($AD57),INDIRECT($AE57))</f>
        <v>0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2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5</v>
      </c>
      <c r="D61" s="16" t="s">
        <v>29</v>
      </c>
      <c r="E61" s="19" t="n">
        <v>0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2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2</v>
      </c>
      <c r="D63" s="16" t="s">
        <v>29</v>
      </c>
      <c r="E63" s="19" t="n">
        <v>0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-9</v>
      </c>
      <c r="N63" s="16" t="n">
        <f aca="true">SUM(INDIRECT($AC63),INDIRECT($AD63),INDIRECT($AE63))</f>
        <v>1</v>
      </c>
      <c r="O63" s="16" t="n">
        <f aca="true">SUM(INDIRECT($AF63),INDIRECT($AG63),INDIRECT($AH63))</f>
        <v>10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3</v>
      </c>
      <c r="D64" s="16" t="s">
        <v>29</v>
      </c>
      <c r="E64" s="19" t="n">
        <v>1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9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0</v>
      </c>
      <c r="D65" s="16" t="s">
        <v>29</v>
      </c>
      <c r="E65" s="19" t="n">
        <v>2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1</v>
      </c>
      <c r="N65" s="35" t="n">
        <f aca="true">SUM(INDIRECT($AC65),INDIRECT($AD65),INDIRECT($AE65))</f>
        <v>5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0</v>
      </c>
      <c r="D66" s="35" t="s">
        <v>29</v>
      </c>
      <c r="E66" s="39" t="n">
        <v>2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1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2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2</v>
      </c>
      <c r="D71" s="16" t="s">
        <v>29</v>
      </c>
      <c r="E71" s="19" t="n">
        <v>0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-5</v>
      </c>
      <c r="N71" s="16" t="n">
        <f aca="true">SUM(INDIRECT($AC71),INDIRECT($AD71),INDIRECT($AE71))</f>
        <v>1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2</v>
      </c>
      <c r="D72" s="16" t="s">
        <v>29</v>
      </c>
      <c r="E72" s="19" t="n">
        <v>1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1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-1</v>
      </c>
      <c r="N73" s="35" t="n">
        <f aca="true">SUM(INDIRECT($AC73),INDIRECT($AD73),INDIRECT($AE73))</f>
        <v>4</v>
      </c>
      <c r="O73" s="35" t="n">
        <f aca="true">SUM(INDIRECT($AF73),INDIRECT($AG73),INDIRECT($AH73))</f>
        <v>5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2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2</v>
      </c>
      <c r="D77" s="16" t="s">
        <v>29</v>
      </c>
      <c r="E77" s="19" t="n">
        <v>1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2</v>
      </c>
      <c r="D78" s="16" t="s">
        <v>29</v>
      </c>
      <c r="E78" s="19" t="n">
        <v>0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3</v>
      </c>
      <c r="N78" s="16" t="n">
        <f aca="true">SUM(INDIRECT($AC78),INDIRECT($AD78),INDIRECT($AE78))</f>
        <v>5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1</v>
      </c>
      <c r="D79" s="16" t="s">
        <v>29</v>
      </c>
      <c r="E79" s="19" t="n">
        <v>1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1</v>
      </c>
      <c r="D80" s="16" t="s">
        <v>29</v>
      </c>
      <c r="E80" s="19" t="n">
        <v>1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-4</v>
      </c>
      <c r="N80" s="16" t="n">
        <f aca="true">SUM(INDIRECT($AC80),INDIRECT($AD80),INDIRECT($AE80))</f>
        <v>1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2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5" t="n">
        <f aca="false">N81-O81</f>
        <v>4</v>
      </c>
      <c r="N81" s="35" t="n">
        <f aca="true">SUM(INDIRECT($AC81),INDIRECT($AD81),INDIRECT($AE81))</f>
        <v>5</v>
      </c>
      <c r="O81" s="35" t="n">
        <f aca="true">SUM(INDIRECT($AF81),INDIRECT($AG81),INDIRECT($AH81))</f>
        <v>1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0</v>
      </c>
      <c r="D82" s="35" t="s">
        <v>29</v>
      </c>
      <c r="E82" s="39" t="n">
        <v>2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2</v>
      </c>
      <c r="D85" s="16" t="s">
        <v>29</v>
      </c>
      <c r="E85" s="19" t="n">
        <v>0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1</v>
      </c>
      <c r="D86" s="16" t="s">
        <v>29</v>
      </c>
      <c r="E86" s="19" t="n">
        <v>2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2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1</v>
      </c>
      <c r="D88" s="16" t="s">
        <v>29</v>
      </c>
      <c r="E88" s="19" t="n">
        <v>0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-2</v>
      </c>
      <c r="N88" s="16" t="n">
        <f aca="true">SUM(INDIRECT($AC88),INDIRECT($AD88),INDIRECT($AE88))</f>
        <v>2</v>
      </c>
      <c r="O88" s="16" t="n">
        <f aca="true">SUM(INDIRECT($AF88),INDIRECT($AG88),INDIRECT($AH88))</f>
        <v>4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1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2</v>
      </c>
      <c r="O89" s="35" t="n">
        <f aca="true">SUM(INDIRECT($AF89),INDIRECT($AG89),INDIRECT($AH89))</f>
        <v>6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2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2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0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4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0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2</v>
      </c>
      <c r="O95" s="16" t="n">
        <f aca="true">SUM(INDIRECT($AF95),INDIRECT($AG95),INDIRECT($AH95))</f>
        <v>3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2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1</v>
      </c>
      <c r="D97" s="16" t="s">
        <v>29</v>
      </c>
      <c r="E97" s="19" t="n">
        <v>0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-6</v>
      </c>
      <c r="N97" s="35" t="n">
        <f aca="true">SUM(INDIRECT($AC97),INDIRECT($AD97),INDIRECT($AE97))</f>
        <v>0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2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00" activeCellId="0" sqref="A100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13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4</v>
      </c>
      <c r="V3" s="11"/>
      <c r="W3" s="11"/>
      <c r="X3" s="11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6" t="n">
        <f aca="false">IF(AND(ISNUMBER(RESULTADOS!C5),ISNUMBER(RESULTADOS!E5),ISNUMBER(C5),ISNUMBER(E5),C5=RESULTADOS!C5,E5=RESULTADOS!E5),2,0)</f>
        <v>2</v>
      </c>
      <c r="Z5" s="136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6" t="n">
        <f aca="false">IF(AND(ISNUMBER(RESULTADOS!C5),ISNUMBER(RESULTADOS!E5),ISNUMBER(C5),ISNUMBER(E5),AND(Z5=1,OR(C5=RESULTADOS!C5,E5=RESULTADOS!E5))),1,0)</f>
        <v>1</v>
      </c>
      <c r="AB5" s="83"/>
      <c r="AC5" s="83"/>
      <c r="AD5" s="83"/>
      <c r="AE5" s="83"/>
      <c r="AF5" s="83"/>
      <c r="AG5" s="83"/>
      <c r="AH5" s="83"/>
    </row>
    <row r="6" customFormat="false" ht="13.5" hidden="false" customHeight="true" outlineLevel="0" collapsed="false">
      <c r="B6" s="17" t="s">
        <v>38</v>
      </c>
      <c r="C6" s="18" t="n">
        <v>2</v>
      </c>
      <c r="D6" s="16" t="s">
        <v>29</v>
      </c>
      <c r="E6" s="19" t="n">
        <v>1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4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6" t="n">
        <f aca="false">IF(AND(ISNUMBER(RESULTADOS!C6),ISNUMBER(RESULTADOS!E6),ISNUMBER(C6),ISNUMBER(E6),C6=RESULTADOS!C6,E6=RESULTADOS!E6),2,0)</f>
        <v>0</v>
      </c>
      <c r="Z6" s="136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6" t="n">
        <f aca="false">IF(AND(ISNUMBER(RESULTADOS!C6),ISNUMBER(RESULTADOS!E6),ISNUMBER(C6),ISNUMBER(E6),AND(Z6=1,OR(C6=RESULTADOS!C6,E6=RESULTADOS!E6))),1,0)</f>
        <v>0</v>
      </c>
      <c r="AB6" s="83"/>
      <c r="AC6" s="83" t="s">
        <v>40</v>
      </c>
      <c r="AD6" s="83" t="s">
        <v>41</v>
      </c>
      <c r="AE6" s="83" t="s">
        <v>42</v>
      </c>
      <c r="AF6" s="83" t="str">
        <f aca="false">IF(ISNUMBER(FIND("C", AC6, 1)), SUBSTITUTE(AC6, "C", "E"), SUBSTITUTE(AC6, "E", "C"))</f>
        <v>E6</v>
      </c>
      <c r="AG6" s="83" t="str">
        <f aca="false">IF(ISNUMBER(FIND("C", AD6, 1)), SUBSTITUTE(AD6, "C", "E"), SUBSTITUTE(AD6, "E", "C"))</f>
        <v>C8</v>
      </c>
      <c r="AH6" s="83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1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6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6" t="n">
        <f aca="false">IF(AND(ISNUMBER(RESULTADOS!C7),ISNUMBER(RESULTADOS!E7),ISNUMBER(C7),ISNUMBER(E7),C7=RESULTADOS!C7,E7=RESULTADOS!E7),2,0)</f>
        <v>0</v>
      </c>
      <c r="Z7" s="136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6" t="n">
        <f aca="false">IF(AND(ISNUMBER(RESULTADOS!C7),ISNUMBER(RESULTADOS!E7),ISNUMBER(C7),ISNUMBER(E7),AND(Z7=1,OR(C7=RESULTADOS!C7,E7=RESULTADOS!E7))),1,0)</f>
        <v>0</v>
      </c>
      <c r="AB7" s="83"/>
      <c r="AC7" s="83" t="s">
        <v>43</v>
      </c>
      <c r="AD7" s="83" t="s">
        <v>44</v>
      </c>
      <c r="AE7" s="83" t="s">
        <v>45</v>
      </c>
      <c r="AF7" s="83" t="str">
        <f aca="false">IF(ISNUMBER(FIND("C", AC7, 1)), SUBSTITUTE(AC7, "C", "E"), SUBSTITUTE(AC7, "E", "C"))</f>
        <v>E5</v>
      </c>
      <c r="AG7" s="83" t="str">
        <f aca="false">IF(ISNUMBER(FIND("C", AD7, 1)), SUBSTITUTE(AD7, "C", "E"), SUBSTITUTE(AD7, "E", "C"))</f>
        <v>E8</v>
      </c>
      <c r="AH7" s="83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1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2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6" t="n">
        <f aca="false">IF(AND(ISNUMBER(RESULTADOS!C8),ISNUMBER(RESULTADOS!E8),ISNUMBER(C8),ISNUMBER(E8),C8=RESULTADOS!C8,E8=RESULTADOS!E8),2,0)</f>
        <v>0</v>
      </c>
      <c r="Z8" s="136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6" t="n">
        <f aca="false">IF(AND(ISNUMBER(RESULTADOS!C8),ISNUMBER(RESULTADOS!E8),ISNUMBER(C8),ISNUMBER(E8),AND(Z8=1,OR(C8=RESULTADOS!C8,E8=RESULTADOS!E8))),1,0)</f>
        <v>0</v>
      </c>
      <c r="AB8" s="83"/>
      <c r="AC8" s="83" t="s">
        <v>46</v>
      </c>
      <c r="AD8" s="83" t="s">
        <v>47</v>
      </c>
      <c r="AE8" s="83" t="s">
        <v>48</v>
      </c>
      <c r="AF8" s="83" t="str">
        <f aca="false">IF(ISNUMBER(FIND("C", AC8, 1)), SUBSTITUTE(AC8, "C", "E"), SUBSTITUTE(AC8, "E", "C"))</f>
        <v>C6</v>
      </c>
      <c r="AG8" s="83" t="str">
        <f aca="false">IF(ISNUMBER(FIND("C", AD8, 1)), SUBSTITUTE(AD8, "C", "E"), SUBSTITUTE(AD8, "E", "C"))</f>
        <v>E7</v>
      </c>
      <c r="AH8" s="83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0</v>
      </c>
      <c r="D9" s="16" t="s">
        <v>29</v>
      </c>
      <c r="E9" s="19" t="n">
        <v>1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5" t="n">
        <f aca="false">N9-O9</f>
        <v>-3</v>
      </c>
      <c r="N9" s="35" t="n">
        <f aca="true">SUM(INDIRECT($AC9),INDIRECT($AD9),INDIRECT($AE9))</f>
        <v>1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6" t="n">
        <f aca="false">IF(AND(ISNUMBER(RESULTADOS!C9),ISNUMBER(RESULTADOS!E9),ISNUMBER(C9),ISNUMBER(E9),C9=RESULTADOS!C9,E9=RESULTADOS!E9),2,0)</f>
        <v>0</v>
      </c>
      <c r="Z9" s="136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6" t="n">
        <f aca="false">IF(AND(ISNUMBER(RESULTADOS!C9),ISNUMBER(RESULTADOS!E9),ISNUMBER(C9),ISNUMBER(E9),AND(Z9=1,OR(C9=RESULTADOS!C9,E9=RESULTADOS!E9))),1,0)</f>
        <v>0</v>
      </c>
      <c r="AB9" s="83"/>
      <c r="AC9" s="83" t="s">
        <v>49</v>
      </c>
      <c r="AD9" s="83" t="s">
        <v>50</v>
      </c>
      <c r="AE9" s="83" t="s">
        <v>51</v>
      </c>
      <c r="AF9" s="83" t="str">
        <f aca="false">IF(ISNUMBER(FIND("C", AC9, 1)), SUBSTITUTE(AC9, "C", "E"), SUBSTITUTE(AC9, "E", "C"))</f>
        <v>C5</v>
      </c>
      <c r="AG9" s="83" t="str">
        <f aca="false">IF(ISNUMBER(FIND("C", AD9, 1)), SUBSTITUTE(AD9, "C", "E"), SUBSTITUTE(AD9, "E", "C"))</f>
        <v>C7</v>
      </c>
      <c r="AH9" s="83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0</v>
      </c>
      <c r="D10" s="35" t="s">
        <v>29</v>
      </c>
      <c r="E10" s="39" t="n">
        <v>2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6" t="n">
        <f aca="false">IF(AND(ISNUMBER(RESULTADOS!C10),ISNUMBER(RESULTADOS!E10),ISNUMBER(C10),ISNUMBER(E10),C10=RESULTADOS!C10,E10=RESULTADOS!E10),2,0)</f>
        <v>0</v>
      </c>
      <c r="Z10" s="136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6" t="n">
        <f aca="false">IF(AND(ISNUMBER(RESULTADOS!C10),ISNUMBER(RESULTADOS!E10),ISNUMBER(C10),ISNUMBER(E10),AND(Z10=1,OR(C10=RESULTADOS!C10,E10=RESULTADOS!E10))),1,0)</f>
        <v>0</v>
      </c>
      <c r="AB10" s="83"/>
      <c r="AC10" s="83"/>
      <c r="AD10" s="83"/>
      <c r="AE10" s="83"/>
      <c r="AF10" s="83"/>
      <c r="AG10" s="83"/>
      <c r="AH10" s="83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3"/>
      <c r="AC11" s="83"/>
      <c r="AD11" s="83"/>
      <c r="AE11" s="83"/>
      <c r="AF11" s="83"/>
      <c r="AG11" s="83"/>
      <c r="AH11" s="83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6"/>
      <c r="Z12" s="136"/>
      <c r="AA12" s="136"/>
      <c r="AB12" s="83"/>
      <c r="AC12" s="83"/>
      <c r="AD12" s="83"/>
      <c r="AE12" s="83"/>
      <c r="AF12" s="83"/>
      <c r="AG12" s="83"/>
      <c r="AH12" s="83"/>
    </row>
    <row r="13" customFormat="false" ht="13.5" hidden="false" customHeight="true" outlineLevel="0" collapsed="false">
      <c r="B13" s="17" t="s">
        <v>53</v>
      </c>
      <c r="C13" s="18" t="n">
        <v>1</v>
      </c>
      <c r="D13" s="16" t="s">
        <v>29</v>
      </c>
      <c r="E13" s="19" t="n">
        <v>2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6" t="n">
        <f aca="false">IF(AND(ISNUMBER(RESULTADOS!C13),ISNUMBER(RESULTADOS!E13),ISNUMBER(C13),ISNUMBER(E13),C13=RESULTADOS!C13,E13=RESULTADOS!E13),2,0)</f>
        <v>0</v>
      </c>
      <c r="Z13" s="136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6" t="n">
        <f aca="false">IF(AND(ISNUMBER(RESULTADOS!C13),ISNUMBER(RESULTADOS!E13),ISNUMBER(C13),ISNUMBER(E13),AND(Z13=1,OR(C13=RESULTADOS!C13,E13=RESULTADOS!E13))),1,0)</f>
        <v>0</v>
      </c>
      <c r="AB13" s="83"/>
      <c r="AC13" s="83"/>
      <c r="AD13" s="83"/>
      <c r="AE13" s="83"/>
      <c r="AF13" s="83"/>
      <c r="AG13" s="83"/>
      <c r="AH13" s="83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1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6" t="n">
        <f aca="false">N14-O14</f>
        <v>3</v>
      </c>
      <c r="N14" s="16" t="n">
        <f aca="true">SUM(INDIRECT($AC14),INDIRECT($AD14),INDIRECT($AE14))</f>
        <v>5</v>
      </c>
      <c r="O14" s="16" t="n">
        <f aca="true">SUM(INDIRECT($AF14),INDIRECT($AG14),INDIRECT($AH14))</f>
        <v>2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6" t="n">
        <f aca="false">IF(AND(ISNUMBER(RESULTADOS!C14),ISNUMBER(RESULTADOS!E14),ISNUMBER(C14),ISNUMBER(E14),C14=RESULTADOS!C14,E14=RESULTADOS!E14),2,0)</f>
        <v>0</v>
      </c>
      <c r="Z14" s="136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6" t="n">
        <f aca="false">IF(AND(ISNUMBER(RESULTADOS!C14),ISNUMBER(RESULTADOS!E14),ISNUMBER(C14),ISNUMBER(E14),AND(Z14=1,OR(C14=RESULTADOS!C14,E14=RESULTADOS!E14))),1,0)</f>
        <v>0</v>
      </c>
      <c r="AB14" s="83"/>
      <c r="AC14" s="83" t="s">
        <v>57</v>
      </c>
      <c r="AD14" s="83" t="s">
        <v>58</v>
      </c>
      <c r="AE14" s="83" t="s">
        <v>59</v>
      </c>
      <c r="AF14" s="83" t="str">
        <f aca="false">IF(ISNUMBER(FIND("C", AC14, 1)), SUBSTITUTE(AC14, "C", "E"), SUBSTITUTE(AC14, "E", "C"))</f>
        <v>C13</v>
      </c>
      <c r="AG14" s="83" t="str">
        <f aca="false">IF(ISNUMBER(FIND("C", AD14, 1)), SUBSTITUTE(AD14, "C", "E"), SUBSTITUTE(AD14, "E", "C"))</f>
        <v>C15</v>
      </c>
      <c r="AH14" s="83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1</v>
      </c>
      <c r="D15" s="16" t="s">
        <v>29</v>
      </c>
      <c r="E15" s="19" t="n">
        <v>1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6" t="n">
        <f aca="false">N15-O15</f>
        <v>-3</v>
      </c>
      <c r="N15" s="16" t="n">
        <f aca="true">SUM(INDIRECT($AC15),INDIRECT($AD15),INDIRECT($AE15))</f>
        <v>2</v>
      </c>
      <c r="O15" s="16" t="n">
        <f aca="true">SUM(INDIRECT($AF15),INDIRECT($AG15),INDIRECT($AH15))</f>
        <v>5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6" t="n">
        <f aca="false">IF(AND(ISNUMBER(RESULTADOS!C15),ISNUMBER(RESULTADOS!E15),ISNUMBER(C15),ISNUMBER(E15),C15=RESULTADOS!C15,E15=RESULTADOS!E15),2,0)</f>
        <v>0</v>
      </c>
      <c r="Z15" s="136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6" t="n">
        <f aca="false">IF(AND(ISNUMBER(RESULTADOS!C15),ISNUMBER(RESULTADOS!E15),ISNUMBER(C15),ISNUMBER(E15),AND(Z15=1,OR(C15=RESULTADOS!C15,E15=RESULTADOS!E15))),1,0)</f>
        <v>0</v>
      </c>
      <c r="AB15" s="83"/>
      <c r="AC15" s="83" t="s">
        <v>60</v>
      </c>
      <c r="AD15" s="83" t="s">
        <v>61</v>
      </c>
      <c r="AE15" s="83" t="s">
        <v>62</v>
      </c>
      <c r="AF15" s="83" t="str">
        <f aca="false">IF(ISNUMBER(FIND("C", AC15, 1)), SUBSTITUTE(AC15, "C", "E"), SUBSTITUTE(AC15, "E", "C"))</f>
        <v>E13</v>
      </c>
      <c r="AG15" s="83" t="str">
        <f aca="false">IF(ISNUMBER(FIND("C", AD15, 1)), SUBSTITUTE(AD15, "C", "E"), SUBSTITUTE(AD15, "E", "C"))</f>
        <v>E16</v>
      </c>
      <c r="AH15" s="83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1</v>
      </c>
      <c r="D16" s="16" t="s">
        <v>29</v>
      </c>
      <c r="E16" s="19" t="n">
        <v>1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-3</v>
      </c>
      <c r="N16" s="16" t="n">
        <f aca="true">SUM(INDIRECT($AC16),INDIRECT($AD16),INDIRECT($AE16))</f>
        <v>1</v>
      </c>
      <c r="O16" s="16" t="n">
        <f aca="true">SUM(INDIRECT($AF16),INDIRECT($AG16),INDIRECT($AH16))</f>
        <v>4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6" t="n">
        <f aca="false">IF(AND(ISNUMBER(RESULTADOS!C16),ISNUMBER(RESULTADOS!E16),ISNUMBER(C16),ISNUMBER(E16),C16=RESULTADOS!C16,E16=RESULTADOS!E16),2,0)</f>
        <v>0</v>
      </c>
      <c r="Z16" s="136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6" t="n">
        <f aca="false">IF(AND(ISNUMBER(RESULTADOS!C16),ISNUMBER(RESULTADOS!E16),ISNUMBER(C16),ISNUMBER(E16),AND(Z16=1,OR(C16=RESULTADOS!C16,E16=RESULTADOS!E16))),1,0)</f>
        <v>0</v>
      </c>
      <c r="AB16" s="83"/>
      <c r="AC16" s="83" t="s">
        <v>63</v>
      </c>
      <c r="AD16" s="83" t="s">
        <v>64</v>
      </c>
      <c r="AE16" s="83" t="s">
        <v>65</v>
      </c>
      <c r="AF16" s="83" t="str">
        <f aca="false">IF(ISNUMBER(FIND("C", AC16, 1)), SUBSTITUTE(AC16, "C", "E"), SUBSTITUTE(AC16, "E", "C"))</f>
        <v>E14</v>
      </c>
      <c r="AG16" s="83" t="str">
        <f aca="false">IF(ISNUMBER(FIND("C", AD16, 1)), SUBSTITUTE(AD16, "C", "E"), SUBSTITUTE(AD16, "E", "C"))</f>
        <v>C16</v>
      </c>
      <c r="AH16" s="83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2</v>
      </c>
      <c r="D17" s="16" t="s">
        <v>29</v>
      </c>
      <c r="E17" s="19" t="n">
        <v>0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3</v>
      </c>
      <c r="N17" s="35" t="n">
        <f aca="true">SUM(INDIRECT($AC17),INDIRECT($AD17),INDIRECT($AE17))</f>
        <v>4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6" t="n">
        <f aca="false">IF(AND(ISNUMBER(RESULTADOS!C17),ISNUMBER(RESULTADOS!E17),ISNUMBER(C17),ISNUMBER(E17),C17=RESULTADOS!C17,E17=RESULTADOS!E17),2,0)</f>
        <v>0</v>
      </c>
      <c r="Z17" s="136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6" t="n">
        <f aca="false">IF(AND(ISNUMBER(RESULTADOS!C17),ISNUMBER(RESULTADOS!E17),ISNUMBER(C17),ISNUMBER(E17),AND(Z17=1,OR(C17=RESULTADOS!C17,E17=RESULTADOS!E17))),1,0)</f>
        <v>0</v>
      </c>
      <c r="AB17" s="83"/>
      <c r="AC17" s="83" t="s">
        <v>66</v>
      </c>
      <c r="AD17" s="83" t="s">
        <v>67</v>
      </c>
      <c r="AE17" s="83" t="s">
        <v>68</v>
      </c>
      <c r="AF17" s="83" t="str">
        <f aca="false">IF(ISNUMBER(FIND("C", AC17, 1)), SUBSTITUTE(AC17, "C", "E"), SUBSTITUTE(AC17, "E", "C"))</f>
        <v>C14</v>
      </c>
      <c r="AG17" s="83" t="str">
        <f aca="false">IF(ISNUMBER(FIND("C", AD17, 1)), SUBSTITUTE(AD17, "C", "E"), SUBSTITUTE(AD17, "E", "C"))</f>
        <v>E15</v>
      </c>
      <c r="AH17" s="83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2</v>
      </c>
      <c r="D18" s="35" t="s">
        <v>29</v>
      </c>
      <c r="E18" s="39" t="n">
        <v>0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6" t="n">
        <f aca="false">IF(AND(ISNUMBER(RESULTADOS!C18),ISNUMBER(RESULTADOS!E18),ISNUMBER(C18),ISNUMBER(E18),C18=RESULTADOS!C18,E18=RESULTADOS!E18),2,0)</f>
        <v>0</v>
      </c>
      <c r="Z18" s="136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6" t="n">
        <f aca="false">IF(AND(ISNUMBER(RESULTADOS!C18),ISNUMBER(RESULTADOS!E18),ISNUMBER(C18),ISNUMBER(E18),AND(Z18=1,OR(C18=RESULTADOS!C18,E18=RESULTADOS!E18))),1,0)</f>
        <v>0</v>
      </c>
      <c r="AB18" s="83"/>
      <c r="AC18" s="83"/>
      <c r="AD18" s="83"/>
      <c r="AE18" s="83"/>
      <c r="AF18" s="83"/>
      <c r="AG18" s="83"/>
      <c r="AH18" s="83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3"/>
      <c r="AC19" s="83"/>
      <c r="AD19" s="83"/>
      <c r="AE19" s="83"/>
      <c r="AF19" s="83"/>
      <c r="AG19" s="83"/>
      <c r="AH19" s="83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6"/>
      <c r="Z20" s="136"/>
      <c r="AA20" s="136"/>
      <c r="AB20" s="83"/>
      <c r="AC20" s="83"/>
      <c r="AD20" s="83"/>
      <c r="AE20" s="83"/>
      <c r="AF20" s="83"/>
      <c r="AG20" s="83"/>
      <c r="AH20" s="83"/>
    </row>
    <row r="21" customFormat="false" ht="13.5" hidden="false" customHeight="true" outlineLevel="0" collapsed="false">
      <c r="B21" s="17" t="s">
        <v>70</v>
      </c>
      <c r="C21" s="18" t="n">
        <v>3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6" t="n">
        <f aca="false">IF(AND(ISNUMBER(RESULTADOS!C21),ISNUMBER(RESULTADOS!E21),ISNUMBER(C21),ISNUMBER(E21),C21=RESULTADOS!C21,E21=RESULTADOS!E21),2,0)</f>
        <v>0</v>
      </c>
      <c r="Z21" s="136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6" t="n">
        <f aca="false">IF(AND(ISNUMBER(RESULTADOS!C21),ISNUMBER(RESULTADOS!E21),ISNUMBER(C21),ISNUMBER(E21),AND(Z21=1,OR(C21=RESULTADOS!C21,E21=RESULTADOS!E21))),1,0)</f>
        <v>0</v>
      </c>
      <c r="AB21" s="83"/>
      <c r="AC21" s="83"/>
      <c r="AD21" s="83"/>
      <c r="AE21" s="83"/>
      <c r="AF21" s="83"/>
      <c r="AG21" s="83"/>
      <c r="AH21" s="83"/>
    </row>
    <row r="22" customFormat="false" ht="13.5" hidden="false" customHeight="true" outlineLevel="0" collapsed="false">
      <c r="B22" s="17" t="s">
        <v>72</v>
      </c>
      <c r="C22" s="18" t="n">
        <v>1</v>
      </c>
      <c r="D22" s="16" t="s">
        <v>29</v>
      </c>
      <c r="E22" s="19" t="n">
        <v>3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9</v>
      </c>
      <c r="N22" s="16" t="n">
        <f aca="true">SUM(INDIRECT($AC22),INDIRECT($AD22),INDIRECT($AE22))</f>
        <v>10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6" t="n">
        <f aca="false">IF(AND(ISNUMBER(RESULTADOS!C22),ISNUMBER(RESULTADOS!E22),ISNUMBER(C22),ISNUMBER(E22),C22=RESULTADOS!C22,E22=RESULTADOS!E22),2,0)</f>
        <v>0</v>
      </c>
      <c r="Z22" s="136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6" t="n">
        <f aca="false">IF(AND(ISNUMBER(RESULTADOS!C22),ISNUMBER(RESULTADOS!E22),ISNUMBER(C22),ISNUMBER(E22),AND(Z22=1,OR(C22=RESULTADOS!C22,E22=RESULTADOS!E22))),1,0)</f>
        <v>0</v>
      </c>
      <c r="AB22" s="83"/>
      <c r="AC22" s="83" t="s">
        <v>74</v>
      </c>
      <c r="AD22" s="83" t="s">
        <v>75</v>
      </c>
      <c r="AE22" s="83" t="s">
        <v>76</v>
      </c>
      <c r="AF22" s="83" t="str">
        <f aca="false">IF(ISNUMBER(FIND("C", AC22, 1)), SUBSTITUTE(AC22, "C", "E"), SUBSTITUTE(AC22, "E", "C"))</f>
        <v>E21</v>
      </c>
      <c r="AG22" s="83" t="str">
        <f aca="false">IF(ISNUMBER(FIND("C", AD22, 1)), SUBSTITUTE(AD22, "C", "E"), SUBSTITUTE(AD22, "E", "C"))</f>
        <v>E24</v>
      </c>
      <c r="AH22" s="83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0</v>
      </c>
      <c r="D23" s="16" t="s">
        <v>29</v>
      </c>
      <c r="E23" s="19" t="n">
        <v>2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6" t="n">
        <f aca="false">IF(AND(ISNUMBER(RESULTADOS!C23),ISNUMBER(RESULTADOS!E23),ISNUMBER(C23),ISNUMBER(E23),C23=RESULTADOS!C23,E23=RESULTADOS!E23),2,0)</f>
        <v>0</v>
      </c>
      <c r="Z23" s="136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6" t="n">
        <f aca="false">IF(AND(ISNUMBER(RESULTADOS!C23),ISNUMBER(RESULTADOS!E23),ISNUMBER(C23),ISNUMBER(E23),AND(Z23=1,OR(C23=RESULTADOS!C23,E23=RESULTADOS!E23))),1,0)</f>
        <v>0</v>
      </c>
      <c r="AB23" s="83"/>
      <c r="AC23" s="83" t="s">
        <v>77</v>
      </c>
      <c r="AD23" s="83" t="s">
        <v>78</v>
      </c>
      <c r="AE23" s="83" t="s">
        <v>79</v>
      </c>
      <c r="AF23" s="83" t="str">
        <f aca="false">IF(ISNUMBER(FIND("C", AC23, 1)), SUBSTITUTE(AC23, "C", "E"), SUBSTITUTE(AC23, "E", "C"))</f>
        <v>C22</v>
      </c>
      <c r="AG23" s="83" t="str">
        <f aca="false">IF(ISNUMBER(FIND("C", AD23, 1)), SUBSTITUTE(AD23, "C", "E"), SUBSTITUTE(AD23, "E", "C"))</f>
        <v>E23</v>
      </c>
      <c r="AH23" s="83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5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-11</v>
      </c>
      <c r="N24" s="16" t="n">
        <f aca="true">SUM(INDIRECT($AC24),INDIRECT($AD24),INDIRECT($AE24))</f>
        <v>1</v>
      </c>
      <c r="O24" s="16" t="n">
        <f aca="true">SUM(INDIRECT($AF24),INDIRECT($AG24),INDIRECT($AH24))</f>
        <v>12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6" t="n">
        <f aca="false">IF(AND(ISNUMBER(RESULTADOS!C24),ISNUMBER(RESULTADOS!E24),ISNUMBER(C24),ISNUMBER(E24),C24=RESULTADOS!C24,E24=RESULTADOS!E24),2,0)</f>
        <v>0</v>
      </c>
      <c r="Z24" s="136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6" t="n">
        <f aca="false">IF(AND(ISNUMBER(RESULTADOS!C24),ISNUMBER(RESULTADOS!E24),ISNUMBER(C24),ISNUMBER(E24),AND(Z24=1,OR(C24=RESULTADOS!C24,E24=RESULTADOS!E24))),1,0)</f>
        <v>0</v>
      </c>
      <c r="AB24" s="83"/>
      <c r="AC24" s="83" t="s">
        <v>80</v>
      </c>
      <c r="AD24" s="83" t="s">
        <v>81</v>
      </c>
      <c r="AE24" s="83" t="s">
        <v>82</v>
      </c>
      <c r="AF24" s="83" t="str">
        <f aca="false">IF(ISNUMBER(FIND("C", AC24, 1)), SUBSTITUTE(AC24, "C", "E"), SUBSTITUTE(AC24, "E", "C"))</f>
        <v>E22</v>
      </c>
      <c r="AG24" s="83" t="str">
        <f aca="false">IF(ISNUMBER(FIND("C", AD24, 1)), SUBSTITUTE(AD24, "C", "E"), SUBSTITUTE(AD24, "E", "C"))</f>
        <v>C24</v>
      </c>
      <c r="AH24" s="83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4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4</v>
      </c>
      <c r="N25" s="35" t="n">
        <f aca="true">SUM(INDIRECT($AC25),INDIRECT($AD25),INDIRECT($AE25))</f>
        <v>7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6" t="n">
        <f aca="false">IF(AND(ISNUMBER(RESULTADOS!C25),ISNUMBER(RESULTADOS!E25),ISNUMBER(C25),ISNUMBER(E25),C25=RESULTADOS!C25,E25=RESULTADOS!E25),2,0)</f>
        <v>0</v>
      </c>
      <c r="Z25" s="136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6" t="n">
        <f aca="false">IF(AND(ISNUMBER(RESULTADOS!C25),ISNUMBER(RESULTADOS!E25),ISNUMBER(C25),ISNUMBER(E25),AND(Z25=1,OR(C25=RESULTADOS!C25,E25=RESULTADOS!E25))),1,0)</f>
        <v>0</v>
      </c>
      <c r="AB25" s="83"/>
      <c r="AC25" s="83" t="s">
        <v>83</v>
      </c>
      <c r="AD25" s="83" t="s">
        <v>84</v>
      </c>
      <c r="AE25" s="83" t="s">
        <v>85</v>
      </c>
      <c r="AF25" s="83" t="str">
        <f aca="false">IF(ISNUMBER(FIND("C", AC25, 1)), SUBSTITUTE(AC25, "C", "E"), SUBSTITUTE(AC25, "E", "C"))</f>
        <v>C21</v>
      </c>
      <c r="AG25" s="83" t="str">
        <f aca="false">IF(ISNUMBER(FIND("C", AD25, 1)), SUBSTITUTE(AD25, "C", "E"), SUBSTITUTE(AD25, "E", "C"))</f>
        <v>C23</v>
      </c>
      <c r="AH25" s="83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2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6" t="n">
        <f aca="false">IF(AND(ISNUMBER(RESULTADOS!C26),ISNUMBER(RESULTADOS!E26),ISNUMBER(C26),ISNUMBER(E26),C26=RESULTADOS!C26,E26=RESULTADOS!E26),2,0)</f>
        <v>0</v>
      </c>
      <c r="Z26" s="136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6" t="n">
        <f aca="false">IF(AND(ISNUMBER(RESULTADOS!C26),ISNUMBER(RESULTADOS!E26),ISNUMBER(C26),ISNUMBER(E26),AND(Z26=1,OR(C26=RESULTADOS!C26,E26=RESULTADOS!E26))),1,0)</f>
        <v>0</v>
      </c>
      <c r="AB26" s="83"/>
      <c r="AC26" s="83"/>
      <c r="AD26" s="83"/>
      <c r="AE26" s="83"/>
      <c r="AF26" s="83"/>
      <c r="AG26" s="83"/>
      <c r="AH26" s="83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3"/>
      <c r="AC27" s="83"/>
      <c r="AD27" s="83"/>
      <c r="AE27" s="83"/>
      <c r="AF27" s="83"/>
      <c r="AG27" s="83"/>
      <c r="AH27" s="83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6"/>
      <c r="Z28" s="136"/>
      <c r="AA28" s="136"/>
      <c r="AB28" s="83"/>
      <c r="AC28" s="83"/>
      <c r="AD28" s="83"/>
      <c r="AE28" s="83"/>
      <c r="AF28" s="83"/>
      <c r="AG28" s="83"/>
      <c r="AH28" s="83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1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6" t="n">
        <f aca="false">IF(AND(ISNUMBER(RESULTADOS!C29),ISNUMBER(RESULTADOS!E29),ISNUMBER(C29),ISNUMBER(E29),C29=RESULTADOS!C29,E29=RESULTADOS!E29),2,0)</f>
        <v>0</v>
      </c>
      <c r="Z29" s="136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6" t="n">
        <f aca="false">IF(AND(ISNUMBER(RESULTADOS!C29),ISNUMBER(RESULTADOS!E29),ISNUMBER(C29),ISNUMBER(E29),AND(Z29=1,OR(C29=RESULTADOS!C29,E29=RESULTADOS!E29))),1,0)</f>
        <v>0</v>
      </c>
      <c r="AB29" s="83"/>
      <c r="AC29" s="83"/>
      <c r="AD29" s="83"/>
      <c r="AE29" s="83"/>
      <c r="AF29" s="83"/>
      <c r="AG29" s="83"/>
      <c r="AH29" s="83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1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6" t="n">
        <f aca="false">N30-O30</f>
        <v>-2</v>
      </c>
      <c r="N30" s="16" t="n">
        <f aca="true">SUM(INDIRECT($AC30),INDIRECT($AD30),INDIRECT($AE30))</f>
        <v>1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6" t="n">
        <f aca="false">IF(AND(ISNUMBER(RESULTADOS!C30),ISNUMBER(RESULTADOS!E30),ISNUMBER(C30),ISNUMBER(E30),C30=RESULTADOS!C30,E30=RESULTADOS!E30),2,0)</f>
        <v>0</v>
      </c>
      <c r="Z30" s="136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6" t="n">
        <f aca="false">IF(AND(ISNUMBER(RESULTADOS!C30),ISNUMBER(RESULTADOS!E30),ISNUMBER(C30),ISNUMBER(E30),AND(Z30=1,OR(C30=RESULTADOS!C30,E30=RESULTADOS!E30))),1,0)</f>
        <v>0</v>
      </c>
      <c r="AB30" s="83"/>
      <c r="AC30" s="83" t="s">
        <v>91</v>
      </c>
      <c r="AD30" s="83" t="s">
        <v>92</v>
      </c>
      <c r="AE30" s="83" t="s">
        <v>93</v>
      </c>
      <c r="AF30" s="83" t="str">
        <f aca="false">IF(ISNUMBER(FIND("C", AC30, 1)), SUBSTITUTE(AC30, "C", "E"), SUBSTITUTE(AC30, "E", "C"))</f>
        <v>E30</v>
      </c>
      <c r="AG30" s="83" t="str">
        <f aca="false">IF(ISNUMBER(FIND("C", AD30, 1)), SUBSTITUTE(AD30, "C", "E"), SUBSTITUTE(AD30, "E", "C"))</f>
        <v>C31</v>
      </c>
      <c r="AH30" s="83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1</v>
      </c>
      <c r="D31" s="16" t="s">
        <v>29</v>
      </c>
      <c r="E31" s="19" t="n">
        <v>0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-1</v>
      </c>
      <c r="N31" s="16" t="n">
        <f aca="true">SUM(INDIRECT($AC31),INDIRECT($AD31),INDIRECT($AE31))</f>
        <v>2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6" t="n">
        <f aca="false">IF(AND(ISNUMBER(RESULTADOS!C31),ISNUMBER(RESULTADOS!E31),ISNUMBER(C31),ISNUMBER(E31),C31=RESULTADOS!C31,E31=RESULTADOS!E31),2,0)</f>
        <v>0</v>
      </c>
      <c r="Z31" s="136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6" t="n">
        <f aca="false">IF(AND(ISNUMBER(RESULTADOS!C31),ISNUMBER(RESULTADOS!E31),ISNUMBER(C31),ISNUMBER(E31),AND(Z31=1,OR(C31=RESULTADOS!C31,E31=RESULTADOS!E31))),1,0)</f>
        <v>0</v>
      </c>
      <c r="AB31" s="83"/>
      <c r="AC31" s="83" t="s">
        <v>94</v>
      </c>
      <c r="AD31" s="83" t="s">
        <v>95</v>
      </c>
      <c r="AE31" s="83" t="s">
        <v>96</v>
      </c>
      <c r="AF31" s="83" t="str">
        <f aca="false">IF(ISNUMBER(FIND("C", AC31, 1)), SUBSTITUTE(AC31, "C", "E"), SUBSTITUTE(AC31, "E", "C"))</f>
        <v>E29</v>
      </c>
      <c r="AG31" s="83" t="str">
        <f aca="false">IF(ISNUMBER(FIND("C", AD31, 1)), SUBSTITUTE(AD31, "C", "E"), SUBSTITUTE(AD31, "E", "C"))</f>
        <v>E31</v>
      </c>
      <c r="AH31" s="83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2</v>
      </c>
      <c r="D32" s="16" t="s">
        <v>29</v>
      </c>
      <c r="E32" s="19" t="n">
        <v>1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6" t="n">
        <f aca="false">IF(AND(ISNUMBER(RESULTADOS!C32),ISNUMBER(RESULTADOS!E32),ISNUMBER(C32),ISNUMBER(E32),C32=RESULTADOS!C32,E32=RESULTADOS!E32),2,0)</f>
        <v>0</v>
      </c>
      <c r="Z32" s="136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6" t="n">
        <f aca="false">IF(AND(ISNUMBER(RESULTADOS!C32),ISNUMBER(RESULTADOS!E32),ISNUMBER(C32),ISNUMBER(E32),AND(Z32=1,OR(C32=RESULTADOS!C32,E32=RESULTADOS!E32))),1,0)</f>
        <v>0</v>
      </c>
      <c r="AB32" s="83"/>
      <c r="AC32" s="83" t="s">
        <v>97</v>
      </c>
      <c r="AD32" s="83" t="s">
        <v>98</v>
      </c>
      <c r="AE32" s="83" t="s">
        <v>93</v>
      </c>
      <c r="AF32" s="83" t="str">
        <f aca="false">IF(ISNUMBER(FIND("C", AC32, 1)), SUBSTITUTE(AC32, "C", "E"), SUBSTITUTE(AC32, "E", "C"))</f>
        <v>C29</v>
      </c>
      <c r="AG32" s="83" t="str">
        <f aca="false">IF(ISNUMBER(FIND("C", AD32, 1)), SUBSTITUTE(AD32, "C", "E"), SUBSTITUTE(AD32, "E", "C"))</f>
        <v>C32</v>
      </c>
      <c r="AH32" s="83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0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5" t="n">
        <f aca="false">N33-O33</f>
        <v>4</v>
      </c>
      <c r="N33" s="35" t="n">
        <f aca="true">SUM(INDIRECT($AC33),INDIRECT($AD33),INDIRECT($AE33))</f>
        <v>5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6" t="n">
        <f aca="false">IF(AND(ISNUMBER(RESULTADOS!C33),ISNUMBER(RESULTADOS!E33),ISNUMBER(C33),ISNUMBER(E33),C33=RESULTADOS!C33,E33=RESULTADOS!E33),2,0)</f>
        <v>0</v>
      </c>
      <c r="Z33" s="136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6" t="n">
        <f aca="false">IF(AND(ISNUMBER(RESULTADOS!C33),ISNUMBER(RESULTADOS!E33),ISNUMBER(C33),ISNUMBER(E33),AND(Z33=1,OR(C33=RESULTADOS!C33,E33=RESULTADOS!E33))),1,0)</f>
        <v>0</v>
      </c>
      <c r="AB33" s="83"/>
      <c r="AC33" s="83" t="s">
        <v>99</v>
      </c>
      <c r="AD33" s="83" t="s">
        <v>100</v>
      </c>
      <c r="AE33" s="83" t="s">
        <v>101</v>
      </c>
      <c r="AF33" s="83" t="str">
        <f aca="false">IF(ISNUMBER(FIND("C", AC33, 1)), SUBSTITUTE(AC33, "C", "E"), SUBSTITUTE(AC33, "E", "C"))</f>
        <v>C30</v>
      </c>
      <c r="AG33" s="83" t="str">
        <f aca="false">IF(ISNUMBER(FIND("C", AD33, 1)), SUBSTITUTE(AD33, "C", "E"), SUBSTITUTE(AD33, "E", "C"))</f>
        <v>E32</v>
      </c>
      <c r="AH33" s="83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1</v>
      </c>
      <c r="D34" s="35" t="s">
        <v>29</v>
      </c>
      <c r="E34" s="39" t="n">
        <v>1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6" t="n">
        <f aca="false">IF(AND(ISNUMBER(RESULTADOS!C34),ISNUMBER(RESULTADOS!E34),ISNUMBER(C34),ISNUMBER(E34),C34=RESULTADOS!C34,E34=RESULTADOS!E34),2,0)</f>
        <v>0</v>
      </c>
      <c r="Z34" s="136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6" t="n">
        <f aca="false">IF(AND(ISNUMBER(RESULTADOS!C34),ISNUMBER(RESULTADOS!E34),ISNUMBER(C34),ISNUMBER(E34),AND(Z34=1,OR(C34=RESULTADOS!C34,E34=RESULTADOS!E34))),1,0)</f>
        <v>0</v>
      </c>
      <c r="AB34" s="83"/>
      <c r="AC34" s="83"/>
      <c r="AD34" s="83"/>
      <c r="AE34" s="83"/>
      <c r="AF34" s="83"/>
      <c r="AG34" s="83"/>
      <c r="AH34" s="83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3"/>
      <c r="AC35" s="83"/>
      <c r="AD35" s="83"/>
      <c r="AE35" s="83"/>
      <c r="AF35" s="83"/>
      <c r="AG35" s="83"/>
      <c r="AH35" s="83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6"/>
      <c r="Z36" s="136"/>
      <c r="AA36" s="136"/>
      <c r="AB36" s="83"/>
      <c r="AC36" s="83"/>
      <c r="AD36" s="83"/>
      <c r="AE36" s="83"/>
      <c r="AF36" s="83"/>
      <c r="AG36" s="83"/>
      <c r="AH36" s="83"/>
    </row>
    <row r="37" customFormat="false" ht="13.5" hidden="false" customHeight="true" outlineLevel="0" collapsed="false">
      <c r="B37" s="17" t="s">
        <v>103</v>
      </c>
      <c r="C37" s="18" t="n">
        <v>6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6" t="n">
        <f aca="false">IF(AND(ISNUMBER(RESULTADOS!C37),ISNUMBER(RESULTADOS!E37),ISNUMBER(C37),ISNUMBER(E37),C37=RESULTADOS!C37,E37=RESULTADOS!E37),2,0)</f>
        <v>0</v>
      </c>
      <c r="Z37" s="136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6" t="n">
        <f aca="false">IF(AND(ISNUMBER(RESULTADOS!C37),ISNUMBER(RESULTADOS!E37),ISNUMBER(C37),ISNUMBER(E37),AND(Z37=1,OR(C37=RESULTADOS!C37,E37=RESULTADOS!E37))),1,0)</f>
        <v>0</v>
      </c>
      <c r="AB37" s="83"/>
      <c r="AC37" s="83"/>
      <c r="AD37" s="83"/>
      <c r="AE37" s="83"/>
      <c r="AF37" s="83"/>
      <c r="AG37" s="83"/>
      <c r="AH37" s="83"/>
    </row>
    <row r="38" customFormat="false" ht="13.5" hidden="false" customHeight="true" outlineLevel="0" collapsed="false">
      <c r="B38" s="17" t="s">
        <v>105</v>
      </c>
      <c r="C38" s="18" t="n">
        <v>2</v>
      </c>
      <c r="D38" s="16" t="s">
        <v>29</v>
      </c>
      <c r="E38" s="19" t="n">
        <v>1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11</v>
      </c>
      <c r="N38" s="16" t="n">
        <f aca="true">SUM(INDIRECT($AC38),INDIRECT($AD38),INDIRECT($AE38))</f>
        <v>11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6" t="n">
        <f aca="false">IF(AND(ISNUMBER(RESULTADOS!C38),ISNUMBER(RESULTADOS!E38),ISNUMBER(C38),ISNUMBER(E38),C38=RESULTADOS!C38,E38=RESULTADOS!E38),2,0)</f>
        <v>0</v>
      </c>
      <c r="Z38" s="136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6" t="n">
        <f aca="false">IF(AND(ISNUMBER(RESULTADOS!C38),ISNUMBER(RESULTADOS!E38),ISNUMBER(C38),ISNUMBER(E38),AND(Z38=1,OR(C38=RESULTADOS!C38,E38=RESULTADOS!E38))),1,0)</f>
        <v>0</v>
      </c>
      <c r="AB38" s="83"/>
      <c r="AC38" s="83" t="s">
        <v>107</v>
      </c>
      <c r="AD38" s="83" t="s">
        <v>108</v>
      </c>
      <c r="AE38" s="83" t="s">
        <v>109</v>
      </c>
      <c r="AF38" s="83" t="str">
        <f aca="false">IF(ISNUMBER(FIND("C", AC38, 1)), SUBSTITUTE(AC38, "C", "E"), SUBSTITUTE(AC38, "E", "C"))</f>
        <v>E37</v>
      </c>
      <c r="AG38" s="83" t="str">
        <f aca="false">IF(ISNUMBER(FIND("C", AD38, 1)), SUBSTITUTE(AD38, "C", "E"), SUBSTITUTE(AD38, "E", "C"))</f>
        <v>E39</v>
      </c>
      <c r="AH38" s="83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0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6" t="n">
        <f aca="false">N39-O39</f>
        <v>3</v>
      </c>
      <c r="N39" s="16" t="n">
        <f aca="true">SUM(INDIRECT($AC39),INDIRECT($AD39),INDIRECT($AE39))</f>
        <v>6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6" t="n">
        <f aca="false">IF(AND(ISNUMBER(RESULTADOS!C39),ISNUMBER(RESULTADOS!E39),ISNUMBER(C39),ISNUMBER(E39),C39=RESULTADOS!C39,E39=RESULTADOS!E39),2,0)</f>
        <v>0</v>
      </c>
      <c r="Z39" s="136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6" t="n">
        <f aca="false">IF(AND(ISNUMBER(RESULTADOS!C39),ISNUMBER(RESULTADOS!E39),ISNUMBER(C39),ISNUMBER(E39),AND(Z39=1,OR(C39=RESULTADOS!C39,E39=RESULTADOS!E39))),1,0)</f>
        <v>0</v>
      </c>
      <c r="AB39" s="83"/>
      <c r="AC39" s="83" t="s">
        <v>110</v>
      </c>
      <c r="AD39" s="83" t="s">
        <v>111</v>
      </c>
      <c r="AE39" s="83" t="s">
        <v>112</v>
      </c>
      <c r="AF39" s="83" t="str">
        <f aca="false">IF(ISNUMBER(FIND("C", AC39, 1)), SUBSTITUTE(AC39, "C", "E"), SUBSTITUTE(AC39, "E", "C"))</f>
        <v>E38</v>
      </c>
      <c r="AG39" s="83" t="str">
        <f aca="false">IF(ISNUMBER(FIND("C", AD39, 1)), SUBSTITUTE(AD39, "C", "E"), SUBSTITUTE(AD39, "E", "C"))</f>
        <v>C39</v>
      </c>
      <c r="AH39" s="83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3</v>
      </c>
      <c r="D40" s="16" t="s">
        <v>29</v>
      </c>
      <c r="E40" s="19" t="n">
        <v>0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-13</v>
      </c>
      <c r="N40" s="16" t="n">
        <f aca="true">SUM(INDIRECT($AC40),INDIRECT($AD40),INDIRECT($AE40))</f>
        <v>0</v>
      </c>
      <c r="O40" s="16" t="n">
        <f aca="true">SUM(INDIRECT($AF40),INDIRECT($AG40),INDIRECT($AH40))</f>
        <v>13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6" t="n">
        <f aca="false">IF(AND(ISNUMBER(RESULTADOS!C40),ISNUMBER(RESULTADOS!E40),ISNUMBER(C40),ISNUMBER(E40),C40=RESULTADOS!C40,E40=RESULTADOS!E40),2,0)</f>
        <v>0</v>
      </c>
      <c r="Z40" s="136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6" t="n">
        <f aca="false">IF(AND(ISNUMBER(RESULTADOS!C40),ISNUMBER(RESULTADOS!E40),ISNUMBER(C40),ISNUMBER(E40),AND(Z40=1,OR(C40=RESULTADOS!C40,E40=RESULTADOS!E40))),1,0)</f>
        <v>0</v>
      </c>
      <c r="AB40" s="83"/>
      <c r="AC40" s="83" t="s">
        <v>113</v>
      </c>
      <c r="AD40" s="83" t="s">
        <v>114</v>
      </c>
      <c r="AE40" s="83" t="s">
        <v>115</v>
      </c>
      <c r="AF40" s="83" t="str">
        <f aca="false">IF(ISNUMBER(FIND("C", AC40, 1)), SUBSTITUTE(AC40, "C", "E"), SUBSTITUTE(AC40, "E", "C"))</f>
        <v>C37</v>
      </c>
      <c r="AG40" s="83" t="str">
        <f aca="false">IF(ISNUMBER(FIND("C", AD40, 1)), SUBSTITUTE(AD40, "C", "E"), SUBSTITUTE(AD40, "E", "C"))</f>
        <v>C40</v>
      </c>
      <c r="AH40" s="83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0</v>
      </c>
      <c r="D41" s="16" t="s">
        <v>29</v>
      </c>
      <c r="E41" s="19" t="n">
        <v>3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5" t="n">
        <f aca="false">N41-O41</f>
        <v>-1</v>
      </c>
      <c r="N41" s="35" t="n">
        <f aca="true">SUM(INDIRECT($AC41),INDIRECT($AD41),INDIRECT($AE41))</f>
        <v>4</v>
      </c>
      <c r="O41" s="35" t="n">
        <f aca="true">SUM(INDIRECT($AF41),INDIRECT($AG41),INDIRECT($AH41))</f>
        <v>5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6" t="n">
        <f aca="false">IF(AND(ISNUMBER(RESULTADOS!C41),ISNUMBER(RESULTADOS!E41),ISNUMBER(C41),ISNUMBER(E41),C41=RESULTADOS!C41,E41=RESULTADOS!E41),2,0)</f>
        <v>0</v>
      </c>
      <c r="Z41" s="136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6" t="n">
        <f aca="false">IF(AND(ISNUMBER(RESULTADOS!C41),ISNUMBER(RESULTADOS!E41),ISNUMBER(C41),ISNUMBER(E41),AND(Z41=1,OR(C41=RESULTADOS!C41,E41=RESULTADOS!E41))),1,0)</f>
        <v>0</v>
      </c>
      <c r="AB41" s="83"/>
      <c r="AC41" s="83" t="s">
        <v>116</v>
      </c>
      <c r="AD41" s="83" t="s">
        <v>117</v>
      </c>
      <c r="AE41" s="83" t="s">
        <v>118</v>
      </c>
      <c r="AF41" s="83" t="str">
        <f aca="false">IF(ISNUMBER(FIND("C", AC41, 1)), SUBSTITUTE(AC41, "C", "E"), SUBSTITUTE(AC41, "E", "C"))</f>
        <v>C38</v>
      </c>
      <c r="AG41" s="83" t="str">
        <f aca="false">IF(ISNUMBER(FIND("C", AD41, 1)), SUBSTITUTE(AD41, "C", "E"), SUBSTITUTE(AD41, "E", "C"))</f>
        <v>E40</v>
      </c>
      <c r="AH41" s="83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4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6" t="n">
        <f aca="false">IF(AND(ISNUMBER(RESULTADOS!C42),ISNUMBER(RESULTADOS!E42),ISNUMBER(C42),ISNUMBER(E42),C42=RESULTADOS!C42,E42=RESULTADOS!E42),2,0)</f>
        <v>0</v>
      </c>
      <c r="Z42" s="136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6" t="n">
        <f aca="false">IF(AND(ISNUMBER(RESULTADOS!C42),ISNUMBER(RESULTADOS!E42),ISNUMBER(C42),ISNUMBER(E42),AND(Z42=1,OR(C42=RESULTADOS!C42,E42=RESULTADOS!E42))),1,0)</f>
        <v>0</v>
      </c>
      <c r="AB42" s="83"/>
      <c r="AC42" s="83"/>
      <c r="AD42" s="83"/>
      <c r="AE42" s="83"/>
      <c r="AF42" s="83"/>
      <c r="AG42" s="83"/>
      <c r="AH42" s="83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3"/>
      <c r="AC43" s="83"/>
      <c r="AD43" s="83"/>
      <c r="AE43" s="83"/>
      <c r="AF43" s="83"/>
      <c r="AG43" s="83"/>
      <c r="AH43" s="83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6"/>
      <c r="Z44" s="136"/>
      <c r="AA44" s="136"/>
      <c r="AB44" s="83"/>
      <c r="AC44" s="83"/>
      <c r="AD44" s="83"/>
      <c r="AE44" s="83"/>
      <c r="AF44" s="83"/>
      <c r="AG44" s="83"/>
      <c r="AH44" s="83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1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6" t="n">
        <f aca="false">IF(AND(ISNUMBER(RESULTADOS!C45),ISNUMBER(RESULTADOS!E45),ISNUMBER(C45),ISNUMBER(E45),C45=RESULTADOS!C45,E45=RESULTADOS!E45),2,0)</f>
        <v>0</v>
      </c>
      <c r="Z45" s="136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6" t="n">
        <f aca="false">IF(AND(ISNUMBER(RESULTADOS!C45),ISNUMBER(RESULTADOS!E45),ISNUMBER(C45),ISNUMBER(E45),AND(Z45=1,OR(C45=RESULTADOS!C45,E45=RESULTADOS!E45))),1,0)</f>
        <v>0</v>
      </c>
      <c r="AB45" s="83"/>
      <c r="AC45" s="83"/>
      <c r="AD45" s="83"/>
      <c r="AE45" s="83"/>
      <c r="AF45" s="83"/>
      <c r="AG45" s="83"/>
      <c r="AH45" s="83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1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8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6" t="n">
        <f aca="false">IF(AND(ISNUMBER(RESULTADOS!C46),ISNUMBER(RESULTADOS!E46),ISNUMBER(C46),ISNUMBER(E46),C46=RESULTADOS!C46,E46=RESULTADOS!E46),2,0)</f>
        <v>0</v>
      </c>
      <c r="Z46" s="136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6" t="n">
        <f aca="false">IF(AND(ISNUMBER(RESULTADOS!C46),ISNUMBER(RESULTADOS!E46),ISNUMBER(C46),ISNUMBER(E46),AND(Z46=1,OR(C46=RESULTADOS!C46,E46=RESULTADOS!E46))),1,0)</f>
        <v>0</v>
      </c>
      <c r="AB46" s="83"/>
      <c r="AC46" s="83" t="s">
        <v>124</v>
      </c>
      <c r="AD46" s="83" t="s">
        <v>125</v>
      </c>
      <c r="AE46" s="83" t="s">
        <v>126</v>
      </c>
      <c r="AF46" s="83" t="str">
        <f aca="false">IF(ISNUMBER(FIND("C", AC46, 1)), SUBSTITUTE(AC46, "C", "E"), SUBSTITUTE(AC46, "E", "C"))</f>
        <v>E45</v>
      </c>
      <c r="AG46" s="83" t="str">
        <f aca="false">IF(ISNUMBER(FIND("C", AD46, 1)), SUBSTITUTE(AD46, "C", "E"), SUBSTITUTE(AD46, "E", "C"))</f>
        <v>E47</v>
      </c>
      <c r="AH46" s="83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3</v>
      </c>
      <c r="D47" s="16" t="s">
        <v>29</v>
      </c>
      <c r="E47" s="19" t="n">
        <v>1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6" t="n">
        <f aca="false">N47-O47</f>
        <v>0</v>
      </c>
      <c r="N47" s="16" t="n">
        <f aca="true">SUM(INDIRECT($AC47),INDIRECT($AD47),INDIRECT($AE47))</f>
        <v>4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6" t="n">
        <f aca="false">IF(AND(ISNUMBER(RESULTADOS!C47),ISNUMBER(RESULTADOS!E47),ISNUMBER(C47),ISNUMBER(E47),C47=RESULTADOS!C47,E47=RESULTADOS!E47),2,0)</f>
        <v>0</v>
      </c>
      <c r="Z47" s="136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6" t="n">
        <f aca="false">IF(AND(ISNUMBER(RESULTADOS!C47),ISNUMBER(RESULTADOS!E47),ISNUMBER(C47),ISNUMBER(E47),AND(Z47=1,OR(C47=RESULTADOS!C47,E47=RESULTADOS!E47))),1,0)</f>
        <v>0</v>
      </c>
      <c r="AB47" s="83"/>
      <c r="AC47" s="83" t="s">
        <v>127</v>
      </c>
      <c r="AD47" s="83" t="s">
        <v>128</v>
      </c>
      <c r="AE47" s="83" t="s">
        <v>129</v>
      </c>
      <c r="AF47" s="83" t="str">
        <f aca="false">IF(ISNUMBER(FIND("C", AC47, 1)), SUBSTITUTE(AC47, "C", "E"), SUBSTITUTE(AC47, "E", "C"))</f>
        <v>C45</v>
      </c>
      <c r="AG47" s="83" t="str">
        <f aca="false">IF(ISNUMBER(FIND("C", AD47, 1)), SUBSTITUTE(AD47, "C", "E"), SUBSTITUTE(AD47, "E", "C"))</f>
        <v>C48</v>
      </c>
      <c r="AH47" s="83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1</v>
      </c>
      <c r="D48" s="16" t="s">
        <v>29</v>
      </c>
      <c r="E48" s="19" t="n">
        <v>1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-3</v>
      </c>
      <c r="N48" s="16" t="n">
        <f aca="true">SUM(INDIRECT($AC48),INDIRECT($AD48),INDIRECT($AE48))</f>
        <v>3</v>
      </c>
      <c r="O48" s="16" t="n">
        <f aca="true">SUM(INDIRECT($AF48),INDIRECT($AG48),INDIRECT($AH48))</f>
        <v>6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6" t="n">
        <f aca="false">IF(AND(ISNUMBER(RESULTADOS!C48),ISNUMBER(RESULTADOS!E48),ISNUMBER(C48),ISNUMBER(E48),C48=RESULTADOS!C48,E48=RESULTADOS!E48),2,0)</f>
        <v>0</v>
      </c>
      <c r="Z48" s="136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6" t="n">
        <f aca="false">IF(AND(ISNUMBER(RESULTADOS!C48),ISNUMBER(RESULTADOS!E48),ISNUMBER(C48),ISNUMBER(E48),AND(Z48=1,OR(C48=RESULTADOS!C48,E48=RESULTADOS!E48))),1,0)</f>
        <v>0</v>
      </c>
      <c r="AB48" s="83"/>
      <c r="AC48" s="83" t="s">
        <v>130</v>
      </c>
      <c r="AD48" s="83" t="s">
        <v>131</v>
      </c>
      <c r="AE48" s="83" t="s">
        <v>132</v>
      </c>
      <c r="AF48" s="83" t="str">
        <f aca="false">IF(ISNUMBER(FIND("C", AC48, 1)), SUBSTITUTE(AC48, "C", "E"), SUBSTITUTE(AC48, "E", "C"))</f>
        <v>E46</v>
      </c>
      <c r="AG48" s="83" t="str">
        <f aca="false">IF(ISNUMBER(FIND("C", AD48, 1)), SUBSTITUTE(AD48, "C", "E"), SUBSTITUTE(AD48, "E", "C"))</f>
        <v>C47</v>
      </c>
      <c r="AH48" s="83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1</v>
      </c>
      <c r="D49" s="16" t="s">
        <v>29</v>
      </c>
      <c r="E49" s="19" t="n">
        <v>3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5" t="n">
        <f aca="false">N49-O49</f>
        <v>-2</v>
      </c>
      <c r="N49" s="35" t="n">
        <f aca="true">SUM(INDIRECT($AC49),INDIRECT($AD49),INDIRECT($AE49))</f>
        <v>3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6" t="n">
        <f aca="false">IF(AND(ISNUMBER(RESULTADOS!C49),ISNUMBER(RESULTADOS!E49),ISNUMBER(C49),ISNUMBER(E49),C49=RESULTADOS!C49,E49=RESULTADOS!E49),2,0)</f>
        <v>0</v>
      </c>
      <c r="Z49" s="136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6" t="n">
        <f aca="false">IF(AND(ISNUMBER(RESULTADOS!C49),ISNUMBER(RESULTADOS!E49),ISNUMBER(C49),ISNUMBER(E49),AND(Z49=1,OR(C49=RESULTADOS!C49,E49=RESULTADOS!E49))),1,0)</f>
        <v>0</v>
      </c>
      <c r="AB49" s="83"/>
      <c r="AC49" s="83" t="s">
        <v>133</v>
      </c>
      <c r="AD49" s="83" t="s">
        <v>134</v>
      </c>
      <c r="AE49" s="83" t="s">
        <v>135</v>
      </c>
      <c r="AF49" s="83" t="str">
        <f aca="false">IF(ISNUMBER(FIND("C", AC49, 1)), SUBSTITUTE(AC49, "C", "E"), SUBSTITUTE(AC49, "E", "C"))</f>
        <v>C46</v>
      </c>
      <c r="AG49" s="83" t="str">
        <f aca="false">IF(ISNUMBER(FIND("C", AD49, 1)), SUBSTITUTE(AD49, "C", "E"), SUBSTITUTE(AD49, "E", "C"))</f>
        <v>E48</v>
      </c>
      <c r="AH49" s="83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1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6" t="n">
        <f aca="false">IF(AND(ISNUMBER(RESULTADOS!C50),ISNUMBER(RESULTADOS!E50),ISNUMBER(C50),ISNUMBER(E50),C50=RESULTADOS!C50,E50=RESULTADOS!E50),2,0)</f>
        <v>0</v>
      </c>
      <c r="Z50" s="136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6" t="n">
        <f aca="false">IF(AND(ISNUMBER(RESULTADOS!C50),ISNUMBER(RESULTADOS!E50),ISNUMBER(C50),ISNUMBER(E50),AND(Z50=1,OR(C50=RESULTADOS!C50,E50=RESULTADOS!E50))),1,0)</f>
        <v>0</v>
      </c>
      <c r="AB50" s="83"/>
      <c r="AC50" s="83"/>
      <c r="AD50" s="83"/>
      <c r="AE50" s="83"/>
      <c r="AF50" s="83"/>
      <c r="AG50" s="83"/>
      <c r="AH50" s="83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3"/>
      <c r="AC51" s="83"/>
      <c r="AD51" s="83"/>
      <c r="AE51" s="83"/>
      <c r="AF51" s="83"/>
      <c r="AG51" s="83"/>
      <c r="AH51" s="83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6"/>
      <c r="Z52" s="136"/>
      <c r="AA52" s="136"/>
      <c r="AB52" s="83"/>
      <c r="AC52" s="83"/>
      <c r="AD52" s="83"/>
      <c r="AE52" s="83"/>
      <c r="AF52" s="83"/>
      <c r="AG52" s="83"/>
      <c r="AH52" s="83"/>
    </row>
    <row r="53" customFormat="false" ht="13.5" hidden="false" customHeight="true" outlineLevel="0" collapsed="false">
      <c r="B53" s="17" t="s">
        <v>137</v>
      </c>
      <c r="C53" s="18" t="n">
        <v>2</v>
      </c>
      <c r="D53" s="16" t="s">
        <v>29</v>
      </c>
      <c r="E53" s="19" t="n">
        <v>2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6" t="n">
        <f aca="false">IF(AND(ISNUMBER(RESULTADOS!C53),ISNUMBER(RESULTADOS!E53),ISNUMBER(C53),ISNUMBER(E53),C53=RESULTADOS!C53,E53=RESULTADOS!E53),2,0)</f>
        <v>0</v>
      </c>
      <c r="Z53" s="136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6" t="n">
        <f aca="false">IF(AND(ISNUMBER(RESULTADOS!C53),ISNUMBER(RESULTADOS!E53),ISNUMBER(C53),ISNUMBER(E53),AND(Z53=1,OR(C53=RESULTADOS!C53,E53=RESULTADOS!E53))),1,0)</f>
        <v>0</v>
      </c>
      <c r="AB53" s="83"/>
      <c r="AC53" s="83"/>
      <c r="AD53" s="83"/>
      <c r="AE53" s="83"/>
      <c r="AF53" s="83"/>
      <c r="AG53" s="83"/>
      <c r="AH53" s="83"/>
    </row>
    <row r="54" customFormat="false" ht="13.5" hidden="false" customHeight="true" outlineLevel="0" collapsed="false">
      <c r="B54" s="17" t="s">
        <v>139</v>
      </c>
      <c r="C54" s="18" t="n">
        <v>2</v>
      </c>
      <c r="D54" s="16" t="s">
        <v>29</v>
      </c>
      <c r="E54" s="19" t="n">
        <v>1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7</v>
      </c>
      <c r="N54" s="16" t="n">
        <f aca="true">SUM(INDIRECT($AC54),INDIRECT($AD54),INDIRECT($AE54))</f>
        <v>9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6" t="n">
        <f aca="false">IF(AND(ISNUMBER(RESULTADOS!C54),ISNUMBER(RESULTADOS!E54),ISNUMBER(C54),ISNUMBER(E54),C54=RESULTADOS!C54,E54=RESULTADOS!E54),2,0)</f>
        <v>0</v>
      </c>
      <c r="Z54" s="136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6" t="n">
        <f aca="false">IF(AND(ISNUMBER(RESULTADOS!C54),ISNUMBER(RESULTADOS!E54),ISNUMBER(C54),ISNUMBER(E54),AND(Z54=1,OR(C54=RESULTADOS!C54,E54=RESULTADOS!E54))),1,0)</f>
        <v>0</v>
      </c>
      <c r="AB54" s="83"/>
      <c r="AC54" s="83" t="s">
        <v>141</v>
      </c>
      <c r="AD54" s="83" t="s">
        <v>142</v>
      </c>
      <c r="AE54" s="83" t="s">
        <v>143</v>
      </c>
      <c r="AF54" s="83" t="str">
        <f aca="false">IF(ISNUMBER(FIND("C", AC54, 1)), SUBSTITUTE(AC54, "C", "E"), SUBSTITUTE(AC54, "E", "C"))</f>
        <v>E53</v>
      </c>
      <c r="AG54" s="83" t="str">
        <f aca="false">IF(ISNUMBER(FIND("C", AD54, 1)), SUBSTITUTE(AD54, "C", "E"), SUBSTITUTE(AD54, "E", "C"))</f>
        <v>E55</v>
      </c>
      <c r="AH54" s="83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3</v>
      </c>
      <c r="D55" s="16" t="s">
        <v>29</v>
      </c>
      <c r="E55" s="19" t="n">
        <v>0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7</v>
      </c>
      <c r="N55" s="16" t="n">
        <f aca="true">SUM(INDIRECT($AC55),INDIRECT($AD55),INDIRECT($AE55))</f>
        <v>9</v>
      </c>
      <c r="O55" s="16" t="n">
        <f aca="true">SUM(INDIRECT($AF55),INDIRECT($AG55),INDIRECT($AH55))</f>
        <v>2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6" t="n">
        <f aca="false">IF(AND(ISNUMBER(RESULTADOS!C55),ISNUMBER(RESULTADOS!E55),ISNUMBER(C55),ISNUMBER(E55),C55=RESULTADOS!C55,E55=RESULTADOS!E55),2,0)</f>
        <v>0</v>
      </c>
      <c r="Z55" s="136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6" t="n">
        <f aca="false">IF(AND(ISNUMBER(RESULTADOS!C55),ISNUMBER(RESULTADOS!E55),ISNUMBER(C55),ISNUMBER(E55),AND(Z55=1,OR(C55=RESULTADOS!C55,E55=RESULTADOS!E55))),1,0)</f>
        <v>0</v>
      </c>
      <c r="AB55" s="83"/>
      <c r="AC55" s="83" t="s">
        <v>144</v>
      </c>
      <c r="AD55" s="83" t="s">
        <v>145</v>
      </c>
      <c r="AE55" s="83" t="s">
        <v>146</v>
      </c>
      <c r="AF55" s="83" t="str">
        <f aca="false">IF(ISNUMBER(FIND("C", AC55, 1)), SUBSTITUTE(AC55, "C", "E"), SUBSTITUTE(AC55, "E", "C"))</f>
        <v>C53</v>
      </c>
      <c r="AG55" s="83" t="str">
        <f aca="false">IF(ISNUMBER(FIND("C", AD55, 1)), SUBSTITUTE(AD55, "C", "E"), SUBSTITUTE(AD55, "E", "C"))</f>
        <v>C56</v>
      </c>
      <c r="AH55" s="83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4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-5</v>
      </c>
      <c r="N56" s="16" t="n">
        <f aca="true">SUM(INDIRECT($AC56),INDIRECT($AD56),INDIRECT($AE56))</f>
        <v>2</v>
      </c>
      <c r="O56" s="16" t="n">
        <f aca="true">SUM(INDIRECT($AF56),INDIRECT($AG56),INDIRECT($AH56))</f>
        <v>7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6" t="n">
        <f aca="false">IF(AND(ISNUMBER(RESULTADOS!C56),ISNUMBER(RESULTADOS!E56),ISNUMBER(C56),ISNUMBER(E56),C56=RESULTADOS!C56,E56=RESULTADOS!E56),2,0)</f>
        <v>0</v>
      </c>
      <c r="Z56" s="136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6" t="n">
        <f aca="false">IF(AND(ISNUMBER(RESULTADOS!C56),ISNUMBER(RESULTADOS!E56),ISNUMBER(C56),ISNUMBER(E56),AND(Z56=1,OR(C56=RESULTADOS!C56,E56=RESULTADOS!E56))),1,0)</f>
        <v>0</v>
      </c>
      <c r="AB56" s="83"/>
      <c r="AC56" s="83" t="s">
        <v>147</v>
      </c>
      <c r="AD56" s="83" t="s">
        <v>148</v>
      </c>
      <c r="AE56" s="83" t="s">
        <v>149</v>
      </c>
      <c r="AF56" s="83" t="str">
        <f aca="false">IF(ISNUMBER(FIND("C", AC56, 1)), SUBSTITUTE(AC56, "C", "E"), SUBSTITUTE(AC56, "E", "C"))</f>
        <v>E54</v>
      </c>
      <c r="AG56" s="83" t="str">
        <f aca="false">IF(ISNUMBER(FIND("C", AD56, 1)), SUBSTITUTE(AD56, "C", "E"), SUBSTITUTE(AD56, "E", "C"))</f>
        <v>C55</v>
      </c>
      <c r="AH56" s="83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3</v>
      </c>
      <c r="D57" s="16" t="s">
        <v>29</v>
      </c>
      <c r="E57" s="19" t="n">
        <v>0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-9</v>
      </c>
      <c r="N57" s="35" t="n">
        <f aca="true">SUM(INDIRECT($AC57),INDIRECT($AD57),INDIRECT($AE57))</f>
        <v>1</v>
      </c>
      <c r="O57" s="35" t="n">
        <f aca="true">SUM(INDIRECT($AF57),INDIRECT($AG57),INDIRECT($AH57))</f>
        <v>10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6" t="n">
        <f aca="false">IF(AND(ISNUMBER(RESULTADOS!C57),ISNUMBER(RESULTADOS!E57),ISNUMBER(C57),ISNUMBER(E57),C57=RESULTADOS!C57,E57=RESULTADOS!E57),2,0)</f>
        <v>0</v>
      </c>
      <c r="Z57" s="136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6" t="n">
        <f aca="false">IF(AND(ISNUMBER(RESULTADOS!C57),ISNUMBER(RESULTADOS!E57),ISNUMBER(C57),ISNUMBER(E57),AND(Z57=1,OR(C57=RESULTADOS!C57,E57=RESULTADOS!E57))),1,0)</f>
        <v>0</v>
      </c>
      <c r="AB57" s="83"/>
      <c r="AC57" s="83" t="s">
        <v>150</v>
      </c>
      <c r="AD57" s="83" t="s">
        <v>151</v>
      </c>
      <c r="AE57" s="83" t="s">
        <v>152</v>
      </c>
      <c r="AF57" s="83" t="str">
        <f aca="false">IF(ISNUMBER(FIND("C", AC57, 1)), SUBSTITUTE(AC57, "C", "E"), SUBSTITUTE(AC57, "E", "C"))</f>
        <v>C54</v>
      </c>
      <c r="AG57" s="83" t="str">
        <f aca="false">IF(ISNUMBER(FIND("C", AD57, 1)), SUBSTITUTE(AD57, "C", "E"), SUBSTITUTE(AD57, "E", "C"))</f>
        <v>E56</v>
      </c>
      <c r="AH57" s="83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4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6" t="n">
        <f aca="false">IF(AND(ISNUMBER(RESULTADOS!C58),ISNUMBER(RESULTADOS!E58),ISNUMBER(C58),ISNUMBER(E58),C58=RESULTADOS!C58,E58=RESULTADOS!E58),2,0)</f>
        <v>0</v>
      </c>
      <c r="Z58" s="136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6" t="n">
        <f aca="false">IF(AND(ISNUMBER(RESULTADOS!C58),ISNUMBER(RESULTADOS!E58),ISNUMBER(C58),ISNUMBER(E58),AND(Z58=1,OR(C58=RESULTADOS!C58,E58=RESULTADOS!E58))),1,0)</f>
        <v>0</v>
      </c>
      <c r="AB58" s="83"/>
      <c r="AC58" s="83"/>
      <c r="AD58" s="83"/>
      <c r="AE58" s="83"/>
      <c r="AF58" s="83"/>
      <c r="AG58" s="83"/>
      <c r="AH58" s="83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3"/>
      <c r="AC59" s="83"/>
      <c r="AD59" s="83"/>
      <c r="AE59" s="83"/>
      <c r="AF59" s="83"/>
      <c r="AG59" s="83"/>
      <c r="AH59" s="83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6"/>
      <c r="Z60" s="136"/>
      <c r="AA60" s="136"/>
      <c r="AB60" s="83"/>
      <c r="AC60" s="83"/>
      <c r="AD60" s="83"/>
      <c r="AE60" s="83"/>
      <c r="AF60" s="83"/>
      <c r="AG60" s="83"/>
      <c r="AH60" s="83"/>
    </row>
    <row r="61" customFormat="false" ht="13.5" hidden="false" customHeight="true" outlineLevel="0" collapsed="false">
      <c r="B61" s="17" t="s">
        <v>154</v>
      </c>
      <c r="C61" s="18" t="n">
        <v>5</v>
      </c>
      <c r="D61" s="16" t="s">
        <v>29</v>
      </c>
      <c r="E61" s="19" t="n">
        <v>0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6" t="n">
        <f aca="false">IF(AND(ISNUMBER(RESULTADOS!C61),ISNUMBER(RESULTADOS!E61),ISNUMBER(C61),ISNUMBER(E61),C61=RESULTADOS!C61,E61=RESULTADOS!E61),2,0)</f>
        <v>0</v>
      </c>
      <c r="Z61" s="136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6" t="n">
        <f aca="false">IF(AND(ISNUMBER(RESULTADOS!C61),ISNUMBER(RESULTADOS!E61),ISNUMBER(C61),ISNUMBER(E61),AND(Z61=1,OR(C61=RESULTADOS!C61,E61=RESULTADOS!E61))),1,0)</f>
        <v>0</v>
      </c>
      <c r="AB61" s="83"/>
      <c r="AC61" s="83"/>
      <c r="AD61" s="83"/>
      <c r="AE61" s="83"/>
      <c r="AF61" s="83"/>
      <c r="AG61" s="83"/>
      <c r="AH61" s="83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3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5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6" t="n">
        <f aca="false">IF(AND(ISNUMBER(RESULTADOS!C62),ISNUMBER(RESULTADOS!E62),ISNUMBER(C62),ISNUMBER(E62),C62=RESULTADOS!C62,E62=RESULTADOS!E62),2,0)</f>
        <v>0</v>
      </c>
      <c r="Z62" s="136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6" t="n">
        <f aca="false">IF(AND(ISNUMBER(RESULTADOS!C62),ISNUMBER(RESULTADOS!E62),ISNUMBER(C62),ISNUMBER(E62),AND(Z62=1,OR(C62=RESULTADOS!C62,E62=RESULTADOS!E62))),1,0)</f>
        <v>0</v>
      </c>
      <c r="AB62" s="83"/>
      <c r="AC62" s="83" t="s">
        <v>158</v>
      </c>
      <c r="AD62" s="83" t="s">
        <v>159</v>
      </c>
      <c r="AE62" s="83" t="s">
        <v>160</v>
      </c>
      <c r="AF62" s="83" t="str">
        <f aca="false">IF(ISNUMBER(FIND("C", AC62, 1)), SUBSTITUTE(AC62, "C", "E"), SUBSTITUTE(AC62, "E", "C"))</f>
        <v>E62</v>
      </c>
      <c r="AG62" s="83" t="str">
        <f aca="false">IF(ISNUMBER(FIND("C", AD62, 1)), SUBSTITUTE(AD62, "C", "E"), SUBSTITUTE(AD62, "E", "C"))</f>
        <v>C63</v>
      </c>
      <c r="AH62" s="83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3</v>
      </c>
      <c r="D63" s="16" t="s">
        <v>29</v>
      </c>
      <c r="E63" s="19" t="n">
        <v>1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-12</v>
      </c>
      <c r="N63" s="16" t="n">
        <f aca="true">SUM(INDIRECT($AC63),INDIRECT($AD63),INDIRECT($AE63))</f>
        <v>0</v>
      </c>
      <c r="O63" s="16" t="n">
        <f aca="true">SUM(INDIRECT($AF63),INDIRECT($AG63),INDIRECT($AH63))</f>
        <v>12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6" t="n">
        <f aca="false">IF(AND(ISNUMBER(RESULTADOS!C63),ISNUMBER(RESULTADOS!E63),ISNUMBER(C63),ISNUMBER(E63),C63=RESULTADOS!C63,E63=RESULTADOS!E63),2,0)</f>
        <v>0</v>
      </c>
      <c r="Z63" s="136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6" t="n">
        <f aca="false">IF(AND(ISNUMBER(RESULTADOS!C63),ISNUMBER(RESULTADOS!E63),ISNUMBER(C63),ISNUMBER(E63),AND(Z63=1,OR(C63=RESULTADOS!C63,E63=RESULTADOS!E63))),1,0)</f>
        <v>0</v>
      </c>
      <c r="AB63" s="83"/>
      <c r="AC63" s="83" t="s">
        <v>161</v>
      </c>
      <c r="AD63" s="83" t="s">
        <v>162</v>
      </c>
      <c r="AE63" s="83" t="s">
        <v>163</v>
      </c>
      <c r="AF63" s="83" t="str">
        <f aca="false">IF(ISNUMBER(FIND("C", AC63, 1)), SUBSTITUTE(AC63, "C", "E"), SUBSTITUTE(AC63, "E", "C"))</f>
        <v>C61</v>
      </c>
      <c r="AG63" s="83" t="str">
        <f aca="false">IF(ISNUMBER(FIND("C", AD63, 1)), SUBSTITUTE(AD63, "C", "E"), SUBSTITUTE(AD63, "E", "C"))</f>
        <v>C64</v>
      </c>
      <c r="AH63" s="83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4</v>
      </c>
      <c r="D64" s="16" t="s">
        <v>29</v>
      </c>
      <c r="E64" s="19" t="n">
        <v>0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11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6" t="n">
        <f aca="false">IF(AND(ISNUMBER(RESULTADOS!C64),ISNUMBER(RESULTADOS!E64),ISNUMBER(C64),ISNUMBER(E64),C64=RESULTADOS!C64,E64=RESULTADOS!E64),2,0)</f>
        <v>0</v>
      </c>
      <c r="Z64" s="136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6" t="n">
        <f aca="false">IF(AND(ISNUMBER(RESULTADOS!C64),ISNUMBER(RESULTADOS!E64),ISNUMBER(C64),ISNUMBER(E64),AND(Z64=1,OR(C64=RESULTADOS!C64,E64=RESULTADOS!E64))),1,0)</f>
        <v>0</v>
      </c>
      <c r="AB64" s="83"/>
      <c r="AC64" s="83" t="s">
        <v>164</v>
      </c>
      <c r="AD64" s="83" t="s">
        <v>165</v>
      </c>
      <c r="AE64" s="83" t="s">
        <v>166</v>
      </c>
      <c r="AF64" s="83" t="str">
        <f aca="false">IF(ISNUMBER(FIND("C", AC64, 1)), SUBSTITUTE(AC64, "C", "E"), SUBSTITUTE(AC64, "E", "C"))</f>
        <v>E61</v>
      </c>
      <c r="AG64" s="83" t="str">
        <f aca="false">IF(ISNUMBER(FIND("C", AD64, 1)), SUBSTITUTE(AD64, "C", "E"), SUBSTITUTE(AD64, "E", "C"))</f>
        <v>E63</v>
      </c>
      <c r="AH64" s="83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0</v>
      </c>
      <c r="D65" s="16" t="s">
        <v>29</v>
      </c>
      <c r="E65" s="19" t="n">
        <v>3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4</v>
      </c>
      <c r="N65" s="35" t="n">
        <f aca="true">SUM(INDIRECT($AC65),INDIRECT($AD65),INDIRECT($AE65))</f>
        <v>8</v>
      </c>
      <c r="O65" s="35" t="n">
        <f aca="true">SUM(INDIRECT($AF65),INDIRECT($AG65),INDIRECT($AH65))</f>
        <v>4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6" t="n">
        <f aca="false">IF(AND(ISNUMBER(RESULTADOS!C65),ISNUMBER(RESULTADOS!E65),ISNUMBER(C65),ISNUMBER(E65),C65=RESULTADOS!C65,E65=RESULTADOS!E65),2,0)</f>
        <v>0</v>
      </c>
      <c r="Z65" s="136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6" t="n">
        <f aca="false">IF(AND(ISNUMBER(RESULTADOS!C65),ISNUMBER(RESULTADOS!E65),ISNUMBER(C65),ISNUMBER(E65),AND(Z65=1,OR(C65=RESULTADOS!C65,E65=RESULTADOS!E65))),1,0)</f>
        <v>0</v>
      </c>
      <c r="AB65" s="83"/>
      <c r="AC65" s="83" t="s">
        <v>167</v>
      </c>
      <c r="AD65" s="83" t="s">
        <v>168</v>
      </c>
      <c r="AE65" s="83" t="s">
        <v>169</v>
      </c>
      <c r="AF65" s="83" t="str">
        <f aca="false">IF(ISNUMBER(FIND("C", AC65, 1)), SUBSTITUTE(AC65, "C", "E"), SUBSTITUTE(AC65, "E", "C"))</f>
        <v>C62</v>
      </c>
      <c r="AG65" s="83" t="str">
        <f aca="false">IF(ISNUMBER(FIND("C", AD65, 1)), SUBSTITUTE(AD65, "C", "E"), SUBSTITUTE(AD65, "E", "C"))</f>
        <v>E64</v>
      </c>
      <c r="AH65" s="83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3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6" t="n">
        <f aca="false">IF(AND(ISNUMBER(RESULTADOS!C66),ISNUMBER(RESULTADOS!E66),ISNUMBER(C66),ISNUMBER(E66),C66=RESULTADOS!C66,E66=RESULTADOS!E66),2,0)</f>
        <v>0</v>
      </c>
      <c r="Z66" s="136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6" t="n">
        <f aca="false">IF(AND(ISNUMBER(RESULTADOS!C66),ISNUMBER(RESULTADOS!E66),ISNUMBER(C66),ISNUMBER(E66),AND(Z66=1,OR(C66=RESULTADOS!C66,E66=RESULTADOS!E66))),1,0)</f>
        <v>0</v>
      </c>
      <c r="AB66" s="83"/>
      <c r="AC66" s="83"/>
      <c r="AD66" s="83"/>
      <c r="AE66" s="83"/>
      <c r="AF66" s="83"/>
      <c r="AG66" s="83"/>
      <c r="AH66" s="83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3"/>
      <c r="Z67" s="83"/>
      <c r="AA67" s="83"/>
      <c r="AB67" s="83"/>
      <c r="AC67" s="83"/>
      <c r="AD67" s="83"/>
      <c r="AE67" s="83"/>
      <c r="AF67" s="83"/>
      <c r="AG67" s="83"/>
      <c r="AH67" s="83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3"/>
      <c r="Z68" s="83"/>
      <c r="AA68" s="83"/>
      <c r="AB68" s="83"/>
      <c r="AC68" s="83"/>
      <c r="AD68" s="83"/>
      <c r="AE68" s="83"/>
      <c r="AF68" s="83"/>
      <c r="AG68" s="83"/>
      <c r="AH68" s="83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1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6" t="n">
        <f aca="false">IF(AND(ISNUMBER(RESULTADOS!C69),ISNUMBER(RESULTADOS!E69),ISNUMBER(C69),ISNUMBER(E69),C69=RESULTADOS!C69,E69=RESULTADOS!E69),2,0)</f>
        <v>0</v>
      </c>
      <c r="Z69" s="136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6" t="n">
        <f aca="false">IF(AND(ISNUMBER(RESULTADOS!C69),ISNUMBER(RESULTADOS!E69),ISNUMBER(C69),ISNUMBER(E69),AND(Z69=1,OR(C69=RESULTADOS!C69,E69=RESULTADOS!E69))),1,0)</f>
        <v>0</v>
      </c>
      <c r="AB69" s="83"/>
      <c r="AC69" s="83"/>
      <c r="AD69" s="83"/>
      <c r="AE69" s="83"/>
      <c r="AF69" s="83"/>
      <c r="AG69" s="83"/>
      <c r="AH69" s="83"/>
    </row>
    <row r="70" customFormat="false" ht="12.75" hidden="false" customHeight="true" outlineLevel="0" collapsed="false">
      <c r="B70" s="17" t="s">
        <v>173</v>
      </c>
      <c r="C70" s="18" t="n">
        <v>2</v>
      </c>
      <c r="D70" s="16" t="s">
        <v>29</v>
      </c>
      <c r="E70" s="19" t="n">
        <v>1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6" t="n">
        <f aca="false">IF(AND(ISNUMBER(RESULTADOS!C70),ISNUMBER(RESULTADOS!E70),ISNUMBER(C70),ISNUMBER(E70),C70=RESULTADOS!C70,E70=RESULTADOS!E70),2,0)</f>
        <v>0</v>
      </c>
      <c r="Z70" s="136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6" t="n">
        <f aca="false">IF(AND(ISNUMBER(RESULTADOS!C70),ISNUMBER(RESULTADOS!E70),ISNUMBER(C70),ISNUMBER(E70),AND(Z70=1,OR(C70=RESULTADOS!C70,E70=RESULTADOS!E70))),1,0)</f>
        <v>0</v>
      </c>
      <c r="AB70" s="83"/>
      <c r="AC70" s="83" t="s">
        <v>175</v>
      </c>
      <c r="AD70" s="83" t="s">
        <v>176</v>
      </c>
      <c r="AE70" s="83" t="s">
        <v>177</v>
      </c>
      <c r="AF70" s="83" t="str">
        <f aca="false">IF(ISNUMBER(FIND("C", AC70, 1)), SUBSTITUTE(AC70, "C", "E"), SUBSTITUTE(AC70, "E", "C"))</f>
        <v>E69</v>
      </c>
      <c r="AG70" s="83" t="str">
        <f aca="false">IF(ISNUMBER(FIND("C", AD70, 1)), SUBSTITUTE(AD70, "C", "E"), SUBSTITUTE(AD70, "E", "C"))</f>
        <v>E71</v>
      </c>
      <c r="AH70" s="83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0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6" t="n">
        <f aca="false">N71-O71</f>
        <v>-4</v>
      </c>
      <c r="N71" s="16" t="n">
        <f aca="true">SUM(INDIRECT($AC71),INDIRECT($AD71),INDIRECT($AE71))</f>
        <v>2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6" t="n">
        <f aca="false">IF(AND(ISNUMBER(RESULTADOS!C71),ISNUMBER(RESULTADOS!E71),ISNUMBER(C71),ISNUMBER(E71),C71=RESULTADOS!C71,E71=RESULTADOS!E71),2,0)</f>
        <v>0</v>
      </c>
      <c r="Z71" s="136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6" t="n">
        <f aca="false">IF(AND(ISNUMBER(RESULTADOS!C71),ISNUMBER(RESULTADOS!E71),ISNUMBER(C71),ISNUMBER(E71),AND(Z71=1,OR(C71=RESULTADOS!C71,E71=RESULTADOS!E71))),1,0)</f>
        <v>0</v>
      </c>
      <c r="AB71" s="83"/>
      <c r="AC71" s="83" t="s">
        <v>178</v>
      </c>
      <c r="AD71" s="83" t="s">
        <v>179</v>
      </c>
      <c r="AE71" s="83" t="s">
        <v>180</v>
      </c>
      <c r="AF71" s="83" t="str">
        <f aca="false">IF(ISNUMBER(FIND("C", AC71, 1)), SUBSTITUTE(AC71, "C", "E"), SUBSTITUTE(AC71, "E", "C"))</f>
        <v>E70</v>
      </c>
      <c r="AG71" s="83" t="str">
        <f aca="false">IF(ISNUMBER(FIND("C", AD71, 1)), SUBSTITUTE(AD71, "C", "E"), SUBSTITUTE(AD71, "E", "C"))</f>
        <v>C71</v>
      </c>
      <c r="AH71" s="83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0</v>
      </c>
      <c r="D72" s="16" t="s">
        <v>29</v>
      </c>
      <c r="E72" s="19" t="n">
        <v>3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-6</v>
      </c>
      <c r="N72" s="16" t="n">
        <f aca="true">SUM(INDIRECT($AC72),INDIRECT($AD72),INDIRECT($AE72))</f>
        <v>2</v>
      </c>
      <c r="O72" s="16" t="n">
        <f aca="true">SUM(INDIRECT($AF72),INDIRECT($AG72),INDIRECT($AH72))</f>
        <v>8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6" t="n">
        <f aca="false">IF(AND(ISNUMBER(RESULTADOS!C72),ISNUMBER(RESULTADOS!E72),ISNUMBER(C72),ISNUMBER(E72),C72=RESULTADOS!C72,E72=RESULTADOS!E72),2,0)</f>
        <v>0</v>
      </c>
      <c r="Z72" s="136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6" t="n">
        <f aca="false">IF(AND(ISNUMBER(RESULTADOS!C72),ISNUMBER(RESULTADOS!E72),ISNUMBER(C72),ISNUMBER(E72),AND(Z72=1,OR(C72=RESULTADOS!C72,E72=RESULTADOS!E72))),1,0)</f>
        <v>0</v>
      </c>
      <c r="AB72" s="83"/>
      <c r="AC72" s="83" t="s">
        <v>181</v>
      </c>
      <c r="AD72" s="83" t="s">
        <v>182</v>
      </c>
      <c r="AE72" s="83" t="s">
        <v>183</v>
      </c>
      <c r="AF72" s="83" t="str">
        <f aca="false">IF(ISNUMBER(FIND("C", AC72, 1)), SUBSTITUTE(AC72, "C", "E"), SUBSTITUTE(AC72, "E", "C"))</f>
        <v>C70</v>
      </c>
      <c r="AG72" s="83" t="str">
        <f aca="false">IF(ISNUMBER(FIND("C", AD72, 1)), SUBSTITUTE(AD72, "C", "E"), SUBSTITUTE(AD72, "E", "C"))</f>
        <v>E72</v>
      </c>
      <c r="AH72" s="83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4</v>
      </c>
      <c r="N73" s="35" t="n">
        <f aca="true">SUM(INDIRECT($AC73),INDIRECT($AD73),INDIRECT($AE73))</f>
        <v>6</v>
      </c>
      <c r="O73" s="35" t="n">
        <f aca="true">SUM(INDIRECT($AF73),INDIRECT($AG73),INDIRECT($AH73))</f>
        <v>2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6" t="n">
        <f aca="false">IF(AND(ISNUMBER(RESULTADOS!C73),ISNUMBER(RESULTADOS!E73),ISNUMBER(C73),ISNUMBER(E73),C73=RESULTADOS!C73,E73=RESULTADOS!E73),2,0)</f>
        <v>0</v>
      </c>
      <c r="Z73" s="136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6" t="n">
        <f aca="false">IF(AND(ISNUMBER(RESULTADOS!C73),ISNUMBER(RESULTADOS!E73),ISNUMBER(C73),ISNUMBER(E73),AND(Z73=1,OR(C73=RESULTADOS!C73,E73=RESULTADOS!E73))),1,0)</f>
        <v>0</v>
      </c>
      <c r="AB73" s="83"/>
      <c r="AC73" s="83" t="s">
        <v>184</v>
      </c>
      <c r="AD73" s="83" t="s">
        <v>185</v>
      </c>
      <c r="AE73" s="83" t="s">
        <v>186</v>
      </c>
      <c r="AF73" s="83" t="str">
        <f aca="false">IF(ISNUMBER(FIND("C", AC73, 1)), SUBSTITUTE(AC73, "C", "E"), SUBSTITUTE(AC73, "E", "C"))</f>
        <v>C69</v>
      </c>
      <c r="AG73" s="83" t="str">
        <f aca="false">IF(ISNUMBER(FIND("C", AD73, 1)), SUBSTITUTE(AD73, "C", "E"), SUBSTITUTE(AD73, "E", "C"))</f>
        <v>C72</v>
      </c>
      <c r="AH73" s="83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3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6" t="n">
        <f aca="false">IF(AND(ISNUMBER(RESULTADOS!C74),ISNUMBER(RESULTADOS!E74),ISNUMBER(C74),ISNUMBER(E74),C74=RESULTADOS!C74,E74=RESULTADOS!E74),2,0)</f>
        <v>0</v>
      </c>
      <c r="Z74" s="136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6" t="n">
        <f aca="false">IF(AND(ISNUMBER(RESULTADOS!C74),ISNUMBER(RESULTADOS!E74),ISNUMBER(C74),ISNUMBER(E74),AND(Z74=1,OR(C74=RESULTADOS!C74,E74=RESULTADOS!E74))),1,0)</f>
        <v>0</v>
      </c>
      <c r="AB74" s="83"/>
      <c r="AC74" s="83"/>
      <c r="AD74" s="83"/>
      <c r="AE74" s="83"/>
      <c r="AF74" s="83"/>
      <c r="AG74" s="83"/>
      <c r="AH74" s="83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3"/>
      <c r="Z75" s="83"/>
      <c r="AA75" s="83"/>
      <c r="AB75" s="83"/>
      <c r="AC75" s="83"/>
      <c r="AD75" s="83"/>
      <c r="AE75" s="83"/>
      <c r="AF75" s="83"/>
      <c r="AG75" s="83"/>
      <c r="AH75" s="83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3"/>
      <c r="Z76" s="83"/>
      <c r="AA76" s="83"/>
      <c r="AB76" s="83"/>
      <c r="AC76" s="83"/>
      <c r="AD76" s="83"/>
      <c r="AE76" s="83"/>
      <c r="AF76" s="83"/>
      <c r="AG76" s="83"/>
      <c r="AH76" s="83"/>
    </row>
    <row r="77" customFormat="false" ht="12.75" hidden="false" customHeight="true" outlineLevel="0" collapsed="false">
      <c r="B77" s="17" t="s">
        <v>188</v>
      </c>
      <c r="C77" s="18" t="n">
        <v>3</v>
      </c>
      <c r="D77" s="16" t="s">
        <v>29</v>
      </c>
      <c r="E77" s="19" t="n">
        <v>1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6" t="n">
        <f aca="false">IF(AND(ISNUMBER(RESULTADOS!C77),ISNUMBER(RESULTADOS!E77),ISNUMBER(C77),ISNUMBER(E77),C77=RESULTADOS!C77,E77=RESULTADOS!E77),2,0)</f>
        <v>0</v>
      </c>
      <c r="Z77" s="136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6" t="n">
        <f aca="false">IF(AND(ISNUMBER(RESULTADOS!C77),ISNUMBER(RESULTADOS!E77),ISNUMBER(C77),ISNUMBER(E77),AND(Z77=1,OR(C77=RESULTADOS!C77,E77=RESULTADOS!E77))),1,0)</f>
        <v>0</v>
      </c>
      <c r="AB77" s="83"/>
      <c r="AC77" s="83"/>
      <c r="AD77" s="83"/>
      <c r="AE77" s="83"/>
      <c r="AF77" s="83"/>
      <c r="AG77" s="83"/>
      <c r="AH77" s="83"/>
    </row>
    <row r="78" customFormat="false" ht="12.75" hidden="false" customHeight="true" outlineLevel="0" collapsed="false">
      <c r="B78" s="17" t="s">
        <v>190</v>
      </c>
      <c r="C78" s="18" t="n">
        <v>1</v>
      </c>
      <c r="D78" s="16" t="s">
        <v>29</v>
      </c>
      <c r="E78" s="19" t="n">
        <v>2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11</v>
      </c>
      <c r="O78" s="16" t="n">
        <f aca="true">SUM(INDIRECT($AF78),INDIRECT($AG78),INDIRECT($AH78))</f>
        <v>3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6" t="n">
        <f aca="false">IF(AND(ISNUMBER(RESULTADOS!C78),ISNUMBER(RESULTADOS!E78),ISNUMBER(C78),ISNUMBER(E78),C78=RESULTADOS!C78,E78=RESULTADOS!E78),2,0)</f>
        <v>0</v>
      </c>
      <c r="Z78" s="136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6" t="n">
        <f aca="false">IF(AND(ISNUMBER(RESULTADOS!C78),ISNUMBER(RESULTADOS!E78),ISNUMBER(C78),ISNUMBER(E78),AND(Z78=1,OR(C78=RESULTADOS!C78,E78=RESULTADOS!E78))),1,0)</f>
        <v>0</v>
      </c>
      <c r="AB78" s="83"/>
      <c r="AC78" s="83" t="s">
        <v>192</v>
      </c>
      <c r="AD78" s="83" t="s">
        <v>193</v>
      </c>
      <c r="AE78" s="83" t="s">
        <v>194</v>
      </c>
      <c r="AF78" s="83" t="str">
        <f aca="false">IF(ISNUMBER(FIND("C", AC78, 1)), SUBSTITUTE(AC78, "C", "E"), SUBSTITUTE(AC78, "E", "C"))</f>
        <v>E77</v>
      </c>
      <c r="AG78" s="83" t="str">
        <f aca="false">IF(ISNUMBER(FIND("C", AD78, 1)), SUBSTITUTE(AD78, "C", "E"), SUBSTITUTE(AD78, "E", "C"))</f>
        <v>E79</v>
      </c>
      <c r="AH78" s="83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3</v>
      </c>
      <c r="D79" s="16" t="s">
        <v>29</v>
      </c>
      <c r="E79" s="19" t="n">
        <v>1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0</v>
      </c>
      <c r="N79" s="16" t="n">
        <f aca="true">SUM(INDIRECT($AC79),INDIRECT($AD79),INDIRECT($AE79))</f>
        <v>3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6" t="n">
        <f aca="false">IF(AND(ISNUMBER(RESULTADOS!C79),ISNUMBER(RESULTADOS!E79),ISNUMBER(C79),ISNUMBER(E79),C79=RESULTADOS!C79,E79=RESULTADOS!E79),2,0)</f>
        <v>0</v>
      </c>
      <c r="Z79" s="136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6" t="n">
        <f aca="false">IF(AND(ISNUMBER(RESULTADOS!C79),ISNUMBER(RESULTADOS!E79),ISNUMBER(C79),ISNUMBER(E79),AND(Z79=1,OR(C79=RESULTADOS!C79,E79=RESULTADOS!E79))),1,0)</f>
        <v>0</v>
      </c>
      <c r="AB79" s="83"/>
      <c r="AC79" s="83" t="s">
        <v>195</v>
      </c>
      <c r="AD79" s="83" t="s">
        <v>196</v>
      </c>
      <c r="AE79" s="83" t="s">
        <v>197</v>
      </c>
      <c r="AF79" s="83" t="str">
        <f aca="false">IF(ISNUMBER(FIND("C", AC79, 1)), SUBSTITUTE(AC79, "C", "E"), SUBSTITUTE(AC79, "E", "C"))</f>
        <v>C77</v>
      </c>
      <c r="AG79" s="83" t="str">
        <f aca="false">IF(ISNUMBER(FIND("C", AD79, 1)), SUBSTITUTE(AD79, "C", "E"), SUBSTITUTE(AD79, "E", "C"))</f>
        <v>C80</v>
      </c>
      <c r="AH79" s="83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0</v>
      </c>
      <c r="D80" s="16" t="s">
        <v>29</v>
      </c>
      <c r="E80" s="19" t="n">
        <v>1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6" t="n">
        <f aca="false">N80-O80</f>
        <v>-4</v>
      </c>
      <c r="N80" s="16" t="n">
        <f aca="true">SUM(INDIRECT($AC80),INDIRECT($AD80),INDIRECT($AE80))</f>
        <v>3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6" t="n">
        <f aca="false">IF(AND(ISNUMBER(RESULTADOS!C80),ISNUMBER(RESULTADOS!E80),ISNUMBER(C80),ISNUMBER(E80),C80=RESULTADOS!C80,E80=RESULTADOS!E80),2,0)</f>
        <v>0</v>
      </c>
      <c r="Z80" s="136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6" t="n">
        <f aca="false">IF(AND(ISNUMBER(RESULTADOS!C80),ISNUMBER(RESULTADOS!E80),ISNUMBER(C80),ISNUMBER(E80),AND(Z80=1,OR(C80=RESULTADOS!C80,E80=RESULTADOS!E80))),1,0)</f>
        <v>0</v>
      </c>
      <c r="AB80" s="83"/>
      <c r="AC80" s="83" t="s">
        <v>198</v>
      </c>
      <c r="AD80" s="83" t="s">
        <v>199</v>
      </c>
      <c r="AE80" s="83" t="s">
        <v>200</v>
      </c>
      <c r="AF80" s="83" t="str">
        <f aca="false">IF(ISNUMBER(FIND("C", AC80, 1)), SUBSTITUTE(AC80, "C", "E"), SUBSTITUTE(AC80, "E", "C"))</f>
        <v>C78</v>
      </c>
      <c r="AG80" s="83" t="str">
        <f aca="false">IF(ISNUMBER(FIND("C", AD80, 1)), SUBSTITUTE(AD80, "C", "E"), SUBSTITUTE(AD80, "E", "C"))</f>
        <v>E80</v>
      </c>
      <c r="AH80" s="83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1</v>
      </c>
      <c r="D81" s="16" t="s">
        <v>29</v>
      </c>
      <c r="E81" s="19" t="n">
        <v>5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-4</v>
      </c>
      <c r="N81" s="35" t="n">
        <f aca="true">SUM(INDIRECT($AC81),INDIRECT($AD81),INDIRECT($AE81))</f>
        <v>2</v>
      </c>
      <c r="O81" s="35" t="n">
        <f aca="true">SUM(INDIRECT($AF81),INDIRECT($AG81),INDIRECT($AH81))</f>
        <v>6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6" t="n">
        <f aca="false">IF(AND(ISNUMBER(RESULTADOS!C81),ISNUMBER(RESULTADOS!E81),ISNUMBER(C81),ISNUMBER(E81),C81=RESULTADOS!C81,E81=RESULTADOS!E81),2,0)</f>
        <v>0</v>
      </c>
      <c r="Z81" s="136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6" t="n">
        <f aca="false">IF(AND(ISNUMBER(RESULTADOS!C81),ISNUMBER(RESULTADOS!E81),ISNUMBER(C81),ISNUMBER(E81),AND(Z81=1,OR(C81=RESULTADOS!C81,E81=RESULTADOS!E81))),1,0)</f>
        <v>0</v>
      </c>
      <c r="AB81" s="83"/>
      <c r="AC81" s="83" t="s">
        <v>201</v>
      </c>
      <c r="AD81" s="83" t="s">
        <v>202</v>
      </c>
      <c r="AE81" s="83" t="s">
        <v>203</v>
      </c>
      <c r="AF81" s="83" t="str">
        <f aca="false">IF(ISNUMBER(FIND("C", AC81, 1)), SUBSTITUTE(AC81, "C", "E"), SUBSTITUTE(AC81, "E", "C"))</f>
        <v>E78</v>
      </c>
      <c r="AG81" s="83" t="str">
        <f aca="false">IF(ISNUMBER(FIND("C", AD81, 1)), SUBSTITUTE(AD81, "C", "E"), SUBSTITUTE(AD81, "E", "C"))</f>
        <v>C79</v>
      </c>
      <c r="AH81" s="83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0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6" t="n">
        <f aca="false">IF(AND(ISNUMBER(RESULTADOS!C82),ISNUMBER(RESULTADOS!E82),ISNUMBER(C82),ISNUMBER(E82),C82=RESULTADOS!C82,E82=RESULTADOS!E82),2,0)</f>
        <v>0</v>
      </c>
      <c r="Z82" s="136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6" t="n">
        <f aca="false">IF(AND(ISNUMBER(RESULTADOS!C82),ISNUMBER(RESULTADOS!E82),ISNUMBER(C82),ISNUMBER(E82),AND(Z82=1,OR(C82=RESULTADOS!C82,E82=RESULTADOS!E82))),1,0)</f>
        <v>0</v>
      </c>
      <c r="AB82" s="83"/>
      <c r="AC82" s="83"/>
      <c r="AD82" s="83"/>
      <c r="AE82" s="83"/>
      <c r="AF82" s="83"/>
      <c r="AG82" s="83"/>
      <c r="AH82" s="83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3"/>
      <c r="Z83" s="83"/>
      <c r="AA83" s="83"/>
      <c r="AB83" s="83"/>
      <c r="AC83" s="83"/>
      <c r="AD83" s="83"/>
      <c r="AE83" s="83"/>
      <c r="AF83" s="83"/>
      <c r="AG83" s="83"/>
      <c r="AH83" s="83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3"/>
      <c r="Z84" s="83"/>
      <c r="AA84" s="83"/>
      <c r="AB84" s="83"/>
      <c r="AC84" s="83"/>
      <c r="AD84" s="83"/>
      <c r="AE84" s="83"/>
      <c r="AF84" s="83"/>
      <c r="AG84" s="83"/>
      <c r="AH84" s="83"/>
    </row>
    <row r="85" customFormat="false" ht="12.75" hidden="false" customHeight="true" outlineLevel="0" collapsed="false">
      <c r="B85" s="17" t="s">
        <v>205</v>
      </c>
      <c r="C85" s="18" t="n">
        <v>3</v>
      </c>
      <c r="D85" s="16" t="s">
        <v>29</v>
      </c>
      <c r="E85" s="19" t="n">
        <v>1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6" t="n">
        <f aca="false">IF(AND(ISNUMBER(RESULTADOS!C85),ISNUMBER(RESULTADOS!E85),ISNUMBER(C85),ISNUMBER(E85),C85=RESULTADOS!C85,E85=RESULTADOS!E85),2,0)</f>
        <v>0</v>
      </c>
      <c r="Z85" s="136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6" t="n">
        <f aca="false">IF(AND(ISNUMBER(RESULTADOS!C85),ISNUMBER(RESULTADOS!E85),ISNUMBER(C85),ISNUMBER(E85),AND(Z85=1,OR(C85=RESULTADOS!C85,E85=RESULTADOS!E85))),1,0)</f>
        <v>0</v>
      </c>
      <c r="AB85" s="83"/>
      <c r="AC85" s="83"/>
      <c r="AD85" s="83"/>
      <c r="AE85" s="83"/>
      <c r="AF85" s="83"/>
      <c r="AG85" s="83"/>
      <c r="AH85" s="83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3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5</v>
      </c>
      <c r="N86" s="16" t="n">
        <f aca="true">SUM(INDIRECT($AC86),INDIRECT($AD86),INDIRECT($AE86))</f>
        <v>7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6" t="n">
        <f aca="false">IF(AND(ISNUMBER(RESULTADOS!C86),ISNUMBER(RESULTADOS!E86),ISNUMBER(C86),ISNUMBER(E86),C86=RESULTADOS!C86,E86=RESULTADOS!E86),2,0)</f>
        <v>0</v>
      </c>
      <c r="Z86" s="136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6" t="n">
        <f aca="false">IF(AND(ISNUMBER(RESULTADOS!C86),ISNUMBER(RESULTADOS!E86),ISNUMBER(C86),ISNUMBER(E86),AND(Z86=1,OR(C86=RESULTADOS!C86,E86=RESULTADOS!E86))),1,0)</f>
        <v>0</v>
      </c>
      <c r="AB86" s="83"/>
      <c r="AC86" s="83" t="s">
        <v>209</v>
      </c>
      <c r="AD86" s="83" t="s">
        <v>210</v>
      </c>
      <c r="AE86" s="83" t="s">
        <v>211</v>
      </c>
      <c r="AF86" s="83" t="str">
        <f aca="false">IF(ISNUMBER(FIND("C", AC86, 1)), SUBSTITUTE(AC86, "C", "E"), SUBSTITUTE(AC86, "E", "C"))</f>
        <v>C86</v>
      </c>
      <c r="AG86" s="83" t="str">
        <f aca="false">IF(ISNUMBER(FIND("C", AD86, 1)), SUBSTITUTE(AD86, "C", "E"), SUBSTITUTE(AD86, "E", "C"))</f>
        <v>E88</v>
      </c>
      <c r="AH86" s="83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4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6</v>
      </c>
      <c r="N87" s="16" t="n">
        <f aca="true">SUM(INDIRECT($AC87),INDIRECT($AD87),INDIRECT($AE87))</f>
        <v>8</v>
      </c>
      <c r="O87" s="16" t="n">
        <f aca="true">SUM(INDIRECT($AF87),INDIRECT($AG87),INDIRECT($AH87))</f>
        <v>2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6" t="n">
        <f aca="false">IF(AND(ISNUMBER(RESULTADOS!C87),ISNUMBER(RESULTADOS!E87),ISNUMBER(C87),ISNUMBER(E87),C87=RESULTADOS!C87,E87=RESULTADOS!E87),2,0)</f>
        <v>0</v>
      </c>
      <c r="Z87" s="136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6" t="n">
        <f aca="false">IF(AND(ISNUMBER(RESULTADOS!C87),ISNUMBER(RESULTADOS!E87),ISNUMBER(C87),ISNUMBER(E87),AND(Z87=1,OR(C87=RESULTADOS!C87,E87=RESULTADOS!E87))),1,0)</f>
        <v>0</v>
      </c>
      <c r="AB87" s="83"/>
      <c r="AC87" s="83" t="s">
        <v>212</v>
      </c>
      <c r="AD87" s="83" t="s">
        <v>213</v>
      </c>
      <c r="AE87" s="83" t="s">
        <v>214</v>
      </c>
      <c r="AF87" s="83" t="str">
        <f aca="false">IF(ISNUMBER(FIND("C", AC87, 1)), SUBSTITUTE(AC87, "C", "E"), SUBSTITUTE(AC87, "E", "C"))</f>
        <v>E85</v>
      </c>
      <c r="AG87" s="83" t="str">
        <f aca="false">IF(ISNUMBER(FIND("C", AD87, 1)), SUBSTITUTE(AD87, "C", "E"), SUBSTITUTE(AD87, "E", "C"))</f>
        <v>E87</v>
      </c>
      <c r="AH87" s="83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3</v>
      </c>
      <c r="D88" s="16" t="s">
        <v>29</v>
      </c>
      <c r="E88" s="19" t="n">
        <v>1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4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6" t="n">
        <f aca="false">IF(AND(ISNUMBER(RESULTADOS!C88),ISNUMBER(RESULTADOS!E88),ISNUMBER(C88),ISNUMBER(E88),C88=RESULTADOS!C88,E88=RESULTADOS!E88),2,0)</f>
        <v>0</v>
      </c>
      <c r="Z88" s="136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6" t="n">
        <f aca="false">IF(AND(ISNUMBER(RESULTADOS!C88),ISNUMBER(RESULTADOS!E88),ISNUMBER(C88),ISNUMBER(E88),AND(Z88=1,OR(C88=RESULTADOS!C88,E88=RESULTADOS!E88))),1,0)</f>
        <v>0</v>
      </c>
      <c r="AB88" s="83"/>
      <c r="AC88" s="83" t="s">
        <v>215</v>
      </c>
      <c r="AD88" s="83" t="s">
        <v>216</v>
      </c>
      <c r="AE88" s="83" t="s">
        <v>217</v>
      </c>
      <c r="AF88" s="83" t="str">
        <f aca="false">IF(ISNUMBER(FIND("C", AC88, 1)), SUBSTITUTE(AC88, "C", "E"), SUBSTITUTE(AC88, "E", "C"))</f>
        <v>C85</v>
      </c>
      <c r="AG88" s="83" t="str">
        <f aca="false">IF(ISNUMBER(FIND("C", AD88, 1)), SUBSTITUTE(AD88, "C", "E"), SUBSTITUTE(AD88, "E", "C"))</f>
        <v>C88</v>
      </c>
      <c r="AH88" s="83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1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-8</v>
      </c>
      <c r="N89" s="35" t="n">
        <f aca="true">SUM(INDIRECT($AC89),INDIRECT($AD89),INDIRECT($AE89))</f>
        <v>1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6" t="n">
        <f aca="false">IF(AND(ISNUMBER(RESULTADOS!C89),ISNUMBER(RESULTADOS!E89),ISNUMBER(C89),ISNUMBER(E89),C89=RESULTADOS!C89,E89=RESULTADOS!E89),2,0)</f>
        <v>0</v>
      </c>
      <c r="Z89" s="136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6" t="n">
        <f aca="false">IF(AND(ISNUMBER(RESULTADOS!C89),ISNUMBER(RESULTADOS!E89),ISNUMBER(C89),ISNUMBER(E89),AND(Z89=1,OR(C89=RESULTADOS!C89,E89=RESULTADOS!E89))),1,0)</f>
        <v>0</v>
      </c>
      <c r="AB89" s="83"/>
      <c r="AC89" s="83" t="s">
        <v>218</v>
      </c>
      <c r="AD89" s="83" t="s">
        <v>219</v>
      </c>
      <c r="AE89" s="83" t="s">
        <v>220</v>
      </c>
      <c r="AF89" s="83" t="str">
        <f aca="false">IF(ISNUMBER(FIND("C", AC89, 1)), SUBSTITUTE(AC89, "C", "E"), SUBSTITUTE(AC89, "E", "C"))</f>
        <v>E86</v>
      </c>
      <c r="AG89" s="83" t="str">
        <f aca="false">IF(ISNUMBER(FIND("C", AD89, 1)), SUBSTITUTE(AD89, "C", "E"), SUBSTITUTE(AD89, "E", "C"))</f>
        <v>C87</v>
      </c>
      <c r="AH89" s="83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1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6" t="n">
        <f aca="false">IF(AND(ISNUMBER(RESULTADOS!C90),ISNUMBER(RESULTADOS!E90),ISNUMBER(C90),ISNUMBER(E90),C90=RESULTADOS!C90,E90=RESULTADOS!E90),2,0)</f>
        <v>0</v>
      </c>
      <c r="Z90" s="136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6" t="n">
        <f aca="false">IF(AND(ISNUMBER(RESULTADOS!C90),ISNUMBER(RESULTADOS!E90),ISNUMBER(C90),ISNUMBER(E90),AND(Z90=1,OR(C90=RESULTADOS!C90,E90=RESULTADOS!E90))),1,0)</f>
        <v>0</v>
      </c>
      <c r="AB90" s="83"/>
      <c r="AC90" s="83"/>
      <c r="AD90" s="83"/>
      <c r="AE90" s="83"/>
      <c r="AF90" s="83"/>
      <c r="AG90" s="83"/>
      <c r="AH90" s="83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3"/>
      <c r="Z91" s="83"/>
      <c r="AA91" s="83"/>
      <c r="AB91" s="83"/>
      <c r="AC91" s="83"/>
      <c r="AD91" s="83"/>
      <c r="AE91" s="83"/>
      <c r="AF91" s="83"/>
      <c r="AG91" s="83"/>
      <c r="AH91" s="83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3"/>
      <c r="Z92" s="83"/>
      <c r="AA92" s="83"/>
      <c r="AB92" s="83"/>
      <c r="AC92" s="83"/>
      <c r="AD92" s="83"/>
      <c r="AE92" s="83"/>
      <c r="AF92" s="83"/>
      <c r="AG92" s="83"/>
      <c r="AH92" s="83"/>
    </row>
    <row r="93" customFormat="false" ht="12.75" hidden="false" customHeight="true" outlineLevel="0" collapsed="false">
      <c r="B93" s="17" t="s">
        <v>222</v>
      </c>
      <c r="C93" s="18" t="n">
        <v>0</v>
      </c>
      <c r="D93" s="16" t="s">
        <v>29</v>
      </c>
      <c r="E93" s="19" t="n">
        <v>2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6" t="n">
        <f aca="false">IF(AND(ISNUMBER(RESULTADOS!C93),ISNUMBER(RESULTADOS!E93),ISNUMBER(C93),ISNUMBER(E93),C93=RESULTADOS!C93,E93=RESULTADOS!E93),2,0)</f>
        <v>0</v>
      </c>
      <c r="Z93" s="136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6" t="n">
        <f aca="false">IF(AND(ISNUMBER(RESULTADOS!C93),ISNUMBER(RESULTADOS!E93),ISNUMBER(C93),ISNUMBER(E93),AND(Z93=1,OR(C93=RESULTADOS!C93,E93=RESULTADOS!E93))),1,0)</f>
        <v>0</v>
      </c>
      <c r="AB93" s="83"/>
      <c r="AC93" s="83"/>
      <c r="AD93" s="83"/>
      <c r="AE93" s="83"/>
      <c r="AF93" s="83"/>
      <c r="AG93" s="83"/>
      <c r="AH93" s="83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0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4</v>
      </c>
      <c r="N94" s="16" t="n">
        <f aca="true">SUM(INDIRECT($AC94),INDIRECT($AD94),INDIRECT($AE94))</f>
        <v>6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6" t="n">
        <f aca="false">IF(AND(ISNUMBER(RESULTADOS!C94),ISNUMBER(RESULTADOS!E94),ISNUMBER(C94),ISNUMBER(E94),C94=RESULTADOS!C94,E94=RESULTADOS!E94),2,0)</f>
        <v>0</v>
      </c>
      <c r="Z94" s="136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6" t="n">
        <f aca="false">IF(AND(ISNUMBER(RESULTADOS!C94),ISNUMBER(RESULTADOS!E94),ISNUMBER(C94),ISNUMBER(E94),AND(Z94=1,OR(C94=RESULTADOS!C94,E94=RESULTADOS!E94))),1,0)</f>
        <v>0</v>
      </c>
      <c r="AB94" s="83"/>
      <c r="AC94" s="83" t="s">
        <v>226</v>
      </c>
      <c r="AD94" s="83" t="s">
        <v>227</v>
      </c>
      <c r="AE94" s="83" t="s">
        <v>228</v>
      </c>
      <c r="AF94" s="83" t="str">
        <f aca="false">IF(ISNUMBER(FIND("C", AC94, 1)), SUBSTITUTE(AC94, "C", "E"), SUBSTITUTE(AC94, "E", "C"))</f>
        <v>C93</v>
      </c>
      <c r="AG94" s="83" t="str">
        <f aca="false">IF(ISNUMBER(FIND("C", AD94, 1)), SUBSTITUTE(AD94, "C", "E"), SUBSTITUTE(AD94, "E", "C"))</f>
        <v>C96</v>
      </c>
      <c r="AH94" s="83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3</v>
      </c>
      <c r="D95" s="16" t="s">
        <v>29</v>
      </c>
      <c r="E95" s="19" t="n">
        <v>1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6" t="n">
        <f aca="false">N95-O95</f>
        <v>0</v>
      </c>
      <c r="N95" s="16" t="n">
        <f aca="true">SUM(INDIRECT($AC95),INDIRECT($AD95),INDIRECT($AE95))</f>
        <v>4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6" t="n">
        <f aca="false">IF(AND(ISNUMBER(RESULTADOS!C95),ISNUMBER(RESULTADOS!E95),ISNUMBER(C95),ISNUMBER(E95),C95=RESULTADOS!C95,E95=RESULTADOS!E95),2,0)</f>
        <v>0</v>
      </c>
      <c r="Z95" s="136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6" t="n">
        <f aca="false">IF(AND(ISNUMBER(RESULTADOS!C95),ISNUMBER(RESULTADOS!E95),ISNUMBER(C95),ISNUMBER(E95),AND(Z95=1,OR(C95=RESULTADOS!C95,E95=RESULTADOS!E95))),1,0)</f>
        <v>0</v>
      </c>
      <c r="AB95" s="83"/>
      <c r="AC95" s="83" t="s">
        <v>229</v>
      </c>
      <c r="AD95" s="83" t="s">
        <v>230</v>
      </c>
      <c r="AE95" s="83" t="s">
        <v>231</v>
      </c>
      <c r="AF95" s="83" t="str">
        <f aca="false">IF(ISNUMBER(FIND("C", AC95, 1)), SUBSTITUTE(AC95, "C", "E"), SUBSTITUTE(AC95, "E", "C"))</f>
        <v>E94</v>
      </c>
      <c r="AG95" s="83" t="str">
        <f aca="false">IF(ISNUMBER(FIND("C", AD95, 1)), SUBSTITUTE(AD95, "C", "E"), SUBSTITUTE(AD95, "E", "C"))</f>
        <v>C95</v>
      </c>
      <c r="AH95" s="83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1</v>
      </c>
      <c r="D96" s="16" t="s">
        <v>29</v>
      </c>
      <c r="E96" s="19" t="n">
        <v>3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6" t="n">
        <f aca="false">N96-O96</f>
        <v>4</v>
      </c>
      <c r="N96" s="16" t="n">
        <f aca="true">SUM(INDIRECT($AC96),INDIRECT($AD96),INDIRECT($AE96))</f>
        <v>7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6" t="n">
        <f aca="false">IF(AND(ISNUMBER(RESULTADOS!C96),ISNUMBER(RESULTADOS!E96),ISNUMBER(C96),ISNUMBER(E96),C96=RESULTADOS!C96,E96=RESULTADOS!E96),2,0)</f>
        <v>0</v>
      </c>
      <c r="Z96" s="136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6" t="n">
        <f aca="false">IF(AND(ISNUMBER(RESULTADOS!C96),ISNUMBER(RESULTADOS!E96),ISNUMBER(C96),ISNUMBER(E96),AND(Z96=1,OR(C96=RESULTADOS!C96,E96=RESULTADOS!E96))),1,0)</f>
        <v>0</v>
      </c>
      <c r="AB96" s="83"/>
      <c r="AC96" s="83" t="s">
        <v>232</v>
      </c>
      <c r="AD96" s="83" t="s">
        <v>233</v>
      </c>
      <c r="AE96" s="83" t="s">
        <v>234</v>
      </c>
      <c r="AF96" s="83" t="str">
        <f aca="false">IF(ISNUMBER(FIND("C", AC96, 1)), SUBSTITUTE(AC96, "C", "E"), SUBSTITUTE(AC96, "E", "C"))</f>
        <v>E93</v>
      </c>
      <c r="AG96" s="83" t="str">
        <f aca="false">IF(ISNUMBER(FIND("C", AD96, 1)), SUBSTITUTE(AD96, "C", "E"), SUBSTITUTE(AD96, "E", "C"))</f>
        <v>E95</v>
      </c>
      <c r="AH96" s="83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1</v>
      </c>
      <c r="D97" s="16" t="s">
        <v>29</v>
      </c>
      <c r="E97" s="19" t="n">
        <v>1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1</v>
      </c>
      <c r="O97" s="35" t="n">
        <f aca="true">SUM(INDIRECT($AF97),INDIRECT($AG97),INDIRECT($AH97))</f>
        <v>9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6" t="n">
        <f aca="false">IF(AND(ISNUMBER(RESULTADOS!C97),ISNUMBER(RESULTADOS!E97),ISNUMBER(C97),ISNUMBER(E97),C97=RESULTADOS!C97,E97=RESULTADOS!E97),2,0)</f>
        <v>0</v>
      </c>
      <c r="Z97" s="136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6" t="n">
        <f aca="false">IF(AND(ISNUMBER(RESULTADOS!C97),ISNUMBER(RESULTADOS!E97),ISNUMBER(C97),ISNUMBER(E97),AND(Z97=1,OR(C97=RESULTADOS!C97,E97=RESULTADOS!E97))),1,0)</f>
        <v>0</v>
      </c>
      <c r="AB97" s="83"/>
      <c r="AC97" s="83" t="s">
        <v>235</v>
      </c>
      <c r="AD97" s="83" t="s">
        <v>236</v>
      </c>
      <c r="AE97" s="83" t="s">
        <v>237</v>
      </c>
      <c r="AF97" s="83" t="str">
        <f aca="false">IF(ISNUMBER(FIND("C", AC97, 1)), SUBSTITUTE(AC97, "C", "E"), SUBSTITUTE(AC97, "E", "C"))</f>
        <v>C94</v>
      </c>
      <c r="AG97" s="83" t="str">
        <f aca="false">IF(ISNUMBER(FIND("C", AD97, 1)), SUBSTITUTE(AD97, "C", "E"), SUBSTITUTE(AD97, "E", "C"))</f>
        <v>E96</v>
      </c>
      <c r="AH97" s="83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4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6" t="n">
        <f aca="false">IF(AND(ISNUMBER(RESULTADOS!C98),ISNUMBER(RESULTADOS!E98),ISNUMBER(C98),ISNUMBER(E98),C98=RESULTADOS!C98,E98=RESULTADOS!E98),2,0)</f>
        <v>0</v>
      </c>
      <c r="Z98" s="136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6" t="n">
        <f aca="false">IF(AND(ISNUMBER(RESULTADOS!C98),ISNUMBER(RESULTADOS!E98),ISNUMBER(C98),ISNUMBER(E98),AND(Z98=1,OR(C98=RESULTADOS!C98,E98=RESULTADOS!E98))),1,0)</f>
        <v>0</v>
      </c>
      <c r="AB98" s="83"/>
      <c r="AC98" s="83"/>
      <c r="AD98" s="83"/>
      <c r="AE98" s="83"/>
      <c r="AF98" s="83"/>
      <c r="AG98" s="83"/>
      <c r="AH98" s="83"/>
    </row>
    <row r="99" customFormat="false" ht="12.75" hidden="false" customHeight="true" outlineLevel="0" collapsed="false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customFormat="false" ht="12.75" hidden="false" customHeight="true" outlineLevel="0" collapsed="false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89" colorId="64" zoomScale="100" zoomScaleNormal="100" zoomScalePageLayoutView="100" workbookViewId="0">
      <selection pane="topLeft" activeCell="A89" activeCellId="0" sqref="A89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250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136" t="n">
        <f aca="false">IF(AND(ISNUMBER(RESULTADOS!C5),ISNUMBER(RESULTADOS!E5),ISNUMBER(C5),ISNUMBER(E5),C5=RESULTADOS!C5,E5=RESULTADOS!E5),2,0)</f>
        <v>2</v>
      </c>
      <c r="Z5" s="136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36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2</v>
      </c>
      <c r="D6" s="16" t="s">
        <v>29</v>
      </c>
      <c r="E6" s="19" t="n">
        <v>1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6" t="n">
        <f aca="false">N6-O6</f>
        <v>1</v>
      </c>
      <c r="N6" s="16" t="n">
        <f aca="true">SUM(INDIRECT($AC6),INDIRECT($AD6),INDIRECT($AE6))</f>
        <v>3</v>
      </c>
      <c r="O6" s="16" t="n">
        <f aca="true">SUM(INDIRECT($AF6),INDIRECT($AG6),INDIRECT($AH6))</f>
        <v>2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136" t="n">
        <f aca="false">IF(AND(ISNUMBER(RESULTADOS!C6),ISNUMBER(RESULTADOS!E6),ISNUMBER(C6),ISNUMBER(E6),C6=RESULTADOS!C6,E6=RESULTADOS!E6),2,0)</f>
        <v>0</v>
      </c>
      <c r="Z6" s="136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36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2</v>
      </c>
      <c r="D7" s="16" t="s">
        <v>29</v>
      </c>
      <c r="E7" s="19" t="n">
        <v>1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5</v>
      </c>
      <c r="N7" s="16" t="n">
        <f aca="true">SUM(INDIRECT($AC7),INDIRECT($AD7),INDIRECT($AE7))</f>
        <v>5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136" t="n">
        <f aca="false">IF(AND(ISNUMBER(RESULTADOS!C7),ISNUMBER(RESULTADOS!E7),ISNUMBER(C7),ISNUMBER(E7),C7=RESULTADOS!C7,E7=RESULTADOS!E7),2,0)</f>
        <v>0</v>
      </c>
      <c r="Z7" s="136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36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1</v>
      </c>
      <c r="D8" s="16" t="s">
        <v>29</v>
      </c>
      <c r="E8" s="19" t="n">
        <v>0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6" t="n">
        <f aca="false">N8-O8</f>
        <v>-2</v>
      </c>
      <c r="N8" s="16" t="n">
        <f aca="true">SUM(INDIRECT($AC8),INDIRECT($AD8),INDIRECT($AE8))</f>
        <v>3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136" t="n">
        <f aca="false">IF(AND(ISNUMBER(RESULTADOS!C8),ISNUMBER(RESULTADOS!E8),ISNUMBER(C8),ISNUMBER(E8),C8=RESULTADOS!C8,E8=RESULTADOS!E8),2,0)</f>
        <v>0</v>
      </c>
      <c r="Z8" s="136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36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0</v>
      </c>
      <c r="D9" s="16" t="s">
        <v>29</v>
      </c>
      <c r="E9" s="19" t="n">
        <v>1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-4</v>
      </c>
      <c r="N9" s="35" t="n">
        <f aca="true">SUM(INDIRECT($AC9),INDIRECT($AD9),INDIRECT($AE9))</f>
        <v>1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136" t="n">
        <f aca="false">IF(AND(ISNUMBER(RESULTADOS!C9),ISNUMBER(RESULTADOS!E9),ISNUMBER(C9),ISNUMBER(E9),C9=RESULTADOS!C9,E9=RESULTADOS!E9),2,0)</f>
        <v>0</v>
      </c>
      <c r="Z9" s="136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36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0</v>
      </c>
      <c r="D10" s="35" t="s">
        <v>29</v>
      </c>
      <c r="E10" s="39" t="n">
        <v>2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136" t="n">
        <f aca="false">IF(AND(ISNUMBER(RESULTADOS!C10),ISNUMBER(RESULTADOS!E10),ISNUMBER(C10),ISNUMBER(E10),C10=RESULTADOS!C10,E10=RESULTADOS!E10),2,0)</f>
        <v>0</v>
      </c>
      <c r="Z10" s="136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36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136"/>
      <c r="Z12" s="136"/>
      <c r="AA12" s="136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2</v>
      </c>
      <c r="D13" s="16" t="s">
        <v>29</v>
      </c>
      <c r="E13" s="19" t="n">
        <v>1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136" t="n">
        <f aca="false">IF(AND(ISNUMBER(RESULTADOS!C13),ISNUMBER(RESULTADOS!E13),ISNUMBER(C13),ISNUMBER(E13),C13=RESULTADOS!C13,E13=RESULTADOS!E13),2,0)</f>
        <v>0</v>
      </c>
      <c r="Z13" s="136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36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2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136" t="n">
        <f aca="false">IF(AND(ISNUMBER(RESULTADOS!C14),ISNUMBER(RESULTADOS!E14),ISNUMBER(C14),ISNUMBER(E14),C14=RESULTADOS!C14,E14=RESULTADOS!E14),2,0)</f>
        <v>0</v>
      </c>
      <c r="Z14" s="136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36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1</v>
      </c>
      <c r="D15" s="16" t="s">
        <v>29</v>
      </c>
      <c r="E15" s="19" t="n">
        <v>0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6" t="n">
        <f aca="false">N15-O15</f>
        <v>4</v>
      </c>
      <c r="N15" s="16" t="n">
        <f aca="true">SUM(INDIRECT($AC15),INDIRECT($AD15),INDIRECT($AE15))</f>
        <v>5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136" t="n">
        <f aca="false">IF(AND(ISNUMBER(RESULTADOS!C15),ISNUMBER(RESULTADOS!E15),ISNUMBER(C15),ISNUMBER(E15),C15=RESULTADOS!C15,E15=RESULTADOS!E15),2,0)</f>
        <v>0</v>
      </c>
      <c r="Z15" s="136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36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2</v>
      </c>
      <c r="D16" s="16" t="s">
        <v>29</v>
      </c>
      <c r="E16" s="19" t="n">
        <v>0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0</v>
      </c>
      <c r="O16" s="16" t="n">
        <f aca="true">SUM(INDIRECT($AF16),INDIRECT($AG16),INDIRECT($AH16))</f>
        <v>5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136" t="n">
        <f aca="false">IF(AND(ISNUMBER(RESULTADOS!C16),ISNUMBER(RESULTADOS!E16),ISNUMBER(C16),ISNUMBER(E16),C16=RESULTADOS!C16,E16=RESULTADOS!E16),2,0)</f>
        <v>0</v>
      </c>
      <c r="Z16" s="136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36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0</v>
      </c>
      <c r="D17" s="16" t="s">
        <v>29</v>
      </c>
      <c r="E17" s="19" t="n">
        <v>1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5" t="n">
        <f aca="false">N17-O17</f>
        <v>2</v>
      </c>
      <c r="N17" s="35" t="n">
        <f aca="true">SUM(INDIRECT($AC17),INDIRECT($AD17),INDIRECT($AE17))</f>
        <v>3</v>
      </c>
      <c r="O17" s="35" t="n">
        <f aca="true">SUM(INDIRECT($AF17),INDIRECT($AG17),INDIRECT($AH17))</f>
        <v>1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136" t="n">
        <f aca="false">IF(AND(ISNUMBER(RESULTADOS!C17),ISNUMBER(RESULTADOS!E17),ISNUMBER(C17),ISNUMBER(E17),C17=RESULTADOS!C17,E17=RESULTADOS!E17),2,0)</f>
        <v>0</v>
      </c>
      <c r="Z17" s="136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36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1</v>
      </c>
      <c r="D18" s="35" t="s">
        <v>29</v>
      </c>
      <c r="E18" s="39" t="n">
        <v>0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136" t="n">
        <f aca="false">IF(AND(ISNUMBER(RESULTADOS!C18),ISNUMBER(RESULTADOS!E18),ISNUMBER(C18),ISNUMBER(E18),C18=RESULTADOS!C18,E18=RESULTADOS!E18),2,0)</f>
        <v>0</v>
      </c>
      <c r="Z18" s="136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36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136"/>
      <c r="Z20" s="136"/>
      <c r="AA20" s="136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136" t="n">
        <f aca="false">IF(AND(ISNUMBER(RESULTADOS!C21),ISNUMBER(RESULTADOS!E21),ISNUMBER(C21),ISNUMBER(E21),C21=RESULTADOS!C21,E21=RESULTADOS!E21),2,0)</f>
        <v>0</v>
      </c>
      <c r="Z21" s="136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36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1</v>
      </c>
      <c r="D22" s="16" t="s">
        <v>29</v>
      </c>
      <c r="E22" s="19" t="n">
        <v>2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136" t="n">
        <f aca="false">IF(AND(ISNUMBER(RESULTADOS!C22),ISNUMBER(RESULTADOS!E22),ISNUMBER(C22),ISNUMBER(E22),C22=RESULTADOS!C22,E22=RESULTADOS!E22),2,0)</f>
        <v>0</v>
      </c>
      <c r="Z22" s="136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36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2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3</v>
      </c>
      <c r="O23" s="16" t="n">
        <f aca="true">SUM(INDIRECT($AF23),INDIRECT($AG23),INDIRECT($AH23))</f>
        <v>5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136" t="n">
        <f aca="false">IF(AND(ISNUMBER(RESULTADOS!C23),ISNUMBER(RESULTADOS!E23),ISNUMBER(C23),ISNUMBER(E23),C23=RESULTADOS!C23,E23=RESULTADOS!E23),2,0)</f>
        <v>0</v>
      </c>
      <c r="Z23" s="136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36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3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136" t="n">
        <f aca="false">IF(AND(ISNUMBER(RESULTADOS!C24),ISNUMBER(RESULTADOS!E24),ISNUMBER(C24),ISNUMBER(E24),C24=RESULTADOS!C24,E24=RESULTADOS!E24),2,0)</f>
        <v>0</v>
      </c>
      <c r="Z24" s="136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36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2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136" t="n">
        <f aca="false">IF(AND(ISNUMBER(RESULTADOS!C25),ISNUMBER(RESULTADOS!E25),ISNUMBER(C25),ISNUMBER(E25),C25=RESULTADOS!C25,E25=RESULTADOS!E25),2,0)</f>
        <v>0</v>
      </c>
      <c r="Z25" s="136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36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2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136" t="n">
        <f aca="false">IF(AND(ISNUMBER(RESULTADOS!C26),ISNUMBER(RESULTADOS!E26),ISNUMBER(C26),ISNUMBER(E26),C26=RESULTADOS!C26,E26=RESULTADOS!E26),2,0)</f>
        <v>0</v>
      </c>
      <c r="Z26" s="136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36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136"/>
      <c r="Z28" s="136"/>
      <c r="AA28" s="136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2</v>
      </c>
      <c r="D29" s="16" t="s">
        <v>29</v>
      </c>
      <c r="E29" s="19" t="n">
        <v>1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136" t="n">
        <f aca="false">IF(AND(ISNUMBER(RESULTADOS!C29),ISNUMBER(RESULTADOS!E29),ISNUMBER(C29),ISNUMBER(E29),C29=RESULTADOS!C29,E29=RESULTADOS!E29),2,0)</f>
        <v>0</v>
      </c>
      <c r="Z29" s="136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36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1</v>
      </c>
      <c r="D30" s="16" t="s">
        <v>29</v>
      </c>
      <c r="E30" s="19" t="n">
        <v>1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6" t="n">
        <f aca="false">N30-O30</f>
        <v>1</v>
      </c>
      <c r="N30" s="16" t="n">
        <f aca="true">SUM(INDIRECT($AC30),INDIRECT($AD30),INDIRECT($AE30))</f>
        <v>3</v>
      </c>
      <c r="O30" s="16" t="n">
        <f aca="true">SUM(INDIRECT($AF30),INDIRECT($AG30),INDIRECT($AH30))</f>
        <v>2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136" t="n">
        <f aca="false">IF(AND(ISNUMBER(RESULTADOS!C30),ISNUMBER(RESULTADOS!E30),ISNUMBER(C30),ISNUMBER(E30),C30=RESULTADOS!C30,E30=RESULTADOS!E30),2,0)</f>
        <v>0</v>
      </c>
      <c r="Z30" s="136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36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1</v>
      </c>
      <c r="D31" s="16" t="s">
        <v>29</v>
      </c>
      <c r="E31" s="19" t="n">
        <v>1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6" t="n">
        <f aca="false">N31-O31</f>
        <v>0</v>
      </c>
      <c r="N31" s="16" t="n">
        <f aca="true">SUM(INDIRECT($AC31),INDIRECT($AD31),INDIRECT($AE31))</f>
        <v>4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136" t="n">
        <f aca="false">IF(AND(ISNUMBER(RESULTADOS!C31),ISNUMBER(RESULTADOS!E31),ISNUMBER(C31),ISNUMBER(E31),C31=RESULTADOS!C31,E31=RESULTADOS!E31),2,0)</f>
        <v>0</v>
      </c>
      <c r="Z31" s="136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36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2</v>
      </c>
      <c r="D32" s="16" t="s">
        <v>29</v>
      </c>
      <c r="E32" s="19" t="n">
        <v>0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136" t="n">
        <f aca="false">IF(AND(ISNUMBER(RESULTADOS!C32),ISNUMBER(RESULTADOS!E32),ISNUMBER(C32),ISNUMBER(E32),C32=RESULTADOS!C32,E32=RESULTADOS!E32),2,0)</f>
        <v>0</v>
      </c>
      <c r="Z32" s="136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36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1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3</v>
      </c>
      <c r="N33" s="35" t="n">
        <f aca="true">SUM(INDIRECT($AC33),INDIRECT($AD33),INDIRECT($AE33))</f>
        <v>5</v>
      </c>
      <c r="O33" s="35" t="n">
        <f aca="true">SUM(INDIRECT($AF33),INDIRECT($AG33),INDIRECT($AH33))</f>
        <v>2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136" t="n">
        <f aca="false">IF(AND(ISNUMBER(RESULTADOS!C33),ISNUMBER(RESULTADOS!E33),ISNUMBER(C33),ISNUMBER(E33),C33=RESULTADOS!C33,E33=RESULTADOS!E33),2,0)</f>
        <v>0</v>
      </c>
      <c r="Z33" s="136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36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0</v>
      </c>
      <c r="D34" s="35" t="s">
        <v>29</v>
      </c>
      <c r="E34" s="39" t="n">
        <v>1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136" t="n">
        <f aca="false">IF(AND(ISNUMBER(RESULTADOS!C34),ISNUMBER(RESULTADOS!E34),ISNUMBER(C34),ISNUMBER(E34),C34=RESULTADOS!C34,E34=RESULTADOS!E34),2,0)</f>
        <v>0</v>
      </c>
      <c r="Z34" s="136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36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136"/>
      <c r="Z36" s="136"/>
      <c r="AA36" s="136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4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136" t="n">
        <f aca="false">IF(AND(ISNUMBER(RESULTADOS!C37),ISNUMBER(RESULTADOS!E37),ISNUMBER(C37),ISNUMBER(E37),C37=RESULTADOS!C37,E37=RESULTADOS!E37),2,0)</f>
        <v>0</v>
      </c>
      <c r="Z37" s="136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36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0</v>
      </c>
      <c r="D38" s="16" t="s">
        <v>29</v>
      </c>
      <c r="E38" s="19" t="n">
        <v>1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136" t="n">
        <f aca="false">IF(AND(ISNUMBER(RESULTADOS!C38),ISNUMBER(RESULTADOS!E38),ISNUMBER(C38),ISNUMBER(E38),C38=RESULTADOS!C38,E38=RESULTADOS!E38),2,0)</f>
        <v>0</v>
      </c>
      <c r="Z38" s="136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36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2</v>
      </c>
      <c r="D39" s="16" t="s">
        <v>29</v>
      </c>
      <c r="E39" s="19" t="n">
        <v>0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1</v>
      </c>
      <c r="O39" s="16" t="n">
        <f aca="true">SUM(INDIRECT($AF39),INDIRECT($AG39),INDIRECT($AH39))</f>
        <v>3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136" t="n">
        <f aca="false">IF(AND(ISNUMBER(RESULTADOS!C39),ISNUMBER(RESULTADOS!E39),ISNUMBER(C39),ISNUMBER(E39),C39=RESULTADOS!C39,E39=RESULTADOS!E39),2,0)</f>
        <v>0</v>
      </c>
      <c r="Z39" s="136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36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2</v>
      </c>
      <c r="D40" s="16" t="s">
        <v>29</v>
      </c>
      <c r="E40" s="19" t="n">
        <v>0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0</v>
      </c>
      <c r="O40" s="16" t="n">
        <f aca="true">SUM(INDIRECT($AF40),INDIRECT($AG40),INDIRECT($AH40))</f>
        <v>7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136" t="n">
        <f aca="false">IF(AND(ISNUMBER(RESULTADOS!C40),ISNUMBER(RESULTADOS!E40),ISNUMBER(C40),ISNUMBER(E40),C40=RESULTADOS!C40,E40=RESULTADOS!E40),2,0)</f>
        <v>0</v>
      </c>
      <c r="Z40" s="136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36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1</v>
      </c>
      <c r="D41" s="16" t="s">
        <v>29</v>
      </c>
      <c r="E41" s="19" t="n">
        <v>2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4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136" t="n">
        <f aca="false">IF(AND(ISNUMBER(RESULTADOS!C41),ISNUMBER(RESULTADOS!E41),ISNUMBER(C41),ISNUMBER(E41),C41=RESULTADOS!C41,E41=RESULTADOS!E41),2,0)</f>
        <v>0</v>
      </c>
      <c r="Z41" s="136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36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1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136" t="n">
        <f aca="false">IF(AND(ISNUMBER(RESULTADOS!C42),ISNUMBER(RESULTADOS!E42),ISNUMBER(C42),ISNUMBER(E42),C42=RESULTADOS!C42,E42=RESULTADOS!E42),2,0)</f>
        <v>0</v>
      </c>
      <c r="Z42" s="136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36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136"/>
      <c r="Z44" s="136"/>
      <c r="AA44" s="136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1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136" t="n">
        <f aca="false">IF(AND(ISNUMBER(RESULTADOS!C45),ISNUMBER(RESULTADOS!E45),ISNUMBER(C45),ISNUMBER(E45),C45=RESULTADOS!C45,E45=RESULTADOS!E45),2,0)</f>
        <v>0</v>
      </c>
      <c r="Z45" s="136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36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0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136" t="n">
        <f aca="false">IF(AND(ISNUMBER(RESULTADOS!C46),ISNUMBER(RESULTADOS!E46),ISNUMBER(C46),ISNUMBER(E46),C46=RESULTADOS!C46,E46=RESULTADOS!E46),2,0)</f>
        <v>0</v>
      </c>
      <c r="Z46" s="136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36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1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2</v>
      </c>
      <c r="N47" s="16" t="n">
        <f aca="true">SUM(INDIRECT($AC47),INDIRECT($AD47),INDIRECT($AE47))</f>
        <v>4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136" t="n">
        <f aca="false">IF(AND(ISNUMBER(RESULTADOS!C47),ISNUMBER(RESULTADOS!E47),ISNUMBER(C47),ISNUMBER(E47),C47=RESULTADOS!C47,E47=RESULTADOS!E47),2,0)</f>
        <v>0</v>
      </c>
      <c r="Z47" s="136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36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2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2</v>
      </c>
      <c r="O48" s="16" t="n">
        <f aca="true">SUM(INDIRECT($AF48),INDIRECT($AG48),INDIRECT($AH48))</f>
        <v>3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136" t="n">
        <f aca="false">IF(AND(ISNUMBER(RESULTADOS!C48),ISNUMBER(RESULTADOS!E48),ISNUMBER(C48),ISNUMBER(E48),C48=RESULTADOS!C48,E48=RESULTADOS!E48),2,0)</f>
        <v>0</v>
      </c>
      <c r="Z48" s="136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36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2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-5</v>
      </c>
      <c r="N49" s="35" t="n">
        <f aca="true">SUM(INDIRECT($AC49),INDIRECT($AD49),INDIRECT($AE49))</f>
        <v>0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136" t="n">
        <f aca="false">IF(AND(ISNUMBER(RESULTADOS!C49),ISNUMBER(RESULTADOS!E49),ISNUMBER(C49),ISNUMBER(E49),C49=RESULTADOS!C49,E49=RESULTADOS!E49),2,0)</f>
        <v>0</v>
      </c>
      <c r="Z49" s="136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36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1</v>
      </c>
      <c r="D50" s="35" t="s">
        <v>29</v>
      </c>
      <c r="E50" s="39" t="n">
        <v>0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136" t="n">
        <f aca="false">IF(AND(ISNUMBER(RESULTADOS!C50),ISNUMBER(RESULTADOS!E50),ISNUMBER(C50),ISNUMBER(E50),C50=RESULTADOS!C50,E50=RESULTADOS!E50),2,0)</f>
        <v>0</v>
      </c>
      <c r="Z50" s="136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36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136"/>
      <c r="Z52" s="136"/>
      <c r="AA52" s="136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2</v>
      </c>
      <c r="D53" s="16" t="s">
        <v>29</v>
      </c>
      <c r="E53" s="19" t="n">
        <v>0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136" t="n">
        <f aca="false">IF(AND(ISNUMBER(RESULTADOS!C53),ISNUMBER(RESULTADOS!E53),ISNUMBER(C53),ISNUMBER(E53),C53=RESULTADOS!C53,E53=RESULTADOS!E53),2,0)</f>
        <v>0</v>
      </c>
      <c r="Z53" s="136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36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2</v>
      </c>
      <c r="D54" s="16" t="s">
        <v>29</v>
      </c>
      <c r="E54" s="19" t="n">
        <v>1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5</v>
      </c>
      <c r="N54" s="16" t="n">
        <f aca="true">SUM(INDIRECT($AC54),INDIRECT($AD54),INDIRECT($AE54))</f>
        <v>5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136" t="n">
        <f aca="false">IF(AND(ISNUMBER(RESULTADOS!C54),ISNUMBER(RESULTADOS!E54),ISNUMBER(C54),ISNUMBER(E54),C54=RESULTADOS!C54,E54=RESULTADOS!E54),2,0)</f>
        <v>0</v>
      </c>
      <c r="Z54" s="136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36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1</v>
      </c>
      <c r="D55" s="16" t="s">
        <v>29</v>
      </c>
      <c r="E55" s="19" t="n">
        <v>0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6" t="n">
        <f aca="false">N55-O55</f>
        <v>-2</v>
      </c>
      <c r="N55" s="16" t="n">
        <f aca="true">SUM(INDIRECT($AC55),INDIRECT($AD55),INDIRECT($AE55))</f>
        <v>1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136" t="n">
        <f aca="false">IF(AND(ISNUMBER(RESULTADOS!C55),ISNUMBER(RESULTADOS!E55),ISNUMBER(C55),ISNUMBER(E55),C55=RESULTADOS!C55,E55=RESULTADOS!E55),2,0)</f>
        <v>0</v>
      </c>
      <c r="Z55" s="136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36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1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6" t="n">
        <f aca="false">N56-O56</f>
        <v>1</v>
      </c>
      <c r="N56" s="16" t="n">
        <f aca="true">SUM(INDIRECT($AC56),INDIRECT($AD56),INDIRECT($AE56))</f>
        <v>3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136" t="n">
        <f aca="false">IF(AND(ISNUMBER(RESULTADOS!C56),ISNUMBER(RESULTADOS!E56),ISNUMBER(C56),ISNUMBER(E56),C56=RESULTADOS!C56,E56=RESULTADOS!E56),2,0)</f>
        <v>0</v>
      </c>
      <c r="Z56" s="136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36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0</v>
      </c>
      <c r="D57" s="16" t="s">
        <v>29</v>
      </c>
      <c r="E57" s="19" t="n">
        <v>1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-4</v>
      </c>
      <c r="N57" s="35" t="n">
        <f aca="true">SUM(INDIRECT($AC57),INDIRECT($AD57),INDIRECT($AE57))</f>
        <v>1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136" t="n">
        <f aca="false">IF(AND(ISNUMBER(RESULTADOS!C57),ISNUMBER(RESULTADOS!E57),ISNUMBER(C57),ISNUMBER(E57),C57=RESULTADOS!C57,E57=RESULTADOS!E57),2,0)</f>
        <v>0</v>
      </c>
      <c r="Z57" s="136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36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2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136" t="n">
        <f aca="false">IF(AND(ISNUMBER(RESULTADOS!C58),ISNUMBER(RESULTADOS!E58),ISNUMBER(C58),ISNUMBER(E58),C58=RESULTADOS!C58,E58=RESULTADOS!E58),2,0)</f>
        <v>0</v>
      </c>
      <c r="Z58" s="136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36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136"/>
      <c r="Z60" s="136"/>
      <c r="AA60" s="136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4</v>
      </c>
      <c r="D61" s="16" t="s">
        <v>29</v>
      </c>
      <c r="E61" s="19" t="n">
        <v>0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136" t="n">
        <f aca="false">IF(AND(ISNUMBER(RESULTADOS!C61),ISNUMBER(RESULTADOS!E61),ISNUMBER(C61),ISNUMBER(E61),C61=RESULTADOS!C61,E61=RESULTADOS!E61),2,0)</f>
        <v>0</v>
      </c>
      <c r="Z61" s="136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36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2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136" t="n">
        <f aca="false">IF(AND(ISNUMBER(RESULTADOS!C62),ISNUMBER(RESULTADOS!E62),ISNUMBER(C62),ISNUMBER(E62),C62=RESULTADOS!C62,E62=RESULTADOS!E62),2,0)</f>
        <v>0</v>
      </c>
      <c r="Z62" s="136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36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2</v>
      </c>
      <c r="D63" s="16" t="s">
        <v>29</v>
      </c>
      <c r="E63" s="19" t="n">
        <v>0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1</v>
      </c>
      <c r="O63" s="16" t="n">
        <f aca="true">SUM(INDIRECT($AF63),INDIRECT($AG63),INDIRECT($AH63))</f>
        <v>8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136" t="n">
        <f aca="false">IF(AND(ISNUMBER(RESULTADOS!C63),ISNUMBER(RESULTADOS!E63),ISNUMBER(C63),ISNUMBER(E63),C63=RESULTADOS!C63,E63=RESULTADOS!E63),2,0)</f>
        <v>0</v>
      </c>
      <c r="Z63" s="136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36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2</v>
      </c>
      <c r="D64" s="16" t="s">
        <v>29</v>
      </c>
      <c r="E64" s="19" t="n">
        <v>0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136" t="n">
        <f aca="false">IF(AND(ISNUMBER(RESULTADOS!C64),ISNUMBER(RESULTADOS!E64),ISNUMBER(C64),ISNUMBER(E64),C64=RESULTADOS!C64,E64=RESULTADOS!E64),2,0)</f>
        <v>0</v>
      </c>
      <c r="Z64" s="136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36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1</v>
      </c>
      <c r="D65" s="16" t="s">
        <v>29</v>
      </c>
      <c r="E65" s="19" t="n">
        <v>2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5</v>
      </c>
      <c r="O65" s="35" t="n">
        <f aca="true">SUM(INDIRECT($AF65),INDIRECT($AG65),INDIRECT($AH65))</f>
        <v>3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136" t="n">
        <f aca="false">IF(AND(ISNUMBER(RESULTADOS!C65),ISNUMBER(RESULTADOS!E65),ISNUMBER(C65),ISNUMBER(E65),C65=RESULTADOS!C65,E65=RESULTADOS!E65),2,0)</f>
        <v>0</v>
      </c>
      <c r="Z65" s="136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36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2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136" t="n">
        <f aca="false">IF(AND(ISNUMBER(RESULTADOS!C66),ISNUMBER(RESULTADOS!E66),ISNUMBER(C66),ISNUMBER(E66),C66=RESULTADOS!C66,E66=RESULTADOS!E66),2,0)</f>
        <v>0</v>
      </c>
      <c r="Z66" s="136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36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3"/>
      <c r="Z67" s="83"/>
      <c r="AA67" s="83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83"/>
      <c r="Z68" s="83"/>
      <c r="AA68" s="83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1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136" t="n">
        <f aca="false">IF(AND(ISNUMBER(RESULTADOS!C69),ISNUMBER(RESULTADOS!E69),ISNUMBER(C69),ISNUMBER(E69),C69=RESULTADOS!C69,E69=RESULTADOS!E69),2,0)</f>
        <v>0</v>
      </c>
      <c r="Z69" s="136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36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2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136" t="n">
        <f aca="false">IF(AND(ISNUMBER(RESULTADOS!C70),ISNUMBER(RESULTADOS!E70),ISNUMBER(C70),ISNUMBER(E70),C70=RESULTADOS!C70,E70=RESULTADOS!E70),2,0)</f>
        <v>0</v>
      </c>
      <c r="Z70" s="136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36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0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136" t="n">
        <f aca="false">IF(AND(ISNUMBER(RESULTADOS!C71),ISNUMBER(RESULTADOS!E71),ISNUMBER(C71),ISNUMBER(E71),C71=RESULTADOS!C71,E71=RESULTADOS!E71),2,0)</f>
        <v>0</v>
      </c>
      <c r="Z71" s="136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36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1</v>
      </c>
      <c r="D72" s="16" t="s">
        <v>29</v>
      </c>
      <c r="E72" s="19" t="n">
        <v>1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136" t="n">
        <f aca="false">IF(AND(ISNUMBER(RESULTADOS!C72),ISNUMBER(RESULTADOS!E72),ISNUMBER(C72),ISNUMBER(E72),C72=RESULTADOS!C72,E72=RESULTADOS!E72),2,0)</f>
        <v>0</v>
      </c>
      <c r="Z72" s="136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36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1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5" t="n">
        <f aca="false">N73-O73</f>
        <v>0</v>
      </c>
      <c r="N73" s="35" t="n">
        <f aca="true">SUM(INDIRECT($AC73),INDIRECT($AD73),INDIRECT($AE73))</f>
        <v>4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136" t="n">
        <f aca="false">IF(AND(ISNUMBER(RESULTADOS!C73),ISNUMBER(RESULTADOS!E73),ISNUMBER(C73),ISNUMBER(E73),C73=RESULTADOS!C73,E73=RESULTADOS!E73),2,0)</f>
        <v>0</v>
      </c>
      <c r="Z73" s="136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36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2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136" t="n">
        <f aca="false">IF(AND(ISNUMBER(RESULTADOS!C74),ISNUMBER(RESULTADOS!E74),ISNUMBER(C74),ISNUMBER(E74),C74=RESULTADOS!C74,E74=RESULTADOS!E74),2,0)</f>
        <v>0</v>
      </c>
      <c r="Z74" s="136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36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3"/>
      <c r="Z75" s="83"/>
      <c r="AA75" s="83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83"/>
      <c r="Z76" s="83"/>
      <c r="AA76" s="83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3</v>
      </c>
      <c r="D77" s="16" t="s">
        <v>29</v>
      </c>
      <c r="E77" s="19" t="n">
        <v>0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136" t="n">
        <f aca="false">IF(AND(ISNUMBER(RESULTADOS!C77),ISNUMBER(RESULTADOS!E77),ISNUMBER(C77),ISNUMBER(E77),C77=RESULTADOS!C77,E77=RESULTADOS!E77),2,0)</f>
        <v>0</v>
      </c>
      <c r="Z77" s="136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36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2</v>
      </c>
      <c r="D78" s="16" t="s">
        <v>29</v>
      </c>
      <c r="E78" s="19" t="n">
        <v>0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7</v>
      </c>
      <c r="N78" s="16" t="n">
        <f aca="true">SUM(INDIRECT($AC78),INDIRECT($AD78),INDIRECT($AE78))</f>
        <v>8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136" t="n">
        <f aca="false">IF(AND(ISNUMBER(RESULTADOS!C78),ISNUMBER(RESULTADOS!E78),ISNUMBER(C78),ISNUMBER(E78),C78=RESULTADOS!C78,E78=RESULTADOS!E78),2,0)</f>
        <v>0</v>
      </c>
      <c r="Z78" s="136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36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2</v>
      </c>
      <c r="D79" s="16" t="s">
        <v>29</v>
      </c>
      <c r="E79" s="19" t="n">
        <v>1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-4</v>
      </c>
      <c r="N79" s="16" t="n">
        <f aca="true">SUM(INDIRECT($AC79),INDIRECT($AD79),INDIRECT($AE79))</f>
        <v>2</v>
      </c>
      <c r="O79" s="16" t="n">
        <f aca="true">SUM(INDIRECT($AF79),INDIRECT($AG79),INDIRECT($AH79))</f>
        <v>6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136" t="n">
        <f aca="false">IF(AND(ISNUMBER(RESULTADOS!C79),ISNUMBER(RESULTADOS!E79),ISNUMBER(C79),ISNUMBER(E79),C79=RESULTADOS!C79,E79=RESULTADOS!E79),2,0)</f>
        <v>0</v>
      </c>
      <c r="Z79" s="136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36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1</v>
      </c>
      <c r="D80" s="16" t="s">
        <v>29</v>
      </c>
      <c r="E80" s="19" t="n">
        <v>1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136" t="n">
        <f aca="false">IF(AND(ISNUMBER(RESULTADOS!C80),ISNUMBER(RESULTADOS!E80),ISNUMBER(C80),ISNUMBER(E80),C80=RESULTADOS!C80,E80=RESULTADOS!E80),2,0)</f>
        <v>0</v>
      </c>
      <c r="Z80" s="136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36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3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5" t="n">
        <f aca="false">N81-O81</f>
        <v>2</v>
      </c>
      <c r="N81" s="35" t="n">
        <f aca="true">SUM(INDIRECT($AC81),INDIRECT($AD81),INDIRECT($AE81))</f>
        <v>5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136" t="n">
        <f aca="false">IF(AND(ISNUMBER(RESULTADOS!C81),ISNUMBER(RESULTADOS!E81),ISNUMBER(C81),ISNUMBER(E81),C81=RESULTADOS!C81,E81=RESULTADOS!E81),2,0)</f>
        <v>0</v>
      </c>
      <c r="Z81" s="136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36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2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136" t="n">
        <f aca="false">IF(AND(ISNUMBER(RESULTADOS!C82),ISNUMBER(RESULTADOS!E82),ISNUMBER(C82),ISNUMBER(E82),C82=RESULTADOS!C82,E82=RESULTADOS!E82),2,0)</f>
        <v>0</v>
      </c>
      <c r="Z82" s="136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36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3"/>
      <c r="Z83" s="83"/>
      <c r="AA83" s="83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83"/>
      <c r="Z84" s="83"/>
      <c r="AA84" s="83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3</v>
      </c>
      <c r="D85" s="16" t="s">
        <v>29</v>
      </c>
      <c r="E85" s="19" t="n">
        <v>0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136" t="n">
        <f aca="false">IF(AND(ISNUMBER(RESULTADOS!C85),ISNUMBER(RESULTADOS!E85),ISNUMBER(C85),ISNUMBER(E85),C85=RESULTADOS!C85,E85=RESULTADOS!E85),2,0)</f>
        <v>0</v>
      </c>
      <c r="Z85" s="136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36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2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5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136" t="n">
        <f aca="false">IF(AND(ISNUMBER(RESULTADOS!C86),ISNUMBER(RESULTADOS!E86),ISNUMBER(C86),ISNUMBER(E86),C86=RESULTADOS!C86,E86=RESULTADOS!E86),2,0)</f>
        <v>0</v>
      </c>
      <c r="Z86" s="136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36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2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6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136" t="n">
        <f aca="false">IF(AND(ISNUMBER(RESULTADOS!C87),ISNUMBER(RESULTADOS!E87),ISNUMBER(C87),ISNUMBER(E87),C87=RESULTADOS!C87,E87=RESULTADOS!E87),2,0)</f>
        <v>0</v>
      </c>
      <c r="Z87" s="136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36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2</v>
      </c>
      <c r="D88" s="16" t="s">
        <v>29</v>
      </c>
      <c r="E88" s="19" t="n">
        <v>0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-6</v>
      </c>
      <c r="N88" s="16" t="n">
        <f aca="true">SUM(INDIRECT($AC88),INDIRECT($AD88),INDIRECT($AE88))</f>
        <v>1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136" t="n">
        <f aca="false">IF(AND(ISNUMBER(RESULTADOS!C88),ISNUMBER(RESULTADOS!E88),ISNUMBER(C88),ISNUMBER(E88),C88=RESULTADOS!C88,E88=RESULTADOS!E88),2,0)</f>
        <v>0</v>
      </c>
      <c r="Z88" s="136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36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1</v>
      </c>
      <c r="D89" s="16" t="s">
        <v>29</v>
      </c>
      <c r="E89" s="19" t="n">
        <v>2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5" t="n">
        <f aca="false">N89-O89</f>
        <v>-3</v>
      </c>
      <c r="N89" s="35" t="n">
        <f aca="true">SUM(INDIRECT($AC89),INDIRECT($AD89),INDIRECT($AE89))</f>
        <v>2</v>
      </c>
      <c r="O89" s="35" t="n">
        <f aca="true">SUM(INDIRECT($AF89),INDIRECT($AG89),INDIRECT($AH89))</f>
        <v>5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136" t="n">
        <f aca="false">IF(AND(ISNUMBER(RESULTADOS!C89),ISNUMBER(RESULTADOS!E89),ISNUMBER(C89),ISNUMBER(E89),C89=RESULTADOS!C89,E89=RESULTADOS!E89),2,0)</f>
        <v>0</v>
      </c>
      <c r="Z89" s="136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36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1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136" t="n">
        <f aca="false">IF(AND(ISNUMBER(RESULTADOS!C90),ISNUMBER(RESULTADOS!E90),ISNUMBER(C90),ISNUMBER(E90),C90=RESULTADOS!C90,E90=RESULTADOS!E90),2,0)</f>
        <v>0</v>
      </c>
      <c r="Z90" s="136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36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3"/>
      <c r="Z91" s="83"/>
      <c r="AA91" s="83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83"/>
      <c r="Z92" s="83"/>
      <c r="AA92" s="83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2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136" t="n">
        <f aca="false">IF(AND(ISNUMBER(RESULTADOS!C93),ISNUMBER(RESULTADOS!E93),ISNUMBER(C93),ISNUMBER(E93),C93=RESULTADOS!C93,E93=RESULTADOS!E93),2,0)</f>
        <v>0</v>
      </c>
      <c r="Z93" s="136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36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0</v>
      </c>
      <c r="D94" s="16" t="s">
        <v>29</v>
      </c>
      <c r="E94" s="19" t="n">
        <v>1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3</v>
      </c>
      <c r="N94" s="16" t="n">
        <f aca="true">SUM(INDIRECT($AC94),INDIRECT($AD94),INDIRECT($AE94))</f>
        <v>5</v>
      </c>
      <c r="O94" s="16" t="n">
        <f aca="true">SUM(INDIRECT($AF94),INDIRECT($AG94),INDIRECT($AH94))</f>
        <v>2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136" t="n">
        <f aca="false">IF(AND(ISNUMBER(RESULTADOS!C94),ISNUMBER(RESULTADOS!E94),ISNUMBER(C94),ISNUMBER(E94),C94=RESULTADOS!C94,E94=RESULTADOS!E94),2,0)</f>
        <v>0</v>
      </c>
      <c r="Z94" s="136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36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2</v>
      </c>
      <c r="D95" s="16" t="s">
        <v>29</v>
      </c>
      <c r="E95" s="19" t="n">
        <v>0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0</v>
      </c>
      <c r="O95" s="16" t="n">
        <f aca="true">SUM(INDIRECT($AF95),INDIRECT($AG95),INDIRECT($AH95))</f>
        <v>5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136" t="n">
        <f aca="false">IF(AND(ISNUMBER(RESULTADOS!C95),ISNUMBER(RESULTADOS!E95),ISNUMBER(C95),ISNUMBER(E95),C95=RESULTADOS!C95,E95=RESULTADOS!E95),2,0)</f>
        <v>0</v>
      </c>
      <c r="Z95" s="136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36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0</v>
      </c>
      <c r="D96" s="16" t="s">
        <v>29</v>
      </c>
      <c r="E96" s="19" t="n">
        <v>2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4</v>
      </c>
      <c r="N96" s="16" t="n">
        <f aca="true">SUM(INDIRECT($AC96),INDIRECT($AD96),INDIRECT($AE96))</f>
        <v>6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136" t="n">
        <f aca="false">IF(AND(ISNUMBER(RESULTADOS!C96),ISNUMBER(RESULTADOS!E96),ISNUMBER(C96),ISNUMBER(E96),C96=RESULTADOS!C96,E96=RESULTADOS!E96),2,0)</f>
        <v>0</v>
      </c>
      <c r="Z96" s="136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36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0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2</v>
      </c>
      <c r="O97" s="35" t="n">
        <f aca="true">SUM(INDIRECT($AF97),INDIRECT($AG97),INDIRECT($AH97))</f>
        <v>4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136" t="n">
        <f aca="false">IF(AND(ISNUMBER(RESULTADOS!C97),ISNUMBER(RESULTADOS!E97),ISNUMBER(C97),ISNUMBER(E97),C97=RESULTADOS!C97,E97=RESULTADOS!E97),2,0)</f>
        <v>0</v>
      </c>
      <c r="Z97" s="136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36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1</v>
      </c>
      <c r="D98" s="35" t="s">
        <v>29</v>
      </c>
      <c r="E98" s="39" t="n">
        <v>2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136" t="n">
        <f aca="false">IF(AND(ISNUMBER(RESULTADOS!C98),ISNUMBER(RESULTADOS!E98),ISNUMBER(C98),ISNUMBER(E98),C98=RESULTADOS!C98,E98=RESULTADOS!E98),2,0)</f>
        <v>0</v>
      </c>
      <c r="Z98" s="136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36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96" colorId="64" zoomScale="100" zoomScaleNormal="100" zoomScalePageLayoutView="100" workbookViewId="0">
      <selection pane="topLeft" activeCell="A96" activeCellId="0" sqref="A96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8"/>
      <c r="D1" s="58"/>
      <c r="E1" s="58"/>
      <c r="F1" s="58"/>
      <c r="G1" s="58"/>
      <c r="H1" s="3"/>
      <c r="I1" s="58"/>
      <c r="J1" s="58"/>
      <c r="K1" s="3"/>
      <c r="L1" s="58"/>
      <c r="M1" s="58"/>
      <c r="N1" s="58"/>
      <c r="O1" s="58"/>
      <c r="P1" s="58"/>
      <c r="Q1" s="58"/>
      <c r="R1" s="58"/>
      <c r="S1" s="58"/>
      <c r="T1" s="3"/>
      <c r="U1" s="4"/>
      <c r="V1" s="58"/>
      <c r="W1" s="58"/>
      <c r="X1" s="58"/>
      <c r="Y1" s="5"/>
      <c r="Z1" s="6"/>
      <c r="AA1" s="6"/>
      <c r="AB1" s="6"/>
      <c r="AC1" s="6"/>
      <c r="AD1" s="6"/>
      <c r="AE1" s="6"/>
      <c r="AF1" s="6"/>
      <c r="AG1" s="6"/>
      <c r="AH1" s="6"/>
      <c r="AI1" s="58"/>
      <c r="AJ1" s="58"/>
      <c r="AK1" s="58"/>
      <c r="AL1" s="58"/>
      <c r="AM1" s="58"/>
      <c r="AN1" s="58"/>
      <c r="AO1" s="58"/>
      <c r="AP1" s="58"/>
      <c r="AQ1" s="58"/>
      <c r="AR1" s="58"/>
    </row>
    <row r="2" customFormat="false" ht="18.75" hidden="false" customHeight="true" outlineLevel="0" collapsed="false">
      <c r="B2" s="7" t="s">
        <v>251</v>
      </c>
      <c r="C2" s="7"/>
      <c r="D2" s="7"/>
      <c r="E2" s="7"/>
      <c r="F2" s="7"/>
      <c r="G2" s="58"/>
      <c r="H2" s="8" t="s">
        <v>21</v>
      </c>
      <c r="I2" s="8"/>
      <c r="J2" s="58"/>
      <c r="K2" s="8" t="s">
        <v>22</v>
      </c>
      <c r="L2" s="8"/>
      <c r="M2" s="8"/>
      <c r="N2" s="8"/>
      <c r="O2" s="8"/>
      <c r="P2" s="8"/>
      <c r="Q2" s="8"/>
      <c r="R2" s="8"/>
      <c r="S2" s="58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8"/>
      <c r="AJ2" s="58"/>
      <c r="AK2" s="58"/>
      <c r="AL2" s="58"/>
      <c r="AM2" s="58"/>
      <c r="AN2" s="58"/>
      <c r="AO2" s="58"/>
      <c r="AP2" s="58"/>
      <c r="AQ2" s="58"/>
      <c r="AR2" s="58"/>
    </row>
    <row r="3" customFormat="false" ht="15" hidden="false" customHeight="true" outlineLevel="0" collapsed="false">
      <c r="C3" s="58"/>
      <c r="D3" s="58"/>
      <c r="E3" s="58"/>
      <c r="F3" s="58"/>
      <c r="G3" s="58"/>
      <c r="H3" s="58"/>
      <c r="I3" s="58"/>
      <c r="J3" s="58"/>
      <c r="K3" s="3"/>
      <c r="L3" s="58"/>
      <c r="M3" s="58"/>
      <c r="N3" s="58"/>
      <c r="O3" s="58"/>
      <c r="P3" s="58"/>
      <c r="Q3" s="58"/>
      <c r="R3" s="58"/>
      <c r="S3" s="58"/>
      <c r="T3" s="10" t="s">
        <v>24</v>
      </c>
      <c r="U3" s="11" t="n">
        <f aca="false">SUM(U5:U10,U13:U18,U21:U26,U29:U34,U37:U42,U45:U50,U53:U58,U61:U66)</f>
        <v>2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58"/>
      <c r="H4" s="13" t="s">
        <v>26</v>
      </c>
      <c r="I4" s="14" t="s">
        <v>27</v>
      </c>
      <c r="J4" s="15"/>
      <c r="K4" s="58"/>
      <c r="L4" s="58"/>
      <c r="M4" s="58"/>
      <c r="N4" s="58"/>
      <c r="O4" s="58"/>
      <c r="P4" s="58"/>
      <c r="Q4" s="58"/>
      <c r="R4" s="58"/>
      <c r="S4" s="58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1</v>
      </c>
      <c r="F5" s="20" t="s">
        <v>30</v>
      </c>
      <c r="G5" s="58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2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1</v>
      </c>
      <c r="D6" s="16" t="s">
        <v>29</v>
      </c>
      <c r="E6" s="19" t="n">
        <v>1</v>
      </c>
      <c r="F6" s="31" t="s">
        <v>39</v>
      </c>
      <c r="G6" s="58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6" t="n">
        <f aca="false">N6-O6</f>
        <v>2</v>
      </c>
      <c r="N6" s="16" t="n">
        <f aca="true">SUM(INDIRECT($AC6),INDIRECT($AD6),INDIRECT($AE6))</f>
        <v>5</v>
      </c>
      <c r="O6" s="16" t="n">
        <f aca="true">SUM(INDIRECT($AF6),INDIRECT($AG6),INDIRECT($AH6))</f>
        <v>3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1</v>
      </c>
      <c r="D7" s="16" t="s">
        <v>29</v>
      </c>
      <c r="E7" s="19" t="n">
        <v>2</v>
      </c>
      <c r="F7" s="31" t="s">
        <v>30</v>
      </c>
      <c r="G7" s="58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7</v>
      </c>
      <c r="O7" s="16" t="n">
        <f aca="true">SUM(INDIRECT($AF7),INDIRECT($AG7),INDIRECT($AH7))</f>
        <v>4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8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2</v>
      </c>
      <c r="F8" s="31" t="s">
        <v>38</v>
      </c>
      <c r="G8" s="58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-3</v>
      </c>
      <c r="N8" s="16" t="n">
        <f aca="true">SUM(INDIRECT($AC8),INDIRECT($AD8),INDIRECT($AE8))</f>
        <v>3</v>
      </c>
      <c r="O8" s="16" t="n">
        <f aca="true">SUM(INDIRECT($AF8),INDIRECT($AG8),INDIRECT($AH8))</f>
        <v>6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8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0</v>
      </c>
      <c r="D9" s="16" t="s">
        <v>29</v>
      </c>
      <c r="E9" s="19" t="n">
        <v>2</v>
      </c>
      <c r="F9" s="31" t="s">
        <v>38</v>
      </c>
      <c r="G9" s="58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5" t="n">
        <f aca="false">N9-O9</f>
        <v>-2</v>
      </c>
      <c r="N9" s="35" t="n">
        <f aca="true">SUM(INDIRECT($AC9),INDIRECT($AD9),INDIRECT($AE9))</f>
        <v>3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8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1</v>
      </c>
      <c r="D10" s="35" t="s">
        <v>29</v>
      </c>
      <c r="E10" s="39" t="n">
        <v>3</v>
      </c>
      <c r="F10" s="40" t="s">
        <v>28</v>
      </c>
      <c r="G10" s="58"/>
      <c r="H10" s="41" t="n">
        <v>46197</v>
      </c>
      <c r="I10" s="42" t="n">
        <v>0.916666666666667</v>
      </c>
      <c r="J10" s="23"/>
      <c r="K10" s="27"/>
      <c r="S10" s="58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U11" s="58"/>
      <c r="V11" s="58"/>
      <c r="W11" s="58"/>
      <c r="X11" s="58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58"/>
      <c r="H12" s="13" t="s">
        <v>26</v>
      </c>
      <c r="I12" s="14" t="s">
        <v>27</v>
      </c>
      <c r="J12" s="15"/>
      <c r="K12" s="58"/>
      <c r="L12" s="58"/>
      <c r="M12" s="58"/>
      <c r="N12" s="58"/>
      <c r="O12" s="58"/>
      <c r="P12" s="58"/>
      <c r="Q12" s="58"/>
      <c r="R12" s="58"/>
      <c r="S12" s="58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2</v>
      </c>
      <c r="D13" s="16" t="s">
        <v>29</v>
      </c>
      <c r="E13" s="19" t="n">
        <v>1</v>
      </c>
      <c r="F13" s="20" t="s">
        <v>54</v>
      </c>
      <c r="G13" s="58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3</v>
      </c>
      <c r="F14" s="20" t="s">
        <v>56</v>
      </c>
      <c r="G14" s="58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-3</v>
      </c>
      <c r="N14" s="16" t="n">
        <f aca="true">SUM(INDIRECT($AC14),INDIRECT($AD14),INDIRECT($AE14))</f>
        <v>3</v>
      </c>
      <c r="O14" s="16" t="n">
        <f aca="true">SUM(INDIRECT($AF14),INDIRECT($AG14),INDIRECT($AH14))</f>
        <v>6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2</v>
      </c>
      <c r="D15" s="16" t="s">
        <v>29</v>
      </c>
      <c r="E15" s="19" t="n">
        <v>0</v>
      </c>
      <c r="F15" s="20" t="s">
        <v>54</v>
      </c>
      <c r="G15" s="58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3</v>
      </c>
      <c r="N15" s="16" t="n">
        <f aca="true">SUM(INDIRECT($AC15),INDIRECT($AD15),INDIRECT($AE15))</f>
        <v>5</v>
      </c>
      <c r="O15" s="16" t="n">
        <f aca="true">SUM(INDIRECT($AF15),INDIRECT($AG15),INDIRECT($AH15))</f>
        <v>2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8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3</v>
      </c>
      <c r="D16" s="16" t="s">
        <v>29</v>
      </c>
      <c r="E16" s="19" t="n">
        <v>1</v>
      </c>
      <c r="F16" s="20" t="s">
        <v>55</v>
      </c>
      <c r="G16" s="58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6" t="n">
        <f aca="false">N16-O16</f>
        <v>-5</v>
      </c>
      <c r="N16" s="16" t="n">
        <f aca="true">SUM(INDIRECT($AC16),INDIRECT($AD16),INDIRECT($AE16))</f>
        <v>3</v>
      </c>
      <c r="O16" s="16" t="n">
        <f aca="true">SUM(INDIRECT($AF16),INDIRECT($AG16),INDIRECT($AH16))</f>
        <v>8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8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0</v>
      </c>
      <c r="D17" s="16" t="s">
        <v>29</v>
      </c>
      <c r="E17" s="19" t="n">
        <v>0</v>
      </c>
      <c r="F17" s="20" t="s">
        <v>53</v>
      </c>
      <c r="G17" s="58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8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2</v>
      </c>
      <c r="D18" s="35" t="s">
        <v>29</v>
      </c>
      <c r="E18" s="39" t="n">
        <v>2</v>
      </c>
      <c r="F18" s="45" t="s">
        <v>55</v>
      </c>
      <c r="G18" s="58"/>
      <c r="H18" s="41" t="n">
        <v>46197</v>
      </c>
      <c r="I18" s="42" t="n">
        <v>0.666666666666667</v>
      </c>
      <c r="J18" s="23"/>
      <c r="K18" s="27"/>
      <c r="S18" s="58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58"/>
      <c r="D19" s="58"/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U19" s="58"/>
      <c r="V19" s="58"/>
      <c r="W19" s="58"/>
      <c r="X19" s="58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58"/>
      <c r="H20" s="13" t="s">
        <v>26</v>
      </c>
      <c r="I20" s="14" t="s">
        <v>27</v>
      </c>
      <c r="J20" s="15"/>
      <c r="K20" s="58"/>
      <c r="L20" s="58"/>
      <c r="M20" s="58"/>
      <c r="N20" s="58"/>
      <c r="O20" s="58"/>
      <c r="P20" s="58"/>
      <c r="Q20" s="58"/>
      <c r="R20" s="58"/>
      <c r="S20" s="58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1</v>
      </c>
      <c r="D21" s="16" t="s">
        <v>29</v>
      </c>
      <c r="E21" s="19" t="n">
        <v>1</v>
      </c>
      <c r="F21" s="20" t="s">
        <v>71</v>
      </c>
      <c r="G21" s="58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2</v>
      </c>
      <c r="D22" s="16" t="s">
        <v>29</v>
      </c>
      <c r="E22" s="19" t="n">
        <v>1</v>
      </c>
      <c r="F22" s="20" t="s">
        <v>73</v>
      </c>
      <c r="G22" s="58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3</v>
      </c>
      <c r="F23" s="20" t="s">
        <v>71</v>
      </c>
      <c r="G23" s="58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-5</v>
      </c>
      <c r="N23" s="16" t="n">
        <f aca="true">SUM(INDIRECT($AC23),INDIRECT($AD23),INDIRECT($AE23))</f>
        <v>2</v>
      </c>
      <c r="O23" s="16" t="n">
        <f aca="true">SUM(INDIRECT($AF23),INDIRECT($AG23),INDIRECT($AH23))</f>
        <v>7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8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3</v>
      </c>
      <c r="D24" s="16" t="s">
        <v>29</v>
      </c>
      <c r="E24" s="19" t="n">
        <v>1</v>
      </c>
      <c r="F24" s="20" t="s">
        <v>72</v>
      </c>
      <c r="G24" s="58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-2</v>
      </c>
      <c r="N24" s="16" t="n">
        <f aca="true">SUM(INDIRECT($AC24),INDIRECT($AD24),INDIRECT($AE24))</f>
        <v>3</v>
      </c>
      <c r="O24" s="16" t="n">
        <f aca="true">SUM(INDIRECT($AF24),INDIRECT($AG24),INDIRECT($AH24))</f>
        <v>5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8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1</v>
      </c>
      <c r="D25" s="16" t="s">
        <v>29</v>
      </c>
      <c r="E25" s="19" t="n">
        <v>0</v>
      </c>
      <c r="F25" s="20" t="s">
        <v>72</v>
      </c>
      <c r="G25" s="58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5" t="n">
        <f aca="false">N25-O25</f>
        <v>3</v>
      </c>
      <c r="N25" s="35" t="n">
        <f aca="true">SUM(INDIRECT($AC25),INDIRECT($AD25),INDIRECT($AE25))</f>
        <v>5</v>
      </c>
      <c r="O25" s="35" t="n">
        <f aca="true">SUM(INDIRECT($AF25),INDIRECT($AG25),INDIRECT($AH25))</f>
        <v>2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8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0</v>
      </c>
      <c r="D26" s="35" t="s">
        <v>29</v>
      </c>
      <c r="E26" s="39" t="n">
        <v>2</v>
      </c>
      <c r="F26" s="45" t="s">
        <v>70</v>
      </c>
      <c r="G26" s="58"/>
      <c r="H26" s="41" t="n">
        <v>46197</v>
      </c>
      <c r="I26" s="42" t="n">
        <v>0.791666666666667</v>
      </c>
      <c r="J26" s="23"/>
      <c r="K26" s="43"/>
      <c r="S26" s="58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U27" s="58"/>
      <c r="V27" s="58"/>
      <c r="W27" s="58"/>
      <c r="X27" s="58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58"/>
      <c r="H28" s="13" t="s">
        <v>26</v>
      </c>
      <c r="I28" s="14" t="s">
        <v>27</v>
      </c>
      <c r="J28" s="15"/>
      <c r="K28" s="58"/>
      <c r="L28" s="58"/>
      <c r="M28" s="58"/>
      <c r="N28" s="58"/>
      <c r="O28" s="58"/>
      <c r="P28" s="58"/>
      <c r="Q28" s="58"/>
      <c r="R28" s="58"/>
      <c r="S28" s="58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1</v>
      </c>
      <c r="D29" s="16" t="s">
        <v>29</v>
      </c>
      <c r="E29" s="19" t="n">
        <v>0</v>
      </c>
      <c r="F29" s="20" t="s">
        <v>88</v>
      </c>
      <c r="G29" s="58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0</v>
      </c>
      <c r="D30" s="16" t="s">
        <v>29</v>
      </c>
      <c r="E30" s="19" t="n">
        <v>1</v>
      </c>
      <c r="F30" s="20" t="s">
        <v>90</v>
      </c>
      <c r="G30" s="58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3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2</v>
      </c>
      <c r="D31" s="16" t="s">
        <v>29</v>
      </c>
      <c r="E31" s="19" t="n">
        <v>1</v>
      </c>
      <c r="F31" s="20" t="s">
        <v>89</v>
      </c>
      <c r="G31" s="58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6" t="n">
        <f aca="false">N31-O31</f>
        <v>1</v>
      </c>
      <c r="N31" s="16" t="n">
        <f aca="true">SUM(INDIRECT($AC31),INDIRECT($AD31),INDIRECT($AE31))</f>
        <v>4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8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0</v>
      </c>
      <c r="D32" s="16" t="s">
        <v>29</v>
      </c>
      <c r="E32" s="19" t="n">
        <v>0</v>
      </c>
      <c r="F32" s="20" t="s">
        <v>88</v>
      </c>
      <c r="G32" s="58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6" t="n">
        <f aca="false">N32-O32</f>
        <v>0</v>
      </c>
      <c r="N32" s="16" t="n">
        <f aca="true">SUM(INDIRECT($AC32),INDIRECT($AD32),INDIRECT($AE32))</f>
        <v>2</v>
      </c>
      <c r="O32" s="16" t="n">
        <f aca="true">SUM(INDIRECT($AF32),INDIRECT($AG32),INDIRECT($AH32))</f>
        <v>2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8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2</v>
      </c>
      <c r="D33" s="16" t="s">
        <v>29</v>
      </c>
      <c r="E33" s="19" t="n">
        <v>1</v>
      </c>
      <c r="F33" s="20" t="s">
        <v>87</v>
      </c>
      <c r="G33" s="58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5" t="n">
        <f aca="false">N33-O33</f>
        <v>2</v>
      </c>
      <c r="N33" s="35" t="n">
        <f aca="true">SUM(INDIRECT($AC33),INDIRECT($AD33),INDIRECT($AE33))</f>
        <v>3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8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1</v>
      </c>
      <c r="D34" s="35" t="s">
        <v>29</v>
      </c>
      <c r="E34" s="39" t="n">
        <v>2</v>
      </c>
      <c r="F34" s="45" t="s">
        <v>89</v>
      </c>
      <c r="G34" s="58"/>
      <c r="H34" s="41" t="n">
        <v>46198</v>
      </c>
      <c r="I34" s="42" t="n">
        <v>0.958333333333333</v>
      </c>
      <c r="J34" s="23"/>
      <c r="K34" s="43"/>
      <c r="S34" s="58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U35" s="58"/>
      <c r="V35" s="58"/>
      <c r="W35" s="58"/>
      <c r="X35" s="58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58"/>
      <c r="H36" s="13" t="s">
        <v>26</v>
      </c>
      <c r="I36" s="14" t="s">
        <v>27</v>
      </c>
      <c r="J36" s="15"/>
      <c r="K36" s="58"/>
      <c r="L36" s="58"/>
      <c r="M36" s="58"/>
      <c r="N36" s="58"/>
      <c r="O36" s="58"/>
      <c r="P36" s="58"/>
      <c r="Q36" s="58"/>
      <c r="R36" s="58"/>
      <c r="S36" s="58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5</v>
      </c>
      <c r="D37" s="16" t="s">
        <v>29</v>
      </c>
      <c r="E37" s="19" t="n">
        <v>0</v>
      </c>
      <c r="F37" s="31" t="s">
        <v>104</v>
      </c>
      <c r="G37" s="58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1</v>
      </c>
      <c r="D38" s="16" t="s">
        <v>29</v>
      </c>
      <c r="E38" s="19" t="n">
        <v>1</v>
      </c>
      <c r="F38" s="31" t="s">
        <v>106</v>
      </c>
      <c r="G38" s="58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6" t="n">
        <f aca="false">N38-O38</f>
        <v>4</v>
      </c>
      <c r="N38" s="16" t="n">
        <f aca="true">SUM(INDIRECT($AC38),INDIRECT($AD38),INDIRECT($AE38))</f>
        <v>7</v>
      </c>
      <c r="O38" s="16" t="n">
        <f aca="true">SUM(INDIRECT($AF38),INDIRECT($AG38),INDIRECT($AH38))</f>
        <v>3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0</v>
      </c>
      <c r="D39" s="16" t="s">
        <v>29</v>
      </c>
      <c r="E39" s="19" t="n">
        <v>1</v>
      </c>
      <c r="F39" s="31" t="s">
        <v>105</v>
      </c>
      <c r="G39" s="58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6" t="n">
        <f aca="false">N39-O39</f>
        <v>4</v>
      </c>
      <c r="N39" s="16" t="n">
        <f aca="true">SUM(INDIRECT($AC39),INDIRECT($AD39),INDIRECT($AE39))</f>
        <v>5</v>
      </c>
      <c r="O39" s="16" t="n">
        <f aca="true">SUM(INDIRECT($AF39),INDIRECT($AG39),INDIRECT($AH39))</f>
        <v>1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8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3</v>
      </c>
      <c r="D40" s="16" t="s">
        <v>29</v>
      </c>
      <c r="E40" s="19" t="n">
        <v>1</v>
      </c>
      <c r="F40" s="31" t="s">
        <v>104</v>
      </c>
      <c r="G40" s="58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-10</v>
      </c>
      <c r="N40" s="16" t="n">
        <f aca="true">SUM(INDIRECT($AC40),INDIRECT($AD40),INDIRECT($AE40))</f>
        <v>1</v>
      </c>
      <c r="O40" s="16" t="n">
        <f aca="true">SUM(INDIRECT($AF40),INDIRECT($AG40),INDIRECT($AH40))</f>
        <v>11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8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2</v>
      </c>
      <c r="D41" s="16" t="s">
        <v>29</v>
      </c>
      <c r="E41" s="19" t="n">
        <v>2</v>
      </c>
      <c r="F41" s="31" t="s">
        <v>103</v>
      </c>
      <c r="G41" s="58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5" t="n">
        <f aca="false">N41-O41</f>
        <v>2</v>
      </c>
      <c r="N41" s="35" t="n">
        <f aca="true">SUM(INDIRECT($AC41),INDIRECT($AD41),INDIRECT($AE41))</f>
        <v>6</v>
      </c>
      <c r="O41" s="35" t="n">
        <f aca="true">SUM(INDIRECT($AF41),INDIRECT($AG41),INDIRECT($AH41))</f>
        <v>4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8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3</v>
      </c>
      <c r="F42" s="40" t="s">
        <v>105</v>
      </c>
      <c r="G42" s="58"/>
      <c r="H42" s="41" t="n">
        <v>46198</v>
      </c>
      <c r="I42" s="42" t="n">
        <v>0.708333333333333</v>
      </c>
      <c r="J42" s="23"/>
      <c r="K42" s="43"/>
      <c r="S42" s="58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U43" s="58"/>
      <c r="V43" s="58"/>
      <c r="W43" s="58"/>
      <c r="X43" s="58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58"/>
      <c r="H44" s="13" t="s">
        <v>26</v>
      </c>
      <c r="I44" s="14" t="s">
        <v>27</v>
      </c>
      <c r="J44" s="15"/>
      <c r="K44" s="58"/>
      <c r="L44" s="58"/>
      <c r="M44" s="58"/>
      <c r="N44" s="58"/>
      <c r="O44" s="58"/>
      <c r="P44" s="58"/>
      <c r="Q44" s="58"/>
      <c r="R44" s="58"/>
      <c r="S44" s="58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2</v>
      </c>
      <c r="D45" s="16" t="s">
        <v>29</v>
      </c>
      <c r="E45" s="19" t="n">
        <v>2</v>
      </c>
      <c r="F45" s="31" t="s">
        <v>121</v>
      </c>
      <c r="G45" s="58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0</v>
      </c>
      <c r="D46" s="16" t="s">
        <v>29</v>
      </c>
      <c r="E46" s="19" t="n">
        <v>0</v>
      </c>
      <c r="F46" s="31" t="s">
        <v>123</v>
      </c>
      <c r="G46" s="58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4</v>
      </c>
      <c r="N46" s="16" t="n">
        <f aca="true">SUM(INDIRECT($AC46),INDIRECT($AD46),INDIRECT($AE46))</f>
        <v>6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0</v>
      </c>
      <c r="F47" s="31" t="s">
        <v>122</v>
      </c>
      <c r="G47" s="58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8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1</v>
      </c>
      <c r="F48" s="31" t="s">
        <v>121</v>
      </c>
      <c r="G48" s="58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6" t="n">
        <f aca="false">N48-O48</f>
        <v>-4</v>
      </c>
      <c r="N48" s="16" t="n">
        <f aca="true">SUM(INDIRECT($AC48),INDIRECT($AD48),INDIRECT($AE48))</f>
        <v>1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8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2</v>
      </c>
      <c r="F49" s="31" t="s">
        <v>120</v>
      </c>
      <c r="G49" s="58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5" t="n">
        <f aca="false">N49-O49</f>
        <v>-3</v>
      </c>
      <c r="N49" s="35" t="n">
        <f aca="true">SUM(INDIRECT($AC49),INDIRECT($AD49),INDIRECT($AE49))</f>
        <v>0</v>
      </c>
      <c r="O49" s="35" t="n">
        <f aca="true">SUM(INDIRECT($AF49),INDIRECT($AG49),INDIRECT($AH49))</f>
        <v>3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8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3</v>
      </c>
      <c r="D50" s="35" t="s">
        <v>29</v>
      </c>
      <c r="E50" s="39" t="n">
        <v>1</v>
      </c>
      <c r="F50" s="40" t="s">
        <v>122</v>
      </c>
      <c r="G50" s="58"/>
      <c r="H50" s="41" t="n">
        <v>46198</v>
      </c>
      <c r="I50" s="42" t="n">
        <v>0.833333333333333</v>
      </c>
      <c r="J50" s="23"/>
      <c r="K50" s="43"/>
      <c r="S50" s="58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U51" s="58"/>
      <c r="V51" s="58"/>
      <c r="W51" s="58"/>
      <c r="X51" s="58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58"/>
      <c r="H52" s="13" t="s">
        <v>26</v>
      </c>
      <c r="I52" s="14" t="s">
        <v>27</v>
      </c>
      <c r="J52" s="15"/>
      <c r="K52" s="58"/>
      <c r="L52" s="58"/>
      <c r="M52" s="58"/>
      <c r="N52" s="58"/>
      <c r="O52" s="58"/>
      <c r="P52" s="58"/>
      <c r="Q52" s="58"/>
      <c r="R52" s="58"/>
      <c r="S52" s="58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2</v>
      </c>
      <c r="D53" s="16" t="s">
        <v>29</v>
      </c>
      <c r="E53" s="19" t="n">
        <v>0</v>
      </c>
      <c r="F53" s="31" t="s">
        <v>138</v>
      </c>
      <c r="G53" s="58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2</v>
      </c>
      <c r="D54" s="16" t="s">
        <v>29</v>
      </c>
      <c r="E54" s="19" t="n">
        <v>0</v>
      </c>
      <c r="F54" s="31" t="s">
        <v>140</v>
      </c>
      <c r="G54" s="58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6</v>
      </c>
      <c r="N54" s="16" t="n">
        <f aca="true">SUM(INDIRECT($AC54),INDIRECT($AD54),INDIRECT($AE54))</f>
        <v>7</v>
      </c>
      <c r="O54" s="16" t="n">
        <f aca="true">SUM(INDIRECT($AF54),INDIRECT($AG54),INDIRECT($AH54))</f>
        <v>1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1</v>
      </c>
      <c r="D55" s="16" t="s">
        <v>29</v>
      </c>
      <c r="E55" s="19" t="n">
        <v>1</v>
      </c>
      <c r="F55" s="31" t="s">
        <v>139</v>
      </c>
      <c r="G55" s="58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6" t="n">
        <f aca="false">N55-O55</f>
        <v>0</v>
      </c>
      <c r="N55" s="16" t="n">
        <f aca="true">SUM(INDIRECT($AC55),INDIRECT($AD55),INDIRECT($AE55))</f>
        <v>3</v>
      </c>
      <c r="O55" s="16" t="n">
        <f aca="true">SUM(INDIRECT($AF55),INDIRECT($AG55),INDIRECT($AH55))</f>
        <v>3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8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2</v>
      </c>
      <c r="F56" s="31" t="s">
        <v>138</v>
      </c>
      <c r="G56" s="58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6" t="n">
        <f aca="false">N56-O56</f>
        <v>2</v>
      </c>
      <c r="N56" s="16" t="n">
        <f aca="true">SUM(INDIRECT($AC56),INDIRECT($AD56),INDIRECT($AE56))</f>
        <v>4</v>
      </c>
      <c r="O56" s="16" t="n">
        <f aca="true">SUM(INDIRECT($AF56),INDIRECT($AG56),INDIRECT($AH56))</f>
        <v>2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8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1</v>
      </c>
      <c r="D57" s="16" t="s">
        <v>29</v>
      </c>
      <c r="E57" s="19" t="n">
        <v>1</v>
      </c>
      <c r="F57" s="31" t="s">
        <v>139</v>
      </c>
      <c r="G57" s="58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-8</v>
      </c>
      <c r="N57" s="35" t="n">
        <f aca="true">SUM(INDIRECT($AC57),INDIRECT($AD57),INDIRECT($AE57))</f>
        <v>0</v>
      </c>
      <c r="O57" s="35" t="n">
        <f aca="true">SUM(INDIRECT($AF57),INDIRECT($AG57),INDIRECT($AH57))</f>
        <v>8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8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0</v>
      </c>
      <c r="D58" s="35" t="s">
        <v>29</v>
      </c>
      <c r="E58" s="39" t="n">
        <v>4</v>
      </c>
      <c r="F58" s="40" t="s">
        <v>137</v>
      </c>
      <c r="G58" s="58"/>
      <c r="H58" s="41" t="n">
        <v>46200</v>
      </c>
      <c r="I58" s="42" t="n">
        <v>0</v>
      </c>
      <c r="J58" s="23"/>
      <c r="K58" s="43"/>
      <c r="S58" s="58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U59" s="58"/>
      <c r="V59" s="58"/>
      <c r="W59" s="58"/>
      <c r="X59" s="58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58"/>
      <c r="H60" s="13" t="s">
        <v>26</v>
      </c>
      <c r="I60" s="14" t="s">
        <v>27</v>
      </c>
      <c r="J60" s="15"/>
      <c r="K60" s="58"/>
      <c r="L60" s="58"/>
      <c r="M60" s="58"/>
      <c r="N60" s="58"/>
      <c r="O60" s="58"/>
      <c r="P60" s="58"/>
      <c r="Q60" s="58"/>
      <c r="R60" s="58"/>
      <c r="S60" s="58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5</v>
      </c>
      <c r="D61" s="16" t="s">
        <v>29</v>
      </c>
      <c r="E61" s="19" t="n">
        <v>0</v>
      </c>
      <c r="F61" s="31" t="s">
        <v>155</v>
      </c>
      <c r="G61" s="58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1</v>
      </c>
      <c r="D62" s="16" t="s">
        <v>29</v>
      </c>
      <c r="E62" s="19" t="n">
        <v>1</v>
      </c>
      <c r="F62" s="31" t="s">
        <v>157</v>
      </c>
      <c r="G62" s="58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6" t="n">
        <f aca="false">N62-O62</f>
        <v>-2</v>
      </c>
      <c r="N62" s="16" t="n">
        <f aca="true">SUM(INDIRECT($AC62),INDIRECT($AD62),INDIRECT($AE62))</f>
        <v>3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2</v>
      </c>
      <c r="D63" s="16" t="s">
        <v>29</v>
      </c>
      <c r="E63" s="19" t="n">
        <v>0</v>
      </c>
      <c r="F63" s="31" t="s">
        <v>156</v>
      </c>
      <c r="G63" s="58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-6</v>
      </c>
      <c r="N63" s="16" t="n">
        <f aca="true">SUM(INDIRECT($AC63),INDIRECT($AD63),INDIRECT($AE63))</f>
        <v>3</v>
      </c>
      <c r="O63" s="16" t="n">
        <f aca="true">SUM(INDIRECT($AF63),INDIRECT($AG63),INDIRECT($AH63))</f>
        <v>9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8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2</v>
      </c>
      <c r="D64" s="16" t="s">
        <v>29</v>
      </c>
      <c r="E64" s="19" t="n">
        <v>1</v>
      </c>
      <c r="F64" s="31" t="s">
        <v>155</v>
      </c>
      <c r="G64" s="58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9</v>
      </c>
      <c r="N64" s="16" t="n">
        <f aca="true">SUM(INDIRECT($AC64),INDIRECT($AD64),INDIRECT($AE64))</f>
        <v>10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8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2</v>
      </c>
      <c r="D65" s="16" t="s">
        <v>29</v>
      </c>
      <c r="E65" s="19" t="n">
        <v>2</v>
      </c>
      <c r="F65" s="31" t="s">
        <v>156</v>
      </c>
      <c r="G65" s="58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5" t="n">
        <f aca="false">N65-O65</f>
        <v>-1</v>
      </c>
      <c r="N65" s="35" t="n">
        <f aca="true">SUM(INDIRECT($AC65),INDIRECT($AD65),INDIRECT($AE65))</f>
        <v>4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8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1</v>
      </c>
      <c r="D66" s="35" t="s">
        <v>29</v>
      </c>
      <c r="E66" s="39" t="n">
        <v>3</v>
      </c>
      <c r="F66" s="40" t="s">
        <v>154</v>
      </c>
      <c r="G66" s="58"/>
      <c r="H66" s="41" t="n">
        <v>46199</v>
      </c>
      <c r="I66" s="42" t="n">
        <v>0.875</v>
      </c>
      <c r="J66" s="23"/>
      <c r="K66" s="43"/>
      <c r="S66" s="58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58"/>
      <c r="H68" s="13" t="s">
        <v>26</v>
      </c>
      <c r="I68" s="14" t="s">
        <v>27</v>
      </c>
      <c r="J68" s="15"/>
      <c r="K68" s="58"/>
      <c r="L68" s="58"/>
      <c r="M68" s="58"/>
      <c r="N68" s="58"/>
      <c r="O68" s="58"/>
      <c r="P68" s="58"/>
      <c r="Q68" s="58"/>
      <c r="R68" s="58"/>
      <c r="S68" s="58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2</v>
      </c>
      <c r="D69" s="16" t="s">
        <v>29</v>
      </c>
      <c r="E69" s="19" t="n">
        <v>1</v>
      </c>
      <c r="F69" s="31" t="s">
        <v>172</v>
      </c>
      <c r="G69" s="58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2</v>
      </c>
      <c r="F70" s="31" t="s">
        <v>174</v>
      </c>
      <c r="G70" s="58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4</v>
      </c>
      <c r="N70" s="16" t="n">
        <f aca="true">SUM(INDIRECT($AC70),INDIRECT($AD70),INDIRECT($AE70))</f>
        <v>6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0</v>
      </c>
      <c r="F71" s="31" t="s">
        <v>173</v>
      </c>
      <c r="G71" s="58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1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8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1</v>
      </c>
      <c r="D72" s="16" t="s">
        <v>29</v>
      </c>
      <c r="E72" s="19" t="n">
        <v>2</v>
      </c>
      <c r="F72" s="31" t="s">
        <v>172</v>
      </c>
      <c r="G72" s="58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1</v>
      </c>
      <c r="N72" s="16" t="n">
        <f aca="true">SUM(INDIRECT($AC72),INDIRECT($AD72),INDIRECT($AE72))</f>
        <v>4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8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1</v>
      </c>
      <c r="F73" s="31" t="s">
        <v>173</v>
      </c>
      <c r="G73" s="58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5" t="n">
        <f aca="false">N73-O73</f>
        <v>1</v>
      </c>
      <c r="N73" s="35" t="n">
        <f aca="true">SUM(INDIRECT($AC73),INDIRECT($AD73),INDIRECT($AE73))</f>
        <v>5</v>
      </c>
      <c r="O73" s="35" t="n">
        <f aca="true">SUM(INDIRECT($AF73),INDIRECT($AG73),INDIRECT($AH73))</f>
        <v>4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8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1</v>
      </c>
      <c r="F74" s="40" t="s">
        <v>171</v>
      </c>
      <c r="G74" s="58"/>
      <c r="H74" s="41" t="n">
        <v>46199</v>
      </c>
      <c r="I74" s="42" t="n">
        <v>0.666666666666667</v>
      </c>
      <c r="J74" s="23"/>
      <c r="K74" s="43"/>
      <c r="S74" s="58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U75" s="58"/>
      <c r="V75" s="58"/>
      <c r="W75" s="58"/>
      <c r="X75" s="58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58"/>
      <c r="H76" s="13" t="s">
        <v>26</v>
      </c>
      <c r="I76" s="14" t="s">
        <v>27</v>
      </c>
      <c r="J76" s="15"/>
      <c r="K76" s="58"/>
      <c r="L76" s="58"/>
      <c r="M76" s="58"/>
      <c r="N76" s="58"/>
      <c r="O76" s="58"/>
      <c r="P76" s="58"/>
      <c r="Q76" s="58"/>
      <c r="R76" s="58"/>
      <c r="S76" s="58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2</v>
      </c>
      <c r="D77" s="16" t="s">
        <v>29</v>
      </c>
      <c r="E77" s="19" t="n">
        <v>0</v>
      </c>
      <c r="F77" s="31" t="s">
        <v>189</v>
      </c>
      <c r="G77" s="58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1</v>
      </c>
      <c r="D78" s="16" t="s">
        <v>29</v>
      </c>
      <c r="E78" s="19" t="n">
        <v>0</v>
      </c>
      <c r="F78" s="31" t="s">
        <v>191</v>
      </c>
      <c r="G78" s="58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3</v>
      </c>
      <c r="D79" s="16" t="s">
        <v>29</v>
      </c>
      <c r="E79" s="19" t="n">
        <v>0</v>
      </c>
      <c r="F79" s="31" t="s">
        <v>190</v>
      </c>
      <c r="G79" s="58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4</v>
      </c>
      <c r="O79" s="16" t="n">
        <f aca="true">SUM(INDIRECT($AF79),INDIRECT($AG79),INDIRECT($AH79))</f>
        <v>3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8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1</v>
      </c>
      <c r="D80" s="16" t="s">
        <v>29</v>
      </c>
      <c r="E80" s="19" t="n">
        <v>2</v>
      </c>
      <c r="F80" s="31" t="s">
        <v>189</v>
      </c>
      <c r="G80" s="58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-5</v>
      </c>
      <c r="N80" s="16" t="n">
        <f aca="true">SUM(INDIRECT($AC80),INDIRECT($AD80),INDIRECT($AE80))</f>
        <v>1</v>
      </c>
      <c r="O80" s="16" t="n">
        <f aca="true">SUM(INDIRECT($AF80),INDIRECT($AG80),INDIRECT($AH80))</f>
        <v>6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8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3</v>
      </c>
      <c r="F81" s="31" t="s">
        <v>188</v>
      </c>
      <c r="G81" s="58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-4</v>
      </c>
      <c r="N81" s="35" t="n">
        <f aca="true">SUM(INDIRECT($AC81),INDIRECT($AD81),INDIRECT($AE81))</f>
        <v>1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8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2</v>
      </c>
      <c r="D82" s="35" t="s">
        <v>29</v>
      </c>
      <c r="E82" s="39" t="n">
        <v>0</v>
      </c>
      <c r="F82" s="40" t="s">
        <v>190</v>
      </c>
      <c r="G82" s="58"/>
      <c r="H82" s="41" t="n">
        <v>46200</v>
      </c>
      <c r="I82" s="42" t="n">
        <v>0.958333333333333</v>
      </c>
      <c r="J82" s="23"/>
      <c r="K82" s="43"/>
      <c r="S82" s="58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U83" s="58"/>
      <c r="V83" s="58"/>
      <c r="W83" s="58"/>
      <c r="X83" s="58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58"/>
      <c r="H84" s="13" t="s">
        <v>26</v>
      </c>
      <c r="I84" s="14" t="s">
        <v>27</v>
      </c>
      <c r="J84" s="15"/>
      <c r="K84" s="58"/>
      <c r="L84" s="58"/>
      <c r="M84" s="58"/>
      <c r="N84" s="58"/>
      <c r="O84" s="58"/>
      <c r="P84" s="58"/>
      <c r="Q84" s="58"/>
      <c r="R84" s="58"/>
      <c r="S84" s="58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3</v>
      </c>
      <c r="D85" s="16" t="s">
        <v>29</v>
      </c>
      <c r="E85" s="19" t="n">
        <v>1</v>
      </c>
      <c r="F85" s="31" t="s">
        <v>206</v>
      </c>
      <c r="G85" s="58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1</v>
      </c>
      <c r="D86" s="16" t="s">
        <v>29</v>
      </c>
      <c r="E86" s="19" t="n">
        <v>2</v>
      </c>
      <c r="F86" s="31" t="s">
        <v>208</v>
      </c>
      <c r="G86" s="58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6" t="n">
        <f aca="false">N86-O86</f>
        <v>4</v>
      </c>
      <c r="N86" s="16" t="n">
        <f aca="true">SUM(INDIRECT($AC86),INDIRECT($AD86),INDIRECT($AE86))</f>
        <v>6</v>
      </c>
      <c r="O86" s="16" t="n">
        <f aca="true">SUM(INDIRECT($AF86),INDIRECT($AG86),INDIRECT($AH86))</f>
        <v>2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4</v>
      </c>
      <c r="D87" s="16" t="s">
        <v>29</v>
      </c>
      <c r="E87" s="19" t="n">
        <v>1</v>
      </c>
      <c r="F87" s="31" t="s">
        <v>207</v>
      </c>
      <c r="G87" s="58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6" t="n">
        <f aca="false">N87-O87</f>
        <v>5</v>
      </c>
      <c r="N87" s="16" t="n">
        <f aca="true">SUM(INDIRECT($AC87),INDIRECT($AD87),INDIRECT($AE87))</f>
        <v>8</v>
      </c>
      <c r="O87" s="16" t="n">
        <f aca="true">SUM(INDIRECT($AF87),INDIRECT($AG87),INDIRECT($AH87))</f>
        <v>3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8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3</v>
      </c>
      <c r="D88" s="16" t="s">
        <v>29</v>
      </c>
      <c r="E88" s="19" t="n">
        <v>0</v>
      </c>
      <c r="F88" s="31" t="s">
        <v>206</v>
      </c>
      <c r="G88" s="58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-5</v>
      </c>
      <c r="N88" s="16" t="n">
        <f aca="true">SUM(INDIRECT($AC88),INDIRECT($AD88),INDIRECT($AE88))</f>
        <v>3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8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2</v>
      </c>
      <c r="F89" s="31" t="s">
        <v>207</v>
      </c>
      <c r="G89" s="58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5" t="n">
        <f aca="false">N89-O89</f>
        <v>-4</v>
      </c>
      <c r="N89" s="35" t="n">
        <f aca="true">SUM(INDIRECT($AC89),INDIRECT($AD89),INDIRECT($AE89))</f>
        <v>4</v>
      </c>
      <c r="O89" s="35" t="n">
        <f aca="true">SUM(INDIRECT($AF89),INDIRECT($AG89),INDIRECT($AH89))</f>
        <v>8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8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1</v>
      </c>
      <c r="D90" s="35" t="s">
        <v>29</v>
      </c>
      <c r="E90" s="39" t="n">
        <v>1</v>
      </c>
      <c r="F90" s="40" t="s">
        <v>205</v>
      </c>
      <c r="G90" s="58"/>
      <c r="H90" s="41" t="n">
        <v>46200</v>
      </c>
      <c r="I90" s="42" t="n">
        <v>0.854166666666667</v>
      </c>
      <c r="J90" s="23"/>
      <c r="K90" s="43"/>
      <c r="S90" s="58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U91" s="58"/>
      <c r="V91" s="58"/>
      <c r="W91" s="58"/>
      <c r="X91" s="58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58"/>
      <c r="H92" s="13" t="s">
        <v>26</v>
      </c>
      <c r="I92" s="14" t="s">
        <v>27</v>
      </c>
      <c r="J92" s="15"/>
      <c r="K92" s="58"/>
      <c r="L92" s="58"/>
      <c r="M92" s="58"/>
      <c r="N92" s="58"/>
      <c r="O92" s="58"/>
      <c r="P92" s="58"/>
      <c r="Q92" s="58"/>
      <c r="R92" s="58"/>
      <c r="S92" s="58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2</v>
      </c>
      <c r="D93" s="16" t="s">
        <v>29</v>
      </c>
      <c r="E93" s="19" t="n">
        <v>0</v>
      </c>
      <c r="F93" s="31" t="s">
        <v>223</v>
      </c>
      <c r="G93" s="58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3</v>
      </c>
      <c r="D94" s="16" t="s">
        <v>29</v>
      </c>
      <c r="E94" s="19" t="n">
        <v>1</v>
      </c>
      <c r="F94" s="31" t="s">
        <v>225</v>
      </c>
      <c r="G94" s="58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3</v>
      </c>
      <c r="D95" s="16" t="s">
        <v>29</v>
      </c>
      <c r="E95" s="19" t="n">
        <v>2</v>
      </c>
      <c r="F95" s="31" t="s">
        <v>224</v>
      </c>
      <c r="G95" s="58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5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8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1</v>
      </c>
      <c r="D96" s="16" t="s">
        <v>29</v>
      </c>
      <c r="E96" s="19" t="n">
        <v>3</v>
      </c>
      <c r="F96" s="31" t="s">
        <v>223</v>
      </c>
      <c r="G96" s="58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8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0</v>
      </c>
      <c r="F97" s="31" t="s">
        <v>224</v>
      </c>
      <c r="G97" s="58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-8</v>
      </c>
      <c r="N97" s="35" t="n">
        <f aca="true">SUM(INDIRECT($AC97),INDIRECT($AD97),INDIRECT($AE97))</f>
        <v>2</v>
      </c>
      <c r="O97" s="35" t="n">
        <f aca="true">SUM(INDIRECT($AF97),INDIRECT($AG97),INDIRECT($AH97))</f>
        <v>10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8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4</v>
      </c>
      <c r="F98" s="40" t="s">
        <v>222</v>
      </c>
      <c r="G98" s="58"/>
      <c r="H98" s="41" t="n">
        <v>46200</v>
      </c>
      <c r="I98" s="42" t="n">
        <v>0.75</v>
      </c>
      <c r="J98" s="23"/>
      <c r="K98" s="43"/>
      <c r="S98" s="58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51" colorId="64" zoomScale="100" zoomScaleNormal="100" zoomScalePageLayoutView="100" workbookViewId="0">
      <selection pane="topLeft" activeCell="C59" activeCellId="0" sqref="C59"/>
    </sheetView>
  </sheetViews>
  <sheetFormatPr defaultColWidth="14.41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5.99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7" t="s">
        <v>15</v>
      </c>
      <c r="C2" s="7"/>
      <c r="D2" s="7"/>
      <c r="E2" s="7"/>
      <c r="F2" s="7"/>
      <c r="G2" s="2"/>
      <c r="H2" s="8" t="s">
        <v>21</v>
      </c>
      <c r="I2" s="8"/>
      <c r="J2" s="2"/>
      <c r="K2" s="8" t="s">
        <v>22</v>
      </c>
      <c r="L2" s="8"/>
      <c r="M2" s="8"/>
      <c r="N2" s="8"/>
      <c r="O2" s="8"/>
      <c r="P2" s="8"/>
      <c r="Q2" s="8"/>
      <c r="R2" s="8"/>
      <c r="S2" s="2"/>
      <c r="T2" s="9" t="s">
        <v>23</v>
      </c>
      <c r="U2" s="9"/>
      <c r="V2" s="9"/>
      <c r="W2" s="9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0" t="s">
        <v>24</v>
      </c>
      <c r="U3" s="11" t="n">
        <f aca="false">SUM(U5:U10,U13:U18,U21:U26,U29:U34,U37:U42,U45:U50,U53:U58,U61:U66)</f>
        <v>4</v>
      </c>
      <c r="V3" s="11"/>
      <c r="W3" s="11"/>
      <c r="X3" s="11"/>
      <c r="Y3" s="5"/>
      <c r="Z3" s="5"/>
      <c r="AA3" s="5"/>
      <c r="AB3" s="5"/>
      <c r="AC3" s="5"/>
      <c r="AD3" s="5"/>
      <c r="AE3" s="5"/>
      <c r="AF3" s="5"/>
      <c r="AG3" s="5"/>
      <c r="AH3" s="5"/>
    </row>
    <row r="4" customFormat="false" ht="13.5" hidden="false" customHeight="true" outlineLevel="0" collapsed="false">
      <c r="B4" s="12" t="s">
        <v>25</v>
      </c>
      <c r="C4" s="12"/>
      <c r="D4" s="12"/>
      <c r="E4" s="12"/>
      <c r="F4" s="12"/>
      <c r="G4" s="2"/>
      <c r="H4" s="13" t="s">
        <v>26</v>
      </c>
      <c r="I4" s="14" t="s">
        <v>27</v>
      </c>
      <c r="J4" s="15"/>
      <c r="K4" s="2"/>
      <c r="L4" s="2"/>
      <c r="M4" s="2"/>
      <c r="N4" s="2"/>
      <c r="O4" s="2"/>
      <c r="P4" s="2"/>
      <c r="Q4" s="2"/>
      <c r="R4" s="2"/>
      <c r="S4" s="2"/>
      <c r="U4" s="16"/>
      <c r="V4" s="16"/>
      <c r="W4" s="16"/>
      <c r="X4" s="16"/>
      <c r="Y4" s="5"/>
      <c r="Z4" s="5"/>
      <c r="AA4" s="5"/>
      <c r="AB4" s="5"/>
      <c r="AC4" s="5"/>
      <c r="AD4" s="5"/>
      <c r="AE4" s="5"/>
      <c r="AF4" s="5"/>
      <c r="AG4" s="5"/>
      <c r="AH4" s="5"/>
    </row>
    <row r="5" customFormat="false" ht="13.5" hidden="false" customHeight="true" outlineLevel="0" collapsed="false">
      <c r="B5" s="17" t="s">
        <v>28</v>
      </c>
      <c r="C5" s="18" t="n">
        <v>2</v>
      </c>
      <c r="D5" s="16" t="s">
        <v>29</v>
      </c>
      <c r="E5" s="19" t="n">
        <v>0</v>
      </c>
      <c r="F5" s="20" t="s">
        <v>30</v>
      </c>
      <c r="G5" s="2"/>
      <c r="H5" s="21" t="n">
        <v>46184</v>
      </c>
      <c r="I5" s="22" t="n">
        <v>0.666666666666667</v>
      </c>
      <c r="J5" s="23"/>
      <c r="K5" s="24"/>
      <c r="L5" s="25" t="s">
        <v>31</v>
      </c>
      <c r="M5" s="25" t="s">
        <v>32</v>
      </c>
      <c r="N5" s="25" t="s">
        <v>33</v>
      </c>
      <c r="O5" s="25" t="s">
        <v>34</v>
      </c>
      <c r="P5" s="25" t="s">
        <v>35</v>
      </c>
      <c r="Q5" s="25" t="s">
        <v>36</v>
      </c>
      <c r="R5" s="26" t="s">
        <v>37</v>
      </c>
      <c r="S5" s="27"/>
      <c r="T5" s="28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2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0" t="n">
        <f aca="false"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customFormat="false" ht="13.5" hidden="false" customHeight="true" outlineLevel="0" collapsed="false">
      <c r="B6" s="17" t="s">
        <v>38</v>
      </c>
      <c r="C6" s="18" t="n">
        <v>2</v>
      </c>
      <c r="D6" s="16" t="s">
        <v>29</v>
      </c>
      <c r="E6" s="19" t="n">
        <v>2</v>
      </c>
      <c r="F6" s="31" t="s">
        <v>39</v>
      </c>
      <c r="G6" s="2"/>
      <c r="H6" s="21" t="n">
        <v>46184</v>
      </c>
      <c r="I6" s="22" t="n">
        <v>0.958333333333333</v>
      </c>
      <c r="J6" s="23"/>
      <c r="K6" s="32" t="s">
        <v>38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6" t="n">
        <f aca="false">N6-O6</f>
        <v>0</v>
      </c>
      <c r="N6" s="16" t="n">
        <f aca="true">SUM(INDIRECT($AC6),INDIRECT($AD6),INDIRECT($AE6))</f>
        <v>4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28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aca="false">IF(ISNUMBER(FIND("C", AC6, 1)), SUBSTITUTE(AC6, "C", "E"), SUBSTITUTE(AC6, "E", "C"))</f>
        <v>E6</v>
      </c>
      <c r="AG6" s="5" t="str">
        <f aca="false">IF(ISNUMBER(FIND("C", AD6, 1)), SUBSTITUTE(AD6, "C", "E"), SUBSTITUTE(AD6, "E", "C"))</f>
        <v>C8</v>
      </c>
      <c r="AH6" s="5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39</v>
      </c>
      <c r="C7" s="18" t="n">
        <v>2</v>
      </c>
      <c r="D7" s="16" t="s">
        <v>29</v>
      </c>
      <c r="E7" s="19" t="n">
        <v>0</v>
      </c>
      <c r="F7" s="31" t="s">
        <v>30</v>
      </c>
      <c r="G7" s="2"/>
      <c r="H7" s="21" t="n">
        <v>46191</v>
      </c>
      <c r="I7" s="22" t="n">
        <v>0.541666666666667</v>
      </c>
      <c r="J7" s="23"/>
      <c r="K7" s="32" t="s">
        <v>28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28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aca="false">IF(ISNUMBER(FIND("C", AC7, 1)), SUBSTITUTE(AC7, "C", "E"), SUBSTITUTE(AC7, "E", "C"))</f>
        <v>E5</v>
      </c>
      <c r="AG7" s="5" t="str">
        <f aca="false">IF(ISNUMBER(FIND("C", AD7, 1)), SUBSTITUTE(AD7, "C", "E"), SUBSTITUTE(AD7, "E", "C"))</f>
        <v>E8</v>
      </c>
      <c r="AH7" s="5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28</v>
      </c>
      <c r="C8" s="18" t="n">
        <v>2</v>
      </c>
      <c r="D8" s="16" t="s">
        <v>29</v>
      </c>
      <c r="E8" s="19" t="n">
        <v>1</v>
      </c>
      <c r="F8" s="31" t="s">
        <v>38</v>
      </c>
      <c r="G8" s="2"/>
      <c r="H8" s="21" t="n">
        <v>46191</v>
      </c>
      <c r="I8" s="22" t="n">
        <v>0.916666666666667</v>
      </c>
      <c r="J8" s="23"/>
      <c r="K8" s="32" t="s">
        <v>39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28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aca="false">IF(ISNUMBER(FIND("C", AC8, 1)), SUBSTITUTE(AC8, "C", "E"), SUBSTITUTE(AC8, "E", "C"))</f>
        <v>C6</v>
      </c>
      <c r="AG8" s="5" t="str">
        <f aca="false">IF(ISNUMBER(FIND("C", AD8, 1)), SUBSTITUTE(AD8, "C", "E"), SUBSTITUTE(AD8, "E", "C"))</f>
        <v>E7</v>
      </c>
      <c r="AH8" s="5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30</v>
      </c>
      <c r="C9" s="18" t="n">
        <v>0</v>
      </c>
      <c r="D9" s="16" t="s">
        <v>29</v>
      </c>
      <c r="E9" s="19" t="n">
        <v>1</v>
      </c>
      <c r="F9" s="31" t="s">
        <v>38</v>
      </c>
      <c r="G9" s="2"/>
      <c r="H9" s="21" t="n">
        <v>46197</v>
      </c>
      <c r="I9" s="22" t="n">
        <v>0.916666666666667</v>
      </c>
      <c r="J9" s="23"/>
      <c r="K9" s="34" t="s">
        <v>30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-5</v>
      </c>
      <c r="N9" s="35" t="n">
        <f aca="true">SUM(INDIRECT($AC9),INDIRECT($AD9),INDIRECT($AE9))</f>
        <v>0</v>
      </c>
      <c r="O9" s="35" t="n">
        <f aca="true">SUM(INDIRECT($AF9),INDIRECT($AG9),INDIRECT($AH9))</f>
        <v>5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28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aca="false">IF(ISNUMBER(FIND("C", AC9, 1)), SUBSTITUTE(AC9, "C", "E"), SUBSTITUTE(AC9, "E", "C"))</f>
        <v>C5</v>
      </c>
      <c r="AG9" s="5" t="str">
        <f aca="false">IF(ISNUMBER(FIND("C", AD9, 1)), SUBSTITUTE(AD9, "C", "E"), SUBSTITUTE(AD9, "E", "C"))</f>
        <v>C7</v>
      </c>
      <c r="AH9" s="5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39</v>
      </c>
      <c r="C10" s="38" t="n">
        <v>0</v>
      </c>
      <c r="D10" s="35" t="s">
        <v>29</v>
      </c>
      <c r="E10" s="39" t="n">
        <v>1</v>
      </c>
      <c r="F10" s="40" t="s">
        <v>28</v>
      </c>
      <c r="G10" s="2"/>
      <c r="H10" s="41" t="n">
        <v>46197</v>
      </c>
      <c r="I10" s="42" t="n">
        <v>0.916666666666667</v>
      </c>
      <c r="J10" s="23"/>
      <c r="K10" s="27"/>
      <c r="S10" s="2"/>
      <c r="T10" s="28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customFormat="false" ht="13.5" hidden="false" customHeight="true" outlineLevel="0" collapsed="false">
      <c r="B11" s="43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customFormat="false" ht="13.5" hidden="false" customHeight="true" outlineLevel="0" collapsed="false">
      <c r="B12" s="12" t="s">
        <v>52</v>
      </c>
      <c r="C12" s="12"/>
      <c r="D12" s="12"/>
      <c r="E12" s="12"/>
      <c r="F12" s="12"/>
      <c r="G12" s="2"/>
      <c r="H12" s="13" t="s">
        <v>26</v>
      </c>
      <c r="I12" s="14" t="s">
        <v>27</v>
      </c>
      <c r="J12" s="15"/>
      <c r="K12" s="2"/>
      <c r="L12" s="2"/>
      <c r="M12" s="2"/>
      <c r="N12" s="2"/>
      <c r="O12" s="2"/>
      <c r="P12" s="2"/>
      <c r="Q12" s="2"/>
      <c r="R12" s="2"/>
      <c r="S12" s="2"/>
      <c r="U12" s="16"/>
      <c r="V12" s="16"/>
      <c r="W12" s="16"/>
      <c r="X12" s="16"/>
      <c r="Y12" s="30"/>
      <c r="Z12" s="30"/>
      <c r="AA12" s="30"/>
      <c r="AB12" s="5"/>
      <c r="AC12" s="5"/>
      <c r="AD12" s="5"/>
      <c r="AE12" s="5"/>
      <c r="AF12" s="5"/>
      <c r="AG12" s="5"/>
      <c r="AH12" s="5"/>
    </row>
    <row r="13" customFormat="false" ht="13.5" hidden="false" customHeight="true" outlineLevel="0" collapsed="false">
      <c r="B13" s="17" t="s">
        <v>53</v>
      </c>
      <c r="C13" s="18" t="n">
        <v>2</v>
      </c>
      <c r="D13" s="16" t="s">
        <v>29</v>
      </c>
      <c r="E13" s="19" t="n">
        <v>0</v>
      </c>
      <c r="F13" s="20" t="s">
        <v>54</v>
      </c>
      <c r="G13" s="2"/>
      <c r="H13" s="21" t="n">
        <v>46185</v>
      </c>
      <c r="I13" s="22" t="n">
        <v>0.666666666666667</v>
      </c>
      <c r="J13" s="23"/>
      <c r="K13" s="44"/>
      <c r="L13" s="25" t="s">
        <v>31</v>
      </c>
      <c r="M13" s="25" t="s">
        <v>32</v>
      </c>
      <c r="N13" s="25" t="s">
        <v>33</v>
      </c>
      <c r="O13" s="25" t="s">
        <v>34</v>
      </c>
      <c r="P13" s="25" t="s">
        <v>35</v>
      </c>
      <c r="Q13" s="25" t="s">
        <v>36</v>
      </c>
      <c r="R13" s="26" t="s">
        <v>37</v>
      </c>
      <c r="S13" s="27"/>
      <c r="T13" s="28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customFormat="false" ht="13.5" hidden="false" customHeight="true" outlineLevel="0" collapsed="false">
      <c r="B14" s="17" t="s">
        <v>55</v>
      </c>
      <c r="C14" s="18" t="n">
        <v>0</v>
      </c>
      <c r="D14" s="16" t="s">
        <v>29</v>
      </c>
      <c r="E14" s="19" t="n">
        <v>2</v>
      </c>
      <c r="F14" s="20" t="s">
        <v>56</v>
      </c>
      <c r="G14" s="2"/>
      <c r="H14" s="21" t="n">
        <v>46186</v>
      </c>
      <c r="I14" s="22" t="n">
        <v>0.666666666666667</v>
      </c>
      <c r="J14" s="23"/>
      <c r="K14" s="32" t="s">
        <v>54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6" t="n">
        <f aca="false">N14-O14</f>
        <v>-2</v>
      </c>
      <c r="N14" s="16" t="n">
        <f aca="true">SUM(INDIRECT($AC14),INDIRECT($AD14),INDIRECT($AE14))</f>
        <v>2</v>
      </c>
      <c r="O14" s="16" t="n">
        <f aca="true">SUM(INDIRECT($AF14),INDIRECT($AG14),INDIRECT($AH14))</f>
        <v>4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28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aca="false">IF(ISNUMBER(FIND("C", AC14, 1)), SUBSTITUTE(AC14, "C", "E"), SUBSTITUTE(AC14, "E", "C"))</f>
        <v>C13</v>
      </c>
      <c r="AG14" s="5" t="str">
        <f aca="false">IF(ISNUMBER(FIND("C", AD14, 1)), SUBSTITUTE(AD14, "C", "E"), SUBSTITUTE(AD14, "E", "C"))</f>
        <v>C15</v>
      </c>
      <c r="AH14" s="5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56</v>
      </c>
      <c r="C15" s="18" t="n">
        <v>2</v>
      </c>
      <c r="D15" s="16" t="s">
        <v>29</v>
      </c>
      <c r="E15" s="19" t="n">
        <v>0</v>
      </c>
      <c r="F15" s="20" t="s">
        <v>54</v>
      </c>
      <c r="G15" s="2"/>
      <c r="H15" s="21" t="n">
        <v>46191</v>
      </c>
      <c r="I15" s="22" t="n">
        <v>0.666666666666667</v>
      </c>
      <c r="J15" s="23"/>
      <c r="K15" s="32" t="s">
        <v>53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6" t="n">
        <f aca="false">N15-O15</f>
        <v>3</v>
      </c>
      <c r="N15" s="16" t="n">
        <f aca="true">SUM(INDIRECT($AC15),INDIRECT($AD15),INDIRECT($AE15))</f>
        <v>4</v>
      </c>
      <c r="O15" s="16" t="n">
        <f aca="true">SUM(INDIRECT($AF15),INDIRECT($AG15),INDIRECT($AH15))</f>
        <v>1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28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aca="false">IF(ISNUMBER(FIND("C", AC15, 1)), SUBSTITUTE(AC15, "C", "E"), SUBSTITUTE(AC15, "E", "C"))</f>
        <v>E13</v>
      </c>
      <c r="AG15" s="5" t="str">
        <f aca="false">IF(ISNUMBER(FIND("C", AD15, 1)), SUBSTITUTE(AD15, "C", "E"), SUBSTITUTE(AD15, "E", "C"))</f>
        <v>E16</v>
      </c>
      <c r="AH15" s="5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53</v>
      </c>
      <c r="C16" s="18" t="n">
        <v>2</v>
      </c>
      <c r="D16" s="16" t="s">
        <v>29</v>
      </c>
      <c r="E16" s="19" t="n">
        <v>0</v>
      </c>
      <c r="F16" s="20" t="s">
        <v>55</v>
      </c>
      <c r="G16" s="2"/>
      <c r="H16" s="21" t="n">
        <v>46191</v>
      </c>
      <c r="I16" s="22" t="n">
        <v>0.791666666666667</v>
      </c>
      <c r="J16" s="23"/>
      <c r="K16" s="32" t="s">
        <v>55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-6</v>
      </c>
      <c r="N16" s="16" t="n">
        <f aca="true">SUM(INDIRECT($AC16),INDIRECT($AD16),INDIRECT($AE16))</f>
        <v>0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28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aca="false">IF(ISNUMBER(FIND("C", AC16, 1)), SUBSTITUTE(AC16, "C", "E"), SUBSTITUTE(AC16, "E", "C"))</f>
        <v>E14</v>
      </c>
      <c r="AG16" s="5" t="str">
        <f aca="false">IF(ISNUMBER(FIND("C", AD16, 1)), SUBSTITUTE(AD16, "C", "E"), SUBSTITUTE(AD16, "E", "C"))</f>
        <v>C16</v>
      </c>
      <c r="AH16" s="5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56</v>
      </c>
      <c r="C17" s="18" t="n">
        <v>1</v>
      </c>
      <c r="D17" s="16" t="s">
        <v>29</v>
      </c>
      <c r="E17" s="19" t="n">
        <v>0</v>
      </c>
      <c r="F17" s="20" t="s">
        <v>53</v>
      </c>
      <c r="G17" s="2"/>
      <c r="H17" s="21" t="n">
        <v>46197</v>
      </c>
      <c r="I17" s="22" t="n">
        <v>0.666666666666667</v>
      </c>
      <c r="J17" s="23"/>
      <c r="K17" s="34" t="s">
        <v>56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5" t="n">
        <f aca="false">N17-O17</f>
        <v>5</v>
      </c>
      <c r="N17" s="35" t="n">
        <f aca="true">SUM(INDIRECT($AC17),INDIRECT($AD17),INDIRECT($AE17))</f>
        <v>5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28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aca="false">IF(ISNUMBER(FIND("C", AC17, 1)), SUBSTITUTE(AC17, "C", "E"), SUBSTITUTE(AC17, "E", "C"))</f>
        <v>C14</v>
      </c>
      <c r="AG17" s="5" t="str">
        <f aca="false">IF(ISNUMBER(FIND("C", AD17, 1)), SUBSTITUTE(AD17, "C", "E"), SUBSTITUTE(AD17, "E", "C"))</f>
        <v>E15</v>
      </c>
      <c r="AH17" s="5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54</v>
      </c>
      <c r="C18" s="38" t="n">
        <v>2</v>
      </c>
      <c r="D18" s="35" t="s">
        <v>29</v>
      </c>
      <c r="E18" s="39" t="n">
        <v>0</v>
      </c>
      <c r="F18" s="45" t="s">
        <v>55</v>
      </c>
      <c r="G18" s="2"/>
      <c r="H18" s="41" t="n">
        <v>46197</v>
      </c>
      <c r="I18" s="42" t="n">
        <v>0.666666666666667</v>
      </c>
      <c r="J18" s="23"/>
      <c r="K18" s="27"/>
      <c r="S18" s="2"/>
      <c r="T18" s="28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customFormat="false" ht="13.5" hidden="false" customHeight="true" outlineLevel="0" collapsed="false">
      <c r="B19" s="43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customFormat="false" ht="13.5" hidden="false" customHeight="true" outlineLevel="0" collapsed="false">
      <c r="B20" s="12" t="s">
        <v>69</v>
      </c>
      <c r="C20" s="12"/>
      <c r="D20" s="12"/>
      <c r="E20" s="12"/>
      <c r="F20" s="12"/>
      <c r="G20" s="2"/>
      <c r="H20" s="13" t="s">
        <v>26</v>
      </c>
      <c r="I20" s="14" t="s">
        <v>27</v>
      </c>
      <c r="J20" s="15"/>
      <c r="K20" s="2"/>
      <c r="L20" s="2"/>
      <c r="M20" s="2"/>
      <c r="N20" s="2"/>
      <c r="O20" s="2"/>
      <c r="P20" s="2"/>
      <c r="Q20" s="2"/>
      <c r="R20" s="2"/>
      <c r="S20" s="2"/>
      <c r="U20" s="16"/>
      <c r="V20" s="16"/>
      <c r="W20" s="16"/>
      <c r="X20" s="16"/>
      <c r="Y20" s="30"/>
      <c r="Z20" s="30"/>
      <c r="AA20" s="30"/>
      <c r="AB20" s="5"/>
      <c r="AC20" s="5"/>
      <c r="AD20" s="5"/>
      <c r="AE20" s="5"/>
      <c r="AF20" s="5"/>
      <c r="AG20" s="5"/>
      <c r="AH20" s="5"/>
    </row>
    <row r="21" customFormat="false" ht="13.5" hidden="false" customHeight="true" outlineLevel="0" collapsed="false">
      <c r="B21" s="17" t="s">
        <v>70</v>
      </c>
      <c r="C21" s="18" t="n">
        <v>2</v>
      </c>
      <c r="D21" s="16" t="s">
        <v>29</v>
      </c>
      <c r="E21" s="19" t="n">
        <v>1</v>
      </c>
      <c r="F21" s="20" t="s">
        <v>71</v>
      </c>
      <c r="G21" s="2"/>
      <c r="H21" s="21" t="n">
        <v>46186</v>
      </c>
      <c r="I21" s="22" t="n">
        <v>0.791666666666667</v>
      </c>
      <c r="J21" s="23"/>
      <c r="K21" s="44"/>
      <c r="L21" s="25" t="s">
        <v>31</v>
      </c>
      <c r="M21" s="25" t="s">
        <v>32</v>
      </c>
      <c r="N21" s="25" t="s">
        <v>33</v>
      </c>
      <c r="O21" s="25" t="s">
        <v>34</v>
      </c>
      <c r="P21" s="25" t="s">
        <v>35</v>
      </c>
      <c r="Q21" s="25" t="s">
        <v>36</v>
      </c>
      <c r="R21" s="26" t="s">
        <v>37</v>
      </c>
      <c r="S21" s="27"/>
      <c r="T21" s="28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customFormat="false" ht="13.5" hidden="false" customHeight="true" outlineLevel="0" collapsed="false">
      <c r="B22" s="17" t="s">
        <v>72</v>
      </c>
      <c r="C22" s="18" t="n">
        <v>0</v>
      </c>
      <c r="D22" s="16" t="s">
        <v>29</v>
      </c>
      <c r="E22" s="19" t="n">
        <v>3</v>
      </c>
      <c r="F22" s="20" t="s">
        <v>73</v>
      </c>
      <c r="G22" s="2"/>
      <c r="H22" s="21" t="n">
        <v>46186</v>
      </c>
      <c r="I22" s="22" t="n">
        <v>0.916666666666667</v>
      </c>
      <c r="J22" s="23"/>
      <c r="K22" s="32" t="s">
        <v>70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6" t="n">
        <f aca="false">N22-O22</f>
        <v>4</v>
      </c>
      <c r="N22" s="16" t="n">
        <f aca="true">SUM(INDIRECT($AC22),INDIRECT($AD22),INDIRECT($AE22))</f>
        <v>7</v>
      </c>
      <c r="O22" s="16" t="n">
        <f aca="true">SUM(INDIRECT($AF22),INDIRECT($AG22),INDIRECT($AH22))</f>
        <v>3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7"/>
      <c r="T22" s="28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aca="false">IF(ISNUMBER(FIND("C", AC22, 1)), SUBSTITUTE(AC22, "C", "E"), SUBSTITUTE(AC22, "E", "C"))</f>
        <v>E21</v>
      </c>
      <c r="AG22" s="5" t="str">
        <f aca="false">IF(ISNUMBER(FIND("C", AD22, 1)), SUBSTITUTE(AD22, "C", "E"), SUBSTITUTE(AD22, "E", "C"))</f>
        <v>E24</v>
      </c>
      <c r="AH22" s="5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73</v>
      </c>
      <c r="C23" s="18" t="n">
        <v>1</v>
      </c>
      <c r="D23" s="16" t="s">
        <v>29</v>
      </c>
      <c r="E23" s="19" t="n">
        <v>0</v>
      </c>
      <c r="F23" s="20" t="s">
        <v>71</v>
      </c>
      <c r="G23" s="2"/>
      <c r="H23" s="21" t="n">
        <v>46192</v>
      </c>
      <c r="I23" s="22" t="n">
        <v>0.791666666666667</v>
      </c>
      <c r="J23" s="23"/>
      <c r="K23" s="32" t="s">
        <v>73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6" t="n">
        <f aca="false">N23-O23</f>
        <v>5</v>
      </c>
      <c r="N23" s="16" t="n">
        <f aca="true">SUM(INDIRECT($AC23),INDIRECT($AD23),INDIRECT($AE23))</f>
        <v>6</v>
      </c>
      <c r="O23" s="16" t="n">
        <f aca="true">SUM(INDIRECT($AF23),INDIRECT($AG23),INDIRECT($AH23))</f>
        <v>1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28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aca="false">IF(ISNUMBER(FIND("C", AC23, 1)), SUBSTITUTE(AC23, "C", "E"), SUBSTITUTE(AC23, "E", "C"))</f>
        <v>C22</v>
      </c>
      <c r="AG23" s="5" t="str">
        <f aca="false">IF(ISNUMBER(FIND("C", AD23, 1)), SUBSTITUTE(AD23, "C", "E"), SUBSTITUTE(AD23, "E", "C"))</f>
        <v>E23</v>
      </c>
      <c r="AH23" s="5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70</v>
      </c>
      <c r="C24" s="18" t="n">
        <v>4</v>
      </c>
      <c r="D24" s="16" t="s">
        <v>29</v>
      </c>
      <c r="E24" s="19" t="n">
        <v>0</v>
      </c>
      <c r="F24" s="20" t="s">
        <v>72</v>
      </c>
      <c r="G24" s="2"/>
      <c r="H24" s="21" t="n">
        <v>46192</v>
      </c>
      <c r="I24" s="22" t="n">
        <v>0.895833333333333</v>
      </c>
      <c r="J24" s="23"/>
      <c r="K24" s="32" t="s">
        <v>72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28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aca="false">IF(ISNUMBER(FIND("C", AC24, 1)), SUBSTITUTE(AC24, "C", "E"), SUBSTITUTE(AC24, "E", "C"))</f>
        <v>E22</v>
      </c>
      <c r="AG24" s="5" t="str">
        <f aca="false">IF(ISNUMBER(FIND("C", AD24, 1)), SUBSTITUTE(AD24, "C", "E"), SUBSTITUTE(AD24, "E", "C"))</f>
        <v>C24</v>
      </c>
      <c r="AH24" s="5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71</v>
      </c>
      <c r="C25" s="18" t="n">
        <v>3</v>
      </c>
      <c r="D25" s="16" t="s">
        <v>29</v>
      </c>
      <c r="E25" s="19" t="n">
        <v>0</v>
      </c>
      <c r="F25" s="20" t="s">
        <v>72</v>
      </c>
      <c r="G25" s="2"/>
      <c r="H25" s="21" t="n">
        <v>46197</v>
      </c>
      <c r="I25" s="22" t="n">
        <v>0.791666666666667</v>
      </c>
      <c r="J25" s="23"/>
      <c r="K25" s="34" t="s">
        <v>71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5" t="n">
        <f aca="false">N25-O25</f>
        <v>1</v>
      </c>
      <c r="N25" s="35" t="n">
        <f aca="true">SUM(INDIRECT($AC25),INDIRECT($AD25),INDIRECT($AE25))</f>
        <v>4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28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aca="false">IF(ISNUMBER(FIND("C", AC25, 1)), SUBSTITUTE(AC25, "C", "E"), SUBSTITUTE(AC25, "E", "C"))</f>
        <v>C21</v>
      </c>
      <c r="AG25" s="5" t="str">
        <f aca="false">IF(ISNUMBER(FIND("C", AD25, 1)), SUBSTITUTE(AD25, "C", "E"), SUBSTITUTE(AD25, "E", "C"))</f>
        <v>C23</v>
      </c>
      <c r="AH25" s="5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73</v>
      </c>
      <c r="C26" s="38" t="n">
        <v>2</v>
      </c>
      <c r="D26" s="35" t="s">
        <v>29</v>
      </c>
      <c r="E26" s="39" t="n">
        <v>1</v>
      </c>
      <c r="F26" s="45" t="s">
        <v>70</v>
      </c>
      <c r="G26" s="2"/>
      <c r="H26" s="41" t="n">
        <v>46197</v>
      </c>
      <c r="I26" s="42" t="n">
        <v>0.791666666666667</v>
      </c>
      <c r="J26" s="23"/>
      <c r="K26" s="43"/>
      <c r="S26" s="2"/>
      <c r="T26" s="28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customFormat="false" ht="13.5" hidden="false" customHeight="true" outlineLevel="0" collapsed="false">
      <c r="B27" s="43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customFormat="false" ht="13.5" hidden="false" customHeight="true" outlineLevel="0" collapsed="false">
      <c r="B28" s="12" t="s">
        <v>86</v>
      </c>
      <c r="C28" s="12"/>
      <c r="D28" s="12"/>
      <c r="E28" s="12"/>
      <c r="F28" s="12"/>
      <c r="G28" s="2"/>
      <c r="H28" s="13" t="s">
        <v>26</v>
      </c>
      <c r="I28" s="14" t="s">
        <v>27</v>
      </c>
      <c r="J28" s="15"/>
      <c r="K28" s="2"/>
      <c r="L28" s="2"/>
      <c r="M28" s="2"/>
      <c r="N28" s="2"/>
      <c r="O28" s="2"/>
      <c r="P28" s="2"/>
      <c r="Q28" s="2"/>
      <c r="R28" s="2"/>
      <c r="S28" s="2"/>
      <c r="U28" s="16"/>
      <c r="V28" s="16"/>
      <c r="W28" s="16"/>
      <c r="X28" s="16"/>
      <c r="Y28" s="30"/>
      <c r="Z28" s="30"/>
      <c r="AA28" s="30"/>
      <c r="AB28" s="5"/>
      <c r="AC28" s="5"/>
      <c r="AD28" s="5"/>
      <c r="AE28" s="5"/>
      <c r="AF28" s="5"/>
      <c r="AG28" s="5"/>
      <c r="AH28" s="5"/>
    </row>
    <row r="29" customFormat="false" ht="13.5" hidden="false" customHeight="true" outlineLevel="0" collapsed="false">
      <c r="B29" s="17" t="s">
        <v>87</v>
      </c>
      <c r="C29" s="18" t="n">
        <v>2</v>
      </c>
      <c r="D29" s="16" t="s">
        <v>29</v>
      </c>
      <c r="E29" s="19" t="n">
        <v>2</v>
      </c>
      <c r="F29" s="20" t="s">
        <v>88</v>
      </c>
      <c r="G29" s="2"/>
      <c r="H29" s="21" t="n">
        <v>46185</v>
      </c>
      <c r="I29" s="22" t="n">
        <v>0.916666666666667</v>
      </c>
      <c r="J29" s="23"/>
      <c r="K29" s="24"/>
      <c r="L29" s="25" t="s">
        <v>31</v>
      </c>
      <c r="M29" s="25" t="s">
        <v>32</v>
      </c>
      <c r="N29" s="25" t="s">
        <v>33</v>
      </c>
      <c r="O29" s="25" t="s">
        <v>34</v>
      </c>
      <c r="P29" s="25" t="s">
        <v>35</v>
      </c>
      <c r="Q29" s="25" t="s">
        <v>36</v>
      </c>
      <c r="R29" s="26" t="s">
        <v>37</v>
      </c>
      <c r="S29" s="27"/>
      <c r="T29" s="28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customFormat="false" ht="13.5" hidden="false" customHeight="true" outlineLevel="0" collapsed="false">
      <c r="B30" s="17" t="s">
        <v>89</v>
      </c>
      <c r="C30" s="18" t="n">
        <v>2</v>
      </c>
      <c r="D30" s="16" t="s">
        <v>29</v>
      </c>
      <c r="E30" s="19" t="n">
        <v>0</v>
      </c>
      <c r="F30" s="20" t="s">
        <v>90</v>
      </c>
      <c r="G30" s="2"/>
      <c r="H30" s="21" t="n">
        <v>46187</v>
      </c>
      <c r="I30" s="22" t="n">
        <v>0.0416666666666667</v>
      </c>
      <c r="J30" s="23"/>
      <c r="K30" s="32" t="s">
        <v>89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-1</v>
      </c>
      <c r="N30" s="16" t="n">
        <f aca="true">SUM(INDIRECT($AC30),INDIRECT($AD30),INDIRECT($AE30))</f>
        <v>2</v>
      </c>
      <c r="O30" s="16" t="n">
        <f aca="true">SUM(INDIRECT($AF30),INDIRECT($AG30),INDIRECT($AH30))</f>
        <v>3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28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aca="false">IF(ISNUMBER(FIND("C", AC30, 1)), SUBSTITUTE(AC30, "C", "E"), SUBSTITUTE(AC30, "E", "C"))</f>
        <v>E30</v>
      </c>
      <c r="AG30" s="5" t="str">
        <f aca="false">IF(ISNUMBER(FIND("C", AD30, 1)), SUBSTITUTE(AD30, "C", "E"), SUBSTITUTE(AD30, "E", "C"))</f>
        <v>C31</v>
      </c>
      <c r="AH30" s="5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87</v>
      </c>
      <c r="C31" s="18" t="n">
        <v>2</v>
      </c>
      <c r="D31" s="16" t="s">
        <v>29</v>
      </c>
      <c r="E31" s="19" t="n">
        <v>0</v>
      </c>
      <c r="F31" s="20" t="s">
        <v>89</v>
      </c>
      <c r="G31" s="2"/>
      <c r="H31" s="21" t="n">
        <v>46192</v>
      </c>
      <c r="I31" s="22" t="n">
        <v>0.666666666666667</v>
      </c>
      <c r="J31" s="23"/>
      <c r="K31" s="32" t="s">
        <v>87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6" t="n">
        <f aca="false">N31-O31</f>
        <v>2</v>
      </c>
      <c r="N31" s="16" t="n">
        <f aca="true">SUM(INDIRECT($AC31),INDIRECT($AD31),INDIRECT($AE31))</f>
        <v>5</v>
      </c>
      <c r="O31" s="16" t="n">
        <f aca="true">SUM(INDIRECT($AF31),INDIRECT($AG31),INDIRECT($AH31))</f>
        <v>3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28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aca="false">IF(ISNUMBER(FIND("C", AC31, 1)), SUBSTITUTE(AC31, "C", "E"), SUBSTITUTE(AC31, "E", "C"))</f>
        <v>E29</v>
      </c>
      <c r="AG31" s="5" t="str">
        <f aca="false">IF(ISNUMBER(FIND("C", AD31, 1)), SUBSTITUTE(AD31, "C", "E"), SUBSTITUTE(AD31, "E", "C"))</f>
        <v>E31</v>
      </c>
      <c r="AH31" s="5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90</v>
      </c>
      <c r="C32" s="18" t="n">
        <v>1</v>
      </c>
      <c r="D32" s="16" t="s">
        <v>29</v>
      </c>
      <c r="E32" s="19" t="n">
        <v>1</v>
      </c>
      <c r="F32" s="20" t="s">
        <v>88</v>
      </c>
      <c r="G32" s="2"/>
      <c r="H32" s="21" t="n">
        <v>46193</v>
      </c>
      <c r="I32" s="22" t="n">
        <v>0.0416666666666667</v>
      </c>
      <c r="J32" s="23"/>
      <c r="K32" s="32" t="s">
        <v>88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6" t="n">
        <f aca="false">N32-O32</f>
        <v>-1</v>
      </c>
      <c r="N32" s="16" t="n">
        <f aca="true">SUM(INDIRECT($AC32),INDIRECT($AD32),INDIRECT($AE32))</f>
        <v>3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28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aca="false">IF(ISNUMBER(FIND("C", AC32, 1)), SUBSTITUTE(AC32, "C", "E"), SUBSTITUTE(AC32, "E", "C"))</f>
        <v>C29</v>
      </c>
      <c r="AG32" s="5" t="str">
        <f aca="false">IF(ISNUMBER(FIND("C", AD32, 1)), SUBSTITUTE(AD32, "C", "E"), SUBSTITUTE(AD32, "E", "C"))</f>
        <v>C32</v>
      </c>
      <c r="AH32" s="5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90</v>
      </c>
      <c r="C33" s="18" t="n">
        <v>1</v>
      </c>
      <c r="D33" s="16" t="s">
        <v>29</v>
      </c>
      <c r="E33" s="19" t="n">
        <v>1</v>
      </c>
      <c r="F33" s="20" t="s">
        <v>87</v>
      </c>
      <c r="G33" s="2"/>
      <c r="H33" s="21" t="n">
        <v>46198</v>
      </c>
      <c r="I33" s="22" t="n">
        <v>0.958333333333333</v>
      </c>
      <c r="J33" s="23"/>
      <c r="K33" s="34" t="s">
        <v>90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5" t="n">
        <f aca="false">N33-O33</f>
        <v>-2</v>
      </c>
      <c r="N33" s="35" t="n">
        <f aca="true">SUM(INDIRECT($AC33),INDIRECT($AD33),INDIRECT($AE33))</f>
        <v>2</v>
      </c>
      <c r="O33" s="35" t="n">
        <f aca="true">SUM(INDIRECT($AF33),INDIRECT($AG33),INDIRECT($AH33))</f>
        <v>4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28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aca="false">IF(ISNUMBER(FIND("C", AC33, 1)), SUBSTITUTE(AC33, "C", "E"), SUBSTITUTE(AC33, "E", "C"))</f>
        <v>C30</v>
      </c>
      <c r="AG33" s="5" t="str">
        <f aca="false">IF(ISNUMBER(FIND("C", AD33, 1)), SUBSTITUTE(AD33, "C", "E"), SUBSTITUTE(AD33, "E", "C"))</f>
        <v>E32</v>
      </c>
      <c r="AH33" s="5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88</v>
      </c>
      <c r="C34" s="38" t="n">
        <v>1</v>
      </c>
      <c r="D34" s="35" t="s">
        <v>29</v>
      </c>
      <c r="E34" s="39" t="n">
        <v>0</v>
      </c>
      <c r="F34" s="45" t="s">
        <v>89</v>
      </c>
      <c r="G34" s="2"/>
      <c r="H34" s="41" t="n">
        <v>46198</v>
      </c>
      <c r="I34" s="42" t="n">
        <v>0.958333333333333</v>
      </c>
      <c r="J34" s="23"/>
      <c r="K34" s="43"/>
      <c r="S34" s="2"/>
      <c r="T34" s="28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customFormat="false" ht="13.5" hidden="false" customHeight="true" outlineLevel="0" collapsed="false">
      <c r="B35" s="43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customFormat="false" ht="13.5" hidden="false" customHeight="true" outlineLevel="0" collapsed="false">
      <c r="B36" s="12" t="s">
        <v>102</v>
      </c>
      <c r="C36" s="12"/>
      <c r="D36" s="12"/>
      <c r="E36" s="12"/>
      <c r="F36" s="12"/>
      <c r="G36" s="2"/>
      <c r="H36" s="13" t="s">
        <v>26</v>
      </c>
      <c r="I36" s="14" t="s">
        <v>27</v>
      </c>
      <c r="J36" s="15"/>
      <c r="K36" s="2"/>
      <c r="L36" s="2"/>
      <c r="M36" s="2"/>
      <c r="N36" s="2"/>
      <c r="O36" s="2"/>
      <c r="P36" s="2"/>
      <c r="Q36" s="2"/>
      <c r="R36" s="2"/>
      <c r="S36" s="2"/>
      <c r="U36" s="16"/>
      <c r="V36" s="16"/>
      <c r="W36" s="16"/>
      <c r="X36" s="16"/>
      <c r="Y36" s="30"/>
      <c r="Z36" s="30"/>
      <c r="AA36" s="30"/>
      <c r="AB36" s="5"/>
      <c r="AC36" s="5"/>
      <c r="AD36" s="5"/>
      <c r="AE36" s="5"/>
      <c r="AF36" s="5"/>
      <c r="AG36" s="5"/>
      <c r="AH36" s="5"/>
    </row>
    <row r="37" customFormat="false" ht="13.5" hidden="false" customHeight="true" outlineLevel="0" collapsed="false">
      <c r="B37" s="17" t="s">
        <v>103</v>
      </c>
      <c r="C37" s="18" t="n">
        <v>4</v>
      </c>
      <c r="D37" s="16" t="s">
        <v>29</v>
      </c>
      <c r="E37" s="19" t="n">
        <v>0</v>
      </c>
      <c r="F37" s="31" t="s">
        <v>104</v>
      </c>
      <c r="G37" s="2"/>
      <c r="H37" s="21" t="n">
        <v>46187</v>
      </c>
      <c r="I37" s="22" t="n">
        <v>0.583333333333333</v>
      </c>
      <c r="J37" s="23"/>
      <c r="K37" s="24"/>
      <c r="L37" s="25" t="s">
        <v>31</v>
      </c>
      <c r="M37" s="25" t="s">
        <v>32</v>
      </c>
      <c r="N37" s="25" t="s">
        <v>33</v>
      </c>
      <c r="O37" s="25" t="s">
        <v>34</v>
      </c>
      <c r="P37" s="25" t="s">
        <v>35</v>
      </c>
      <c r="Q37" s="25" t="s">
        <v>36</v>
      </c>
      <c r="R37" s="26" t="s">
        <v>37</v>
      </c>
      <c r="S37" s="27"/>
      <c r="T37" s="28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customFormat="false" ht="13.5" hidden="false" customHeight="true" outlineLevel="0" collapsed="false">
      <c r="B38" s="17" t="s">
        <v>105</v>
      </c>
      <c r="C38" s="18" t="n">
        <v>0</v>
      </c>
      <c r="D38" s="16" t="s">
        <v>29</v>
      </c>
      <c r="E38" s="19" t="n">
        <v>2</v>
      </c>
      <c r="F38" s="31" t="s">
        <v>106</v>
      </c>
      <c r="G38" s="2"/>
      <c r="H38" s="21" t="n">
        <v>46187</v>
      </c>
      <c r="I38" s="22" t="n">
        <v>0.833333333333333</v>
      </c>
      <c r="J38" s="23"/>
      <c r="K38" s="46" t="s">
        <v>103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aca="false">IF(ISNUMBER(FIND("C", AC38, 1)), SUBSTITUTE(AC38, "C", "E"), SUBSTITUTE(AC38, "E", "C"))</f>
        <v>E37</v>
      </c>
      <c r="AG38" s="5" t="str">
        <f aca="false">IF(ISNUMBER(FIND("C", AD38, 1)), SUBSTITUTE(AD38, "C", "E"), SUBSTITUTE(AD38, "E", "C"))</f>
        <v>E39</v>
      </c>
      <c r="AH38" s="5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103</v>
      </c>
      <c r="C39" s="18" t="n">
        <v>3</v>
      </c>
      <c r="D39" s="16" t="s">
        <v>29</v>
      </c>
      <c r="E39" s="19" t="n">
        <v>1</v>
      </c>
      <c r="F39" s="31" t="s">
        <v>105</v>
      </c>
      <c r="G39" s="2"/>
      <c r="H39" s="21" t="n">
        <v>46193</v>
      </c>
      <c r="I39" s="22" t="n">
        <v>0.708333333333333</v>
      </c>
      <c r="J39" s="23"/>
      <c r="K39" s="46" t="s">
        <v>105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3</v>
      </c>
      <c r="O39" s="16" t="n">
        <f aca="true">SUM(INDIRECT($AF39),INDIRECT($AG39),INDIRECT($AH39))</f>
        <v>5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28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aca="false">IF(ISNUMBER(FIND("C", AC39, 1)), SUBSTITUTE(AC39, "C", "E"), SUBSTITUTE(AC39, "E", "C"))</f>
        <v>E38</v>
      </c>
      <c r="AG39" s="5" t="str">
        <f aca="false">IF(ISNUMBER(FIND("C", AD39, 1)), SUBSTITUTE(AD39, "C", "E"), SUBSTITUTE(AD39, "E", "C"))</f>
        <v>C39</v>
      </c>
      <c r="AH39" s="5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106</v>
      </c>
      <c r="C40" s="18" t="n">
        <v>3</v>
      </c>
      <c r="D40" s="16" t="s">
        <v>29</v>
      </c>
      <c r="E40" s="19" t="n">
        <v>1</v>
      </c>
      <c r="F40" s="31" t="s">
        <v>104</v>
      </c>
      <c r="G40" s="2"/>
      <c r="H40" s="21" t="n">
        <v>46193</v>
      </c>
      <c r="I40" s="22" t="n">
        <v>0.875</v>
      </c>
      <c r="J40" s="23"/>
      <c r="K40" s="46" t="s">
        <v>104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28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aca="false">IF(ISNUMBER(FIND("C", AC40, 1)), SUBSTITUTE(AC40, "C", "E"), SUBSTITUTE(AC40, "E", "C"))</f>
        <v>C37</v>
      </c>
      <c r="AG40" s="5" t="str">
        <f aca="false">IF(ISNUMBER(FIND("C", AD40, 1)), SUBSTITUTE(AD40, "C", "E"), SUBSTITUTE(AD40, "E", "C"))</f>
        <v>C40</v>
      </c>
      <c r="AH40" s="5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106</v>
      </c>
      <c r="C41" s="18" t="n">
        <v>0</v>
      </c>
      <c r="D41" s="16" t="s">
        <v>29</v>
      </c>
      <c r="E41" s="19" t="n">
        <v>2</v>
      </c>
      <c r="F41" s="31" t="s">
        <v>103</v>
      </c>
      <c r="G41" s="2"/>
      <c r="H41" s="21" t="n">
        <v>46198</v>
      </c>
      <c r="I41" s="22" t="n">
        <v>0.708333333333333</v>
      </c>
      <c r="J41" s="23"/>
      <c r="K41" s="47" t="s">
        <v>106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2</v>
      </c>
      <c r="N41" s="35" t="n">
        <f aca="true">SUM(INDIRECT($AC41),INDIRECT($AD41),INDIRECT($AE41))</f>
        <v>5</v>
      </c>
      <c r="O41" s="35" t="n">
        <f aca="true">SUM(INDIRECT($AF41),INDIRECT($AG41),INDIRECT($AH41))</f>
        <v>3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28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aca="false">IF(ISNUMBER(FIND("C", AC41, 1)), SUBSTITUTE(AC41, "C", "E"), SUBSTITUTE(AC41, "E", "C"))</f>
        <v>C38</v>
      </c>
      <c r="AG41" s="5" t="str">
        <f aca="false">IF(ISNUMBER(FIND("C", AD41, 1)), SUBSTITUTE(AD41, "C", "E"), SUBSTITUTE(AD41, "E", "C"))</f>
        <v>E40</v>
      </c>
      <c r="AH41" s="5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104</v>
      </c>
      <c r="C42" s="38" t="n">
        <v>0</v>
      </c>
      <c r="D42" s="35" t="s">
        <v>29</v>
      </c>
      <c r="E42" s="39" t="n">
        <v>2</v>
      </c>
      <c r="F42" s="40" t="s">
        <v>105</v>
      </c>
      <c r="G42" s="2"/>
      <c r="H42" s="41" t="n">
        <v>46198</v>
      </c>
      <c r="I42" s="42" t="n">
        <v>0.708333333333333</v>
      </c>
      <c r="J42" s="23"/>
      <c r="K42" s="43"/>
      <c r="S42" s="2"/>
      <c r="T42" s="28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customFormat="false" ht="13.5" hidden="false" customHeight="true" outlineLevel="0" collapsed="false">
      <c r="B43" s="43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customFormat="false" ht="13.5" hidden="false" customHeight="true" outlineLevel="0" collapsed="false">
      <c r="B44" s="12" t="s">
        <v>119</v>
      </c>
      <c r="C44" s="12"/>
      <c r="D44" s="12"/>
      <c r="E44" s="12"/>
      <c r="F44" s="12"/>
      <c r="G44" s="2"/>
      <c r="H44" s="13" t="s">
        <v>26</v>
      </c>
      <c r="I44" s="14" t="s">
        <v>27</v>
      </c>
      <c r="J44" s="15"/>
      <c r="K44" s="2"/>
      <c r="L44" s="2"/>
      <c r="M44" s="2"/>
      <c r="N44" s="2"/>
      <c r="O44" s="2"/>
      <c r="P44" s="2"/>
      <c r="Q44" s="2"/>
      <c r="R44" s="2"/>
      <c r="S44" s="2"/>
      <c r="U44" s="16"/>
      <c r="V44" s="16"/>
      <c r="W44" s="16"/>
      <c r="X44" s="16"/>
      <c r="Y44" s="30"/>
      <c r="Z44" s="30"/>
      <c r="AA44" s="30"/>
      <c r="AB44" s="5"/>
      <c r="AC44" s="5"/>
      <c r="AD44" s="5"/>
      <c r="AE44" s="5"/>
      <c r="AF44" s="5"/>
      <c r="AG44" s="5"/>
      <c r="AH44" s="5"/>
    </row>
    <row r="45" customFormat="false" ht="13.5" hidden="false" customHeight="true" outlineLevel="0" collapsed="false">
      <c r="B45" s="17" t="s">
        <v>120</v>
      </c>
      <c r="C45" s="18" t="n">
        <v>1</v>
      </c>
      <c r="D45" s="16" t="s">
        <v>29</v>
      </c>
      <c r="E45" s="19" t="n">
        <v>1</v>
      </c>
      <c r="F45" s="31" t="s">
        <v>121</v>
      </c>
      <c r="G45" s="2"/>
      <c r="H45" s="21" t="n">
        <v>46187</v>
      </c>
      <c r="I45" s="22" t="n">
        <v>0.708333333333333</v>
      </c>
      <c r="J45" s="23"/>
      <c r="K45" s="24"/>
      <c r="L45" s="25" t="s">
        <v>31</v>
      </c>
      <c r="M45" s="25" t="s">
        <v>32</v>
      </c>
      <c r="N45" s="25" t="s">
        <v>33</v>
      </c>
      <c r="O45" s="25" t="s">
        <v>34</v>
      </c>
      <c r="P45" s="25" t="s">
        <v>35</v>
      </c>
      <c r="Q45" s="25" t="s">
        <v>36</v>
      </c>
      <c r="R45" s="26" t="s">
        <v>37</v>
      </c>
      <c r="S45" s="27"/>
      <c r="T45" s="28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customFormat="false" ht="13.5" hidden="false" customHeight="true" outlineLevel="0" collapsed="false">
      <c r="B46" s="17" t="s">
        <v>122</v>
      </c>
      <c r="C46" s="18" t="n">
        <v>1</v>
      </c>
      <c r="D46" s="16" t="s">
        <v>29</v>
      </c>
      <c r="E46" s="19" t="n">
        <v>0</v>
      </c>
      <c r="F46" s="31" t="s">
        <v>123</v>
      </c>
      <c r="G46" s="2"/>
      <c r="H46" s="21" t="n">
        <v>46187</v>
      </c>
      <c r="I46" s="22" t="n">
        <v>0.958333333333333</v>
      </c>
      <c r="J46" s="23"/>
      <c r="K46" s="46" t="s">
        <v>120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6" t="n">
        <f aca="false">N46-O46</f>
        <v>3</v>
      </c>
      <c r="N46" s="16" t="n">
        <f aca="true">SUM(INDIRECT($AC46),INDIRECT($AD46),INDIRECT($AE46))</f>
        <v>5</v>
      </c>
      <c r="O46" s="16" t="n">
        <f aca="true">SUM(INDIRECT($AF46),INDIRECT($AG46),INDIRECT($AH46))</f>
        <v>2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aca="false">IF(ISNUMBER(FIND("C", AC46, 1)), SUBSTITUTE(AC46, "C", "E"), SUBSTITUTE(AC46, "E", "C"))</f>
        <v>E45</v>
      </c>
      <c r="AG46" s="5" t="str">
        <f aca="false">IF(ISNUMBER(FIND("C", AD46, 1)), SUBSTITUTE(AD46, "C", "E"), SUBSTITUTE(AD46, "E", "C"))</f>
        <v>E47</v>
      </c>
      <c r="AH46" s="5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120</v>
      </c>
      <c r="C47" s="18" t="n">
        <v>2</v>
      </c>
      <c r="D47" s="16" t="s">
        <v>29</v>
      </c>
      <c r="E47" s="19" t="n">
        <v>1</v>
      </c>
      <c r="F47" s="31" t="s">
        <v>122</v>
      </c>
      <c r="G47" s="2"/>
      <c r="H47" s="21" t="n">
        <v>46193</v>
      </c>
      <c r="I47" s="22" t="n">
        <v>0.583333333333333</v>
      </c>
      <c r="J47" s="23"/>
      <c r="K47" s="46" t="s">
        <v>121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6" t="n">
        <f aca="false">N47-O47</f>
        <v>3</v>
      </c>
      <c r="N47" s="16" t="n">
        <f aca="true">SUM(INDIRECT($AC47),INDIRECT($AD47),INDIRECT($AE47))</f>
        <v>6</v>
      </c>
      <c r="O47" s="16" t="n">
        <f aca="true">SUM(INDIRECT($AF47),INDIRECT($AG47),INDIRECT($AH47))</f>
        <v>3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28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aca="false">IF(ISNUMBER(FIND("C", AC47, 1)), SUBSTITUTE(AC47, "C", "E"), SUBSTITUTE(AC47, "E", "C"))</f>
        <v>C45</v>
      </c>
      <c r="AG47" s="5" t="str">
        <f aca="false">IF(ISNUMBER(FIND("C", AD47, 1)), SUBSTITUTE(AD47, "C", "E"), SUBSTITUTE(AD47, "E", "C"))</f>
        <v>C48</v>
      </c>
      <c r="AH47" s="5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123</v>
      </c>
      <c r="C48" s="18" t="n">
        <v>0</v>
      </c>
      <c r="D48" s="16" t="s">
        <v>29</v>
      </c>
      <c r="E48" s="19" t="n">
        <v>3</v>
      </c>
      <c r="F48" s="31" t="s">
        <v>121</v>
      </c>
      <c r="G48" s="2"/>
      <c r="H48" s="21" t="n">
        <v>46194</v>
      </c>
      <c r="I48" s="22" t="n">
        <v>0.0416666666666667</v>
      </c>
      <c r="J48" s="23"/>
      <c r="K48" s="46" t="s">
        <v>122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4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28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aca="false">IF(ISNUMBER(FIND("C", AC48, 1)), SUBSTITUTE(AC48, "C", "E"), SUBSTITUTE(AC48, "E", "C"))</f>
        <v>E46</v>
      </c>
      <c r="AG48" s="5" t="str">
        <f aca="false">IF(ISNUMBER(FIND("C", AD48, 1)), SUBSTITUTE(AD48, "C", "E"), SUBSTITUTE(AD48, "E", "C"))</f>
        <v>C47</v>
      </c>
      <c r="AH48" s="5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123</v>
      </c>
      <c r="C49" s="18" t="n">
        <v>0</v>
      </c>
      <c r="D49" s="16" t="s">
        <v>29</v>
      </c>
      <c r="E49" s="19" t="n">
        <v>2</v>
      </c>
      <c r="F49" s="31" t="s">
        <v>120</v>
      </c>
      <c r="G49" s="2"/>
      <c r="H49" s="21" t="n">
        <v>46198</v>
      </c>
      <c r="I49" s="22" t="n">
        <v>0.833333333333333</v>
      </c>
      <c r="J49" s="23"/>
      <c r="K49" s="47" t="s">
        <v>123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-6</v>
      </c>
      <c r="N49" s="35" t="n">
        <f aca="true">SUM(INDIRECT($AC49),INDIRECT($AD49),INDIRECT($AE49))</f>
        <v>0</v>
      </c>
      <c r="O49" s="35" t="n">
        <f aca="true">SUM(INDIRECT($AF49),INDIRECT($AG49),INDIRECT($AH49))</f>
        <v>6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28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aca="false">IF(ISNUMBER(FIND("C", AC49, 1)), SUBSTITUTE(AC49, "C", "E"), SUBSTITUTE(AC49, "E", "C"))</f>
        <v>C46</v>
      </c>
      <c r="AG49" s="5" t="str">
        <f aca="false">IF(ISNUMBER(FIND("C", AD49, 1)), SUBSTITUTE(AD49, "C", "E"), SUBSTITUTE(AD49, "E", "C"))</f>
        <v>E48</v>
      </c>
      <c r="AH49" s="5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121</v>
      </c>
      <c r="C50" s="38" t="n">
        <v>2</v>
      </c>
      <c r="D50" s="35" t="s">
        <v>29</v>
      </c>
      <c r="E50" s="39" t="n">
        <v>2</v>
      </c>
      <c r="F50" s="40" t="s">
        <v>122</v>
      </c>
      <c r="G50" s="2"/>
      <c r="H50" s="41" t="n">
        <v>46198</v>
      </c>
      <c r="I50" s="42" t="n">
        <v>0.833333333333333</v>
      </c>
      <c r="J50" s="23"/>
      <c r="K50" s="43"/>
      <c r="S50" s="2"/>
      <c r="T50" s="28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customFormat="false" ht="13.5" hidden="false" customHeight="true" outlineLevel="0" collapsed="false">
      <c r="B51" s="43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customFormat="false" ht="13.5" hidden="false" customHeight="true" outlineLevel="0" collapsed="false">
      <c r="B52" s="12" t="s">
        <v>136</v>
      </c>
      <c r="C52" s="12"/>
      <c r="D52" s="12"/>
      <c r="E52" s="12"/>
      <c r="F52" s="12"/>
      <c r="G52" s="2"/>
      <c r="H52" s="13" t="s">
        <v>26</v>
      </c>
      <c r="I52" s="14" t="s">
        <v>27</v>
      </c>
      <c r="J52" s="15"/>
      <c r="K52" s="2"/>
      <c r="L52" s="2"/>
      <c r="M52" s="2"/>
      <c r="N52" s="2"/>
      <c r="O52" s="2"/>
      <c r="P52" s="2"/>
      <c r="Q52" s="2"/>
      <c r="R52" s="2"/>
      <c r="S52" s="2"/>
      <c r="U52" s="16"/>
      <c r="V52" s="16"/>
      <c r="W52" s="16"/>
      <c r="X52" s="16"/>
      <c r="Y52" s="30"/>
      <c r="Z52" s="30"/>
      <c r="AA52" s="30"/>
      <c r="AB52" s="5"/>
      <c r="AC52" s="5"/>
      <c r="AD52" s="5"/>
      <c r="AE52" s="5"/>
      <c r="AF52" s="5"/>
      <c r="AG52" s="5"/>
      <c r="AH52" s="5"/>
    </row>
    <row r="53" customFormat="false" ht="13.5" hidden="false" customHeight="true" outlineLevel="0" collapsed="false">
      <c r="B53" s="17" t="s">
        <v>137</v>
      </c>
      <c r="C53" s="18" t="n">
        <v>1</v>
      </c>
      <c r="D53" s="16" t="s">
        <v>29</v>
      </c>
      <c r="E53" s="19" t="n">
        <v>1</v>
      </c>
      <c r="F53" s="31" t="s">
        <v>138</v>
      </c>
      <c r="G53" s="2"/>
      <c r="H53" s="21" t="n">
        <v>46188</v>
      </c>
      <c r="I53" s="22" t="n">
        <v>0.666666666666667</v>
      </c>
      <c r="J53" s="23"/>
      <c r="K53" s="24"/>
      <c r="L53" s="25" t="s">
        <v>31</v>
      </c>
      <c r="M53" s="25" t="s">
        <v>32</v>
      </c>
      <c r="N53" s="25" t="s">
        <v>33</v>
      </c>
      <c r="O53" s="25" t="s">
        <v>34</v>
      </c>
      <c r="P53" s="25" t="s">
        <v>35</v>
      </c>
      <c r="Q53" s="25" t="s">
        <v>36</v>
      </c>
      <c r="R53" s="26" t="s">
        <v>37</v>
      </c>
      <c r="S53" s="27"/>
      <c r="T53" s="28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customFormat="false" ht="13.5" hidden="false" customHeight="true" outlineLevel="0" collapsed="false">
      <c r="B54" s="17" t="s">
        <v>139</v>
      </c>
      <c r="C54" s="18" t="n">
        <v>1</v>
      </c>
      <c r="D54" s="16" t="s">
        <v>29</v>
      </c>
      <c r="E54" s="19" t="n">
        <v>1</v>
      </c>
      <c r="F54" s="31" t="s">
        <v>140</v>
      </c>
      <c r="G54" s="2"/>
      <c r="H54" s="21" t="n">
        <v>46188</v>
      </c>
      <c r="I54" s="22" t="n">
        <v>0.916666666666667</v>
      </c>
      <c r="J54" s="23"/>
      <c r="K54" s="46" t="s">
        <v>137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6" t="n">
        <f aca="false">N54-O54</f>
        <v>3</v>
      </c>
      <c r="N54" s="16" t="n">
        <f aca="true">SUM(INDIRECT($AC54),INDIRECT($AD54),INDIRECT($AE54))</f>
        <v>5</v>
      </c>
      <c r="O54" s="16" t="n">
        <f aca="true">SUM(INDIRECT($AF54),INDIRECT($AG54),INDIRECT($AH54))</f>
        <v>2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aca="false">IF(ISNUMBER(FIND("C", AC54, 1)), SUBSTITUTE(AC54, "C", "E"), SUBSTITUTE(AC54, "E", "C"))</f>
        <v>E53</v>
      </c>
      <c r="AG54" s="5" t="str">
        <f aca="false">IF(ISNUMBER(FIND("C", AD54, 1)), SUBSTITUTE(AD54, "C", "E"), SUBSTITUTE(AD54, "E", "C"))</f>
        <v>E55</v>
      </c>
      <c r="AH54" s="5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137</v>
      </c>
      <c r="C55" s="18" t="n">
        <v>2</v>
      </c>
      <c r="D55" s="16" t="s">
        <v>29</v>
      </c>
      <c r="E55" s="19" t="n">
        <v>0</v>
      </c>
      <c r="F55" s="31" t="s">
        <v>139</v>
      </c>
      <c r="G55" s="2"/>
      <c r="H55" s="21" t="n">
        <v>46194</v>
      </c>
      <c r="I55" s="22" t="n">
        <v>0.666666666666667</v>
      </c>
      <c r="J55" s="23"/>
      <c r="K55" s="46" t="s">
        <v>138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6" t="n">
        <f aca="false">N55-O55</f>
        <v>4</v>
      </c>
      <c r="N55" s="16" t="n">
        <f aca="true">SUM(INDIRECT($AC55),INDIRECT($AD55),INDIRECT($AE55))</f>
        <v>5</v>
      </c>
      <c r="O55" s="16" t="n">
        <f aca="true">SUM(INDIRECT($AF55),INDIRECT($AG55),INDIRECT($AH55))</f>
        <v>1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28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aca="false">IF(ISNUMBER(FIND("C", AC55, 1)), SUBSTITUTE(AC55, "C", "E"), SUBSTITUTE(AC55, "E", "C"))</f>
        <v>C53</v>
      </c>
      <c r="AG55" s="5" t="str">
        <f aca="false">IF(ISNUMBER(FIND("C", AD55, 1)), SUBSTITUTE(AD55, "C", "E"), SUBSTITUTE(AD55, "E", "C"))</f>
        <v>C56</v>
      </c>
      <c r="AH55" s="5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140</v>
      </c>
      <c r="C56" s="18" t="n">
        <v>0</v>
      </c>
      <c r="D56" s="16" t="s">
        <v>29</v>
      </c>
      <c r="E56" s="19" t="n">
        <v>2</v>
      </c>
      <c r="F56" s="31" t="s">
        <v>138</v>
      </c>
      <c r="G56" s="2"/>
      <c r="H56" s="21" t="n">
        <v>46194</v>
      </c>
      <c r="I56" s="22" t="n">
        <v>0.916666666666667</v>
      </c>
      <c r="J56" s="23"/>
      <c r="K56" s="46" t="s">
        <v>139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6" t="n">
        <f aca="false">N56-O56</f>
        <v>-4</v>
      </c>
      <c r="N56" s="16" t="n">
        <f aca="true">SUM(INDIRECT($AC56),INDIRECT($AD56),INDIRECT($AE56))</f>
        <v>1</v>
      </c>
      <c r="O56" s="16" t="n">
        <f aca="true">SUM(INDIRECT($AF56),INDIRECT($AG56),INDIRECT($AH56))</f>
        <v>5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28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aca="false">IF(ISNUMBER(FIND("C", AC56, 1)), SUBSTITUTE(AC56, "C", "E"), SUBSTITUTE(AC56, "E", "C"))</f>
        <v>E54</v>
      </c>
      <c r="AG56" s="5" t="str">
        <f aca="false">IF(ISNUMBER(FIND("C", AD56, 1)), SUBSTITUTE(AD56, "C", "E"), SUBSTITUTE(AD56, "E", "C"))</f>
        <v>C55</v>
      </c>
      <c r="AH56" s="5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138</v>
      </c>
      <c r="C57" s="18" t="n">
        <v>2</v>
      </c>
      <c r="D57" s="16" t="s">
        <v>29</v>
      </c>
      <c r="E57" s="19" t="n">
        <v>0</v>
      </c>
      <c r="F57" s="31" t="s">
        <v>139</v>
      </c>
      <c r="G57" s="2"/>
      <c r="H57" s="21" t="n">
        <v>46200</v>
      </c>
      <c r="I57" s="22" t="n">
        <v>0</v>
      </c>
      <c r="J57" s="23"/>
      <c r="K57" s="47" t="s">
        <v>140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5" t="n">
        <f aca="false">N57-O57</f>
        <v>-3</v>
      </c>
      <c r="N57" s="35" t="n">
        <f aca="true">SUM(INDIRECT($AC57),INDIRECT($AD57),INDIRECT($AE57))</f>
        <v>2</v>
      </c>
      <c r="O57" s="35" t="n">
        <f aca="true">SUM(INDIRECT($AF57),INDIRECT($AG57),INDIRECT($AH57))</f>
        <v>5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28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aca="false">IF(ISNUMBER(FIND("C", AC57, 1)), SUBSTITUTE(AC57, "C", "E"), SUBSTITUTE(AC57, "E", "C"))</f>
        <v>C54</v>
      </c>
      <c r="AG57" s="5" t="str">
        <f aca="false">IF(ISNUMBER(FIND("C", AD57, 1)), SUBSTITUTE(AD57, "C", "E"), SUBSTITUTE(AD57, "E", "C"))</f>
        <v>E56</v>
      </c>
      <c r="AH57" s="5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140</v>
      </c>
      <c r="C58" s="38" t="n">
        <v>1</v>
      </c>
      <c r="D58" s="35" t="s">
        <v>29</v>
      </c>
      <c r="E58" s="39" t="n">
        <v>2</v>
      </c>
      <c r="F58" s="40" t="s">
        <v>137</v>
      </c>
      <c r="G58" s="2"/>
      <c r="H58" s="41" t="n">
        <v>46200</v>
      </c>
      <c r="I58" s="42" t="n">
        <v>0</v>
      </c>
      <c r="J58" s="23"/>
      <c r="K58" s="43"/>
      <c r="S58" s="2"/>
      <c r="T58" s="28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customFormat="false" ht="13.5" hidden="false" customHeight="true" outlineLevel="0" collapsed="false">
      <c r="B59" s="43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customFormat="false" ht="13.5" hidden="false" customHeight="true" outlineLevel="0" collapsed="false">
      <c r="B60" s="12" t="s">
        <v>153</v>
      </c>
      <c r="C60" s="12"/>
      <c r="D60" s="12"/>
      <c r="E60" s="12"/>
      <c r="F60" s="12"/>
      <c r="G60" s="2"/>
      <c r="H60" s="13" t="s">
        <v>26</v>
      </c>
      <c r="I60" s="14" t="s">
        <v>27</v>
      </c>
      <c r="J60" s="15"/>
      <c r="K60" s="2"/>
      <c r="L60" s="2"/>
      <c r="M60" s="2"/>
      <c r="N60" s="2"/>
      <c r="O60" s="2"/>
      <c r="P60" s="2"/>
      <c r="Q60" s="2"/>
      <c r="R60" s="2"/>
      <c r="S60" s="2"/>
      <c r="U60" s="16"/>
      <c r="V60" s="16"/>
      <c r="W60" s="16"/>
      <c r="X60" s="16"/>
      <c r="Y60" s="30"/>
      <c r="Z60" s="30"/>
      <c r="AA60" s="30"/>
      <c r="AB60" s="5"/>
      <c r="AC60" s="5"/>
      <c r="AD60" s="5"/>
      <c r="AE60" s="5"/>
      <c r="AF60" s="5"/>
      <c r="AG60" s="5"/>
      <c r="AH60" s="5"/>
    </row>
    <row r="61" customFormat="false" ht="13.5" hidden="false" customHeight="true" outlineLevel="0" collapsed="false">
      <c r="B61" s="17" t="s">
        <v>154</v>
      </c>
      <c r="C61" s="18" t="n">
        <v>3</v>
      </c>
      <c r="D61" s="16" t="s">
        <v>29</v>
      </c>
      <c r="E61" s="19" t="n">
        <v>0</v>
      </c>
      <c r="F61" s="31" t="s">
        <v>155</v>
      </c>
      <c r="G61" s="2"/>
      <c r="H61" s="21" t="n">
        <v>46188</v>
      </c>
      <c r="I61" s="22" t="n">
        <v>0.541666666666667</v>
      </c>
      <c r="J61" s="23"/>
      <c r="K61" s="24"/>
      <c r="L61" s="25" t="s">
        <v>31</v>
      </c>
      <c r="M61" s="25" t="s">
        <v>32</v>
      </c>
      <c r="N61" s="25" t="s">
        <v>33</v>
      </c>
      <c r="O61" s="25" t="s">
        <v>34</v>
      </c>
      <c r="P61" s="25" t="s">
        <v>35</v>
      </c>
      <c r="Q61" s="25" t="s">
        <v>36</v>
      </c>
      <c r="R61" s="26" t="s">
        <v>37</v>
      </c>
      <c r="S61" s="27"/>
      <c r="T61" s="28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customFormat="false" ht="13.5" hidden="false" customHeight="true" outlineLevel="0" collapsed="false">
      <c r="B62" s="17" t="s">
        <v>156</v>
      </c>
      <c r="C62" s="18" t="n">
        <v>0</v>
      </c>
      <c r="D62" s="16" t="s">
        <v>29</v>
      </c>
      <c r="E62" s="19" t="n">
        <v>2</v>
      </c>
      <c r="F62" s="31" t="s">
        <v>157</v>
      </c>
      <c r="G62" s="2"/>
      <c r="H62" s="21" t="n">
        <v>46188</v>
      </c>
      <c r="I62" s="22" t="n">
        <v>0.791666666666667</v>
      </c>
      <c r="J62" s="23"/>
      <c r="K62" s="46" t="s">
        <v>156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-3</v>
      </c>
      <c r="N62" s="16" t="n">
        <f aca="true">SUM(INDIRECT($AC62),INDIRECT($AD62),INDIRECT($AE62))</f>
        <v>2</v>
      </c>
      <c r="O62" s="16" t="n">
        <f aca="true">SUM(INDIRECT($AF62),INDIRECT($AG62),INDIRECT($AH62))</f>
        <v>5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28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aca="false">IF(ISNUMBER(FIND("C", AC62, 1)), SUBSTITUTE(AC62, "C", "E"), SUBSTITUTE(AC62, "E", "C"))</f>
        <v>E62</v>
      </c>
      <c r="AG62" s="5" t="str">
        <f aca="false">IF(ISNUMBER(FIND("C", AD62, 1)), SUBSTITUTE(AD62, "C", "E"), SUBSTITUTE(AD62, "E", "C"))</f>
        <v>C63</v>
      </c>
      <c r="AH62" s="5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154</v>
      </c>
      <c r="C63" s="18" t="n">
        <v>3</v>
      </c>
      <c r="D63" s="16" t="s">
        <v>29</v>
      </c>
      <c r="E63" s="19" t="n">
        <v>1</v>
      </c>
      <c r="F63" s="31" t="s">
        <v>156</v>
      </c>
      <c r="G63" s="2"/>
      <c r="H63" s="21" t="n">
        <v>46194</v>
      </c>
      <c r="I63" s="22" t="n">
        <v>0.541666666666667</v>
      </c>
      <c r="J63" s="23"/>
      <c r="K63" s="46" t="s">
        <v>155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-7</v>
      </c>
      <c r="N63" s="16" t="n">
        <f aca="true">SUM(INDIRECT($AC63),INDIRECT($AD63),INDIRECT($AE63))</f>
        <v>0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28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aca="false">IF(ISNUMBER(FIND("C", AC63, 1)), SUBSTITUTE(AC63, "C", "E"), SUBSTITUTE(AC63, "E", "C"))</f>
        <v>C61</v>
      </c>
      <c r="AG63" s="5" t="str">
        <f aca="false">IF(ISNUMBER(FIND("C", AD63, 1)), SUBSTITUTE(AD63, "C", "E"), SUBSTITUTE(AD63, "E", "C"))</f>
        <v>C64</v>
      </c>
      <c r="AH63" s="5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157</v>
      </c>
      <c r="C64" s="18" t="n">
        <v>3</v>
      </c>
      <c r="D64" s="16" t="s">
        <v>29</v>
      </c>
      <c r="E64" s="19" t="n">
        <v>0</v>
      </c>
      <c r="F64" s="31" t="s">
        <v>155</v>
      </c>
      <c r="G64" s="2"/>
      <c r="H64" s="21" t="n">
        <v>46194</v>
      </c>
      <c r="I64" s="22" t="n">
        <v>0.791666666666667</v>
      </c>
      <c r="J64" s="23"/>
      <c r="K64" s="46" t="s">
        <v>154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7</v>
      </c>
      <c r="N64" s="16" t="n">
        <f aca="true">SUM(INDIRECT($AC64),INDIRECT($AD64),INDIRECT($AE64))</f>
        <v>8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28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aca="false">IF(ISNUMBER(FIND("C", AC64, 1)), SUBSTITUTE(AC64, "C", "E"), SUBSTITUTE(AC64, "E", "C"))</f>
        <v>E61</v>
      </c>
      <c r="AG64" s="5" t="str">
        <f aca="false">IF(ISNUMBER(FIND("C", AD64, 1)), SUBSTITUTE(AD64, "C", "E"), SUBSTITUTE(AD64, "E", "C"))</f>
        <v>E63</v>
      </c>
      <c r="AH64" s="5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155</v>
      </c>
      <c r="C65" s="18" t="n">
        <v>0</v>
      </c>
      <c r="D65" s="16" t="s">
        <v>29</v>
      </c>
      <c r="E65" s="19" t="n">
        <v>1</v>
      </c>
      <c r="F65" s="31" t="s">
        <v>156</v>
      </c>
      <c r="G65" s="2"/>
      <c r="H65" s="21" t="n">
        <v>46199</v>
      </c>
      <c r="I65" s="22" t="n">
        <v>0.875</v>
      </c>
      <c r="J65" s="23"/>
      <c r="K65" s="47" t="s">
        <v>157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3</v>
      </c>
      <c r="N65" s="35" t="n">
        <f aca="true">SUM(INDIRECT($AC65),INDIRECT($AD65),INDIRECT($AE65))</f>
        <v>5</v>
      </c>
      <c r="O65" s="35" t="n">
        <f aca="true">SUM(INDIRECT($AF65),INDIRECT($AG65),INDIRECT($AH65))</f>
        <v>2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28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aca="false">IF(ISNUMBER(FIND("C", AC65, 1)), SUBSTITUTE(AC65, "C", "E"), SUBSTITUTE(AC65, "E", "C"))</f>
        <v>C62</v>
      </c>
      <c r="AG65" s="5" t="str">
        <f aca="false">IF(ISNUMBER(FIND("C", AD65, 1)), SUBSTITUTE(AD65, "C", "E"), SUBSTITUTE(AD65, "E", "C"))</f>
        <v>E64</v>
      </c>
      <c r="AH65" s="5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157</v>
      </c>
      <c r="C66" s="38" t="n">
        <v>0</v>
      </c>
      <c r="D66" s="35" t="s">
        <v>29</v>
      </c>
      <c r="E66" s="39" t="n">
        <v>2</v>
      </c>
      <c r="F66" s="40" t="s">
        <v>154</v>
      </c>
      <c r="G66" s="2"/>
      <c r="H66" s="41" t="n">
        <v>46199</v>
      </c>
      <c r="I66" s="42" t="n">
        <v>0.875</v>
      </c>
      <c r="J66" s="23"/>
      <c r="K66" s="43"/>
      <c r="S66" s="2"/>
      <c r="T66" s="28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customFormat="false" ht="12.75" hidden="false" customHeight="true" outlineLevel="0" collapsed="false">
      <c r="B68" s="12" t="s">
        <v>170</v>
      </c>
      <c r="C68" s="12"/>
      <c r="D68" s="12"/>
      <c r="E68" s="12"/>
      <c r="F68" s="12"/>
      <c r="G68" s="2"/>
      <c r="H68" s="13" t="s">
        <v>26</v>
      </c>
      <c r="I68" s="14" t="s">
        <v>27</v>
      </c>
      <c r="J68" s="15"/>
      <c r="K68" s="2"/>
      <c r="L68" s="2"/>
      <c r="M68" s="2"/>
      <c r="N68" s="2"/>
      <c r="O68" s="2"/>
      <c r="P68" s="2"/>
      <c r="Q68" s="2"/>
      <c r="R68" s="2"/>
      <c r="S68" s="2"/>
      <c r="U68" s="16"/>
      <c r="V68" s="16"/>
      <c r="W68" s="16"/>
      <c r="X68" s="16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customFormat="false" ht="12.75" hidden="false" customHeight="true" outlineLevel="0" collapsed="false">
      <c r="B69" s="17" t="s">
        <v>171</v>
      </c>
      <c r="C69" s="18" t="n">
        <v>3</v>
      </c>
      <c r="D69" s="16" t="s">
        <v>29</v>
      </c>
      <c r="E69" s="19" t="n">
        <v>0</v>
      </c>
      <c r="F69" s="31" t="s">
        <v>172</v>
      </c>
      <c r="G69" s="2"/>
      <c r="H69" s="21" t="n">
        <v>46189</v>
      </c>
      <c r="I69" s="22" t="n">
        <v>0.666666666666667</v>
      </c>
      <c r="J69" s="23"/>
      <c r="K69" s="24"/>
      <c r="L69" s="25" t="s">
        <v>31</v>
      </c>
      <c r="M69" s="25" t="s">
        <v>32</v>
      </c>
      <c r="N69" s="25" t="s">
        <v>33</v>
      </c>
      <c r="O69" s="25" t="s">
        <v>34</v>
      </c>
      <c r="P69" s="25" t="s">
        <v>35</v>
      </c>
      <c r="Q69" s="25" t="s">
        <v>36</v>
      </c>
      <c r="R69" s="26" t="s">
        <v>37</v>
      </c>
      <c r="S69" s="27"/>
      <c r="T69" s="28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customFormat="false" ht="12.75" hidden="false" customHeight="true" outlineLevel="0" collapsed="false">
      <c r="B70" s="17" t="s">
        <v>173</v>
      </c>
      <c r="C70" s="18" t="n">
        <v>0</v>
      </c>
      <c r="D70" s="16" t="s">
        <v>29</v>
      </c>
      <c r="E70" s="19" t="n">
        <v>2</v>
      </c>
      <c r="F70" s="31" t="s">
        <v>174</v>
      </c>
      <c r="G70" s="2"/>
      <c r="H70" s="21" t="n">
        <v>46189</v>
      </c>
      <c r="I70" s="22" t="n">
        <v>0.791666666666667</v>
      </c>
      <c r="J70" s="23"/>
      <c r="K70" s="46" t="s">
        <v>171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7</v>
      </c>
      <c r="N70" s="16" t="n">
        <f aca="true">SUM(INDIRECT($AC70),INDIRECT($AD70),INDIRECT($AE70))</f>
        <v>8</v>
      </c>
      <c r="O70" s="16" t="n">
        <f aca="true">SUM(INDIRECT($AF70),INDIRECT($AG70),INDIRECT($AH70))</f>
        <v>1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aca="false">IF(ISNUMBER(FIND("C", AC70, 1)), SUBSTITUTE(AC70, "C", "E"), SUBSTITUTE(AC70, "E", "C"))</f>
        <v>E69</v>
      </c>
      <c r="AG70" s="5" t="str">
        <f aca="false">IF(ISNUMBER(FIND("C", AD70, 1)), SUBSTITUTE(AD70, "C", "E"), SUBSTITUTE(AD70, "E", "C"))</f>
        <v>E71</v>
      </c>
      <c r="AH70" s="5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171</v>
      </c>
      <c r="C71" s="18" t="n">
        <v>3</v>
      </c>
      <c r="D71" s="16" t="s">
        <v>29</v>
      </c>
      <c r="E71" s="19" t="n">
        <v>0</v>
      </c>
      <c r="F71" s="31" t="s">
        <v>173</v>
      </c>
      <c r="G71" s="2"/>
      <c r="H71" s="21" t="n">
        <v>46195</v>
      </c>
      <c r="I71" s="22" t="n">
        <v>0.75</v>
      </c>
      <c r="J71" s="23"/>
      <c r="K71" s="46" t="s">
        <v>173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-7</v>
      </c>
      <c r="N71" s="16" t="n">
        <f aca="true">SUM(INDIRECT($AC71),INDIRECT($AD71),INDIRECT($AE71))</f>
        <v>0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28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aca="false">IF(ISNUMBER(FIND("C", AC71, 1)), SUBSTITUTE(AC71, "C", "E"), SUBSTITUTE(AC71, "E", "C"))</f>
        <v>E70</v>
      </c>
      <c r="AG71" s="5" t="str">
        <f aca="false">IF(ISNUMBER(FIND("C", AD71, 1)), SUBSTITUTE(AD71, "C", "E"), SUBSTITUTE(AD71, "E", "C"))</f>
        <v>C71</v>
      </c>
      <c r="AH71" s="5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174</v>
      </c>
      <c r="C72" s="18" t="n">
        <v>3</v>
      </c>
      <c r="D72" s="16" t="s">
        <v>29</v>
      </c>
      <c r="E72" s="19" t="n">
        <v>1</v>
      </c>
      <c r="F72" s="31" t="s">
        <v>172</v>
      </c>
      <c r="G72" s="2"/>
      <c r="H72" s="21" t="n">
        <v>46195</v>
      </c>
      <c r="I72" s="22" t="n">
        <v>0.875</v>
      </c>
      <c r="J72" s="23"/>
      <c r="K72" s="46" t="s">
        <v>174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3</v>
      </c>
      <c r="N72" s="16" t="n">
        <f aca="true">SUM(INDIRECT($AC72),INDIRECT($AD72),INDIRECT($AE72))</f>
        <v>6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28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aca="false">IF(ISNUMBER(FIND("C", AC72, 1)), SUBSTITUTE(AC72, "C", "E"), SUBSTITUTE(AC72, "E", "C"))</f>
        <v>C70</v>
      </c>
      <c r="AG72" s="5" t="str">
        <f aca="false">IF(ISNUMBER(FIND("C", AD72, 1)), SUBSTITUTE(AD72, "C", "E"), SUBSTITUTE(AD72, "E", "C"))</f>
        <v>E72</v>
      </c>
      <c r="AH72" s="5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172</v>
      </c>
      <c r="C73" s="18" t="n">
        <v>2</v>
      </c>
      <c r="D73" s="16" t="s">
        <v>29</v>
      </c>
      <c r="E73" s="19" t="n">
        <v>0</v>
      </c>
      <c r="F73" s="31" t="s">
        <v>173</v>
      </c>
      <c r="G73" s="2"/>
      <c r="H73" s="21" t="n">
        <v>46199</v>
      </c>
      <c r="I73" s="22" t="n">
        <v>0.666666666666667</v>
      </c>
      <c r="J73" s="23"/>
      <c r="K73" s="47" t="s">
        <v>172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28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aca="false">IF(ISNUMBER(FIND("C", AC73, 1)), SUBSTITUTE(AC73, "C", "E"), SUBSTITUTE(AC73, "E", "C"))</f>
        <v>C69</v>
      </c>
      <c r="AG73" s="5" t="str">
        <f aca="false">IF(ISNUMBER(FIND("C", AD73, 1)), SUBSTITUTE(AD73, "C", "E"), SUBSTITUTE(AD73, "E", "C"))</f>
        <v>C72</v>
      </c>
      <c r="AH73" s="5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174</v>
      </c>
      <c r="C74" s="38" t="n">
        <v>1</v>
      </c>
      <c r="D74" s="35" t="s">
        <v>29</v>
      </c>
      <c r="E74" s="39" t="n">
        <v>2</v>
      </c>
      <c r="F74" s="40" t="s">
        <v>171</v>
      </c>
      <c r="G74" s="2"/>
      <c r="H74" s="41" t="n">
        <v>46199</v>
      </c>
      <c r="I74" s="42" t="n">
        <v>0.666666666666667</v>
      </c>
      <c r="J74" s="23"/>
      <c r="K74" s="43"/>
      <c r="S74" s="2"/>
      <c r="T74" s="28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customFormat="false" ht="12.75" hidden="false" customHeight="true" outlineLevel="0" collapsed="false">
      <c r="B75" s="43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customFormat="false" ht="12.75" hidden="false" customHeight="true" outlineLevel="0" collapsed="false">
      <c r="B76" s="12" t="s">
        <v>187</v>
      </c>
      <c r="C76" s="12"/>
      <c r="D76" s="12"/>
      <c r="E76" s="12"/>
      <c r="F76" s="12"/>
      <c r="G76" s="2"/>
      <c r="H76" s="13" t="s">
        <v>26</v>
      </c>
      <c r="I76" s="14" t="s">
        <v>27</v>
      </c>
      <c r="J76" s="15"/>
      <c r="K76" s="2"/>
      <c r="L76" s="2"/>
      <c r="M76" s="2"/>
      <c r="N76" s="2"/>
      <c r="O76" s="2"/>
      <c r="P76" s="2"/>
      <c r="Q76" s="2"/>
      <c r="R76" s="2"/>
      <c r="S76" s="2"/>
      <c r="U76" s="16"/>
      <c r="V76" s="16"/>
      <c r="W76" s="16"/>
      <c r="X76" s="16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customFormat="false" ht="12.75" hidden="false" customHeight="true" outlineLevel="0" collapsed="false">
      <c r="B77" s="17" t="s">
        <v>188</v>
      </c>
      <c r="C77" s="18" t="n">
        <v>4</v>
      </c>
      <c r="D77" s="16" t="s">
        <v>29</v>
      </c>
      <c r="E77" s="19" t="n">
        <v>0</v>
      </c>
      <c r="F77" s="31" t="s">
        <v>189</v>
      </c>
      <c r="G77" s="2"/>
      <c r="H77" s="21" t="n">
        <v>46189</v>
      </c>
      <c r="I77" s="22" t="n">
        <v>0.916666666666667</v>
      </c>
      <c r="J77" s="23"/>
      <c r="K77" s="24"/>
      <c r="L77" s="25" t="s">
        <v>31</v>
      </c>
      <c r="M77" s="25" t="s">
        <v>32</v>
      </c>
      <c r="N77" s="25" t="s">
        <v>33</v>
      </c>
      <c r="O77" s="25" t="s">
        <v>34</v>
      </c>
      <c r="P77" s="25" t="s">
        <v>35</v>
      </c>
      <c r="Q77" s="25" t="s">
        <v>36</v>
      </c>
      <c r="R77" s="26" t="s">
        <v>37</v>
      </c>
      <c r="S77" s="27"/>
      <c r="T77" s="28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customFormat="false" ht="12.75" hidden="false" customHeight="true" outlineLevel="0" collapsed="false">
      <c r="B78" s="17" t="s">
        <v>190</v>
      </c>
      <c r="C78" s="18" t="n">
        <v>2</v>
      </c>
      <c r="D78" s="16" t="s">
        <v>29</v>
      </c>
      <c r="E78" s="19" t="n">
        <v>0</v>
      </c>
      <c r="F78" s="31" t="s">
        <v>191</v>
      </c>
      <c r="G78" s="2"/>
      <c r="H78" s="21" t="n">
        <v>46190</v>
      </c>
      <c r="I78" s="22" t="n">
        <v>0.0416666666666667</v>
      </c>
      <c r="J78" s="23"/>
      <c r="K78" s="46" t="s">
        <v>188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9</v>
      </c>
      <c r="N78" s="16" t="n">
        <f aca="true">SUM(INDIRECT($AC78),INDIRECT($AD78),INDIRECT($AE78))</f>
        <v>9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aca="false">IF(ISNUMBER(FIND("C", AC78, 1)), SUBSTITUTE(AC78, "C", "E"), SUBSTITUTE(AC78, "E", "C"))</f>
        <v>E77</v>
      </c>
      <c r="AG78" s="5" t="str">
        <f aca="false">IF(ISNUMBER(FIND("C", AD78, 1)), SUBSTITUTE(AD78, "C", "E"), SUBSTITUTE(AD78, "E", "C"))</f>
        <v>E79</v>
      </c>
      <c r="AH78" s="5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188</v>
      </c>
      <c r="C79" s="18" t="n">
        <v>2</v>
      </c>
      <c r="D79" s="16" t="s">
        <v>29</v>
      </c>
      <c r="E79" s="19" t="n">
        <v>0</v>
      </c>
      <c r="F79" s="31" t="s">
        <v>190</v>
      </c>
      <c r="G79" s="2"/>
      <c r="H79" s="21" t="n">
        <v>46195</v>
      </c>
      <c r="I79" s="22" t="n">
        <v>0.583333333333333</v>
      </c>
      <c r="J79" s="23"/>
      <c r="K79" s="46" t="s">
        <v>189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6" t="n">
        <f aca="false">N79-O79</f>
        <v>-2</v>
      </c>
      <c r="N79" s="16" t="n">
        <f aca="true">SUM(INDIRECT($AC79),INDIRECT($AD79),INDIRECT($AE79))</f>
        <v>3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28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aca="false">IF(ISNUMBER(FIND("C", AC79, 1)), SUBSTITUTE(AC79, "C", "E"), SUBSTITUTE(AC79, "E", "C"))</f>
        <v>C77</v>
      </c>
      <c r="AG79" s="5" t="str">
        <f aca="false">IF(ISNUMBER(FIND("C", AD79, 1)), SUBSTITUTE(AD79, "C", "E"), SUBSTITUTE(AD79, "E", "C"))</f>
        <v>C80</v>
      </c>
      <c r="AH79" s="5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191</v>
      </c>
      <c r="C80" s="18" t="n">
        <v>0</v>
      </c>
      <c r="D80" s="16" t="s">
        <v>29</v>
      </c>
      <c r="E80" s="19" t="n">
        <v>2</v>
      </c>
      <c r="F80" s="31" t="s">
        <v>189</v>
      </c>
      <c r="G80" s="2"/>
      <c r="H80" s="21" t="n">
        <v>46196</v>
      </c>
      <c r="I80" s="22" t="n">
        <v>0</v>
      </c>
      <c r="J80" s="23"/>
      <c r="K80" s="46" t="s">
        <v>191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0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28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aca="false">IF(ISNUMBER(FIND("C", AC80, 1)), SUBSTITUTE(AC80, "C", "E"), SUBSTITUTE(AC80, "E", "C"))</f>
        <v>C78</v>
      </c>
      <c r="AG80" s="5" t="str">
        <f aca="false">IF(ISNUMBER(FIND("C", AD80, 1)), SUBSTITUTE(AD80, "C", "E"), SUBSTITUTE(AD80, "E", "C"))</f>
        <v>E80</v>
      </c>
      <c r="AH80" s="5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191</v>
      </c>
      <c r="C81" s="18" t="n">
        <v>0</v>
      </c>
      <c r="D81" s="16" t="s">
        <v>29</v>
      </c>
      <c r="E81" s="19" t="n">
        <v>3</v>
      </c>
      <c r="F81" s="31" t="s">
        <v>188</v>
      </c>
      <c r="G81" s="2"/>
      <c r="H81" s="21" t="n">
        <v>46200</v>
      </c>
      <c r="I81" s="22" t="n">
        <v>0.958333333333333</v>
      </c>
      <c r="J81" s="23"/>
      <c r="K81" s="47" t="s">
        <v>190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5" t="n">
        <f aca="false">N81-O81</f>
        <v>0</v>
      </c>
      <c r="N81" s="35" t="n">
        <f aca="true">SUM(INDIRECT($AC81),INDIRECT($AD81),INDIRECT($AE81))</f>
        <v>3</v>
      </c>
      <c r="O81" s="35" t="n">
        <f aca="true">SUM(INDIRECT($AF81),INDIRECT($AG81),INDIRECT($AH81))</f>
        <v>3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28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aca="false">IF(ISNUMBER(FIND("C", AC81, 1)), SUBSTITUTE(AC81, "C", "E"), SUBSTITUTE(AC81, "E", "C"))</f>
        <v>E78</v>
      </c>
      <c r="AG81" s="5" t="str">
        <f aca="false">IF(ISNUMBER(FIND("C", AD81, 1)), SUBSTITUTE(AD81, "C", "E"), SUBSTITUTE(AD81, "E", "C"))</f>
        <v>C79</v>
      </c>
      <c r="AH81" s="5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189</v>
      </c>
      <c r="C82" s="38" t="n">
        <v>1</v>
      </c>
      <c r="D82" s="35" t="s">
        <v>29</v>
      </c>
      <c r="E82" s="39" t="n">
        <v>1</v>
      </c>
      <c r="F82" s="40" t="s">
        <v>190</v>
      </c>
      <c r="G82" s="2"/>
      <c r="H82" s="41" t="n">
        <v>46200</v>
      </c>
      <c r="I82" s="42" t="n">
        <v>0.958333333333333</v>
      </c>
      <c r="J82" s="23"/>
      <c r="K82" s="43"/>
      <c r="S82" s="2"/>
      <c r="T82" s="28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customFormat="false" ht="12.75" hidden="false" customHeight="true" outlineLevel="0" collapsed="false">
      <c r="B83" s="43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customFormat="false" ht="12.75" hidden="false" customHeight="true" outlineLevel="0" collapsed="false">
      <c r="B84" s="12" t="s">
        <v>204</v>
      </c>
      <c r="C84" s="12"/>
      <c r="D84" s="12"/>
      <c r="E84" s="12"/>
      <c r="F84" s="12"/>
      <c r="G84" s="2"/>
      <c r="H84" s="13" t="s">
        <v>26</v>
      </c>
      <c r="I84" s="14" t="s">
        <v>27</v>
      </c>
      <c r="J84" s="15"/>
      <c r="K84" s="2"/>
      <c r="L84" s="2"/>
      <c r="M84" s="2"/>
      <c r="N84" s="2"/>
      <c r="O84" s="2"/>
      <c r="P84" s="2"/>
      <c r="Q84" s="2"/>
      <c r="R84" s="2"/>
      <c r="S84" s="2"/>
      <c r="U84" s="16"/>
      <c r="V84" s="16"/>
      <c r="W84" s="16"/>
      <c r="X84" s="16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customFormat="false" ht="12.75" hidden="false" customHeight="true" outlineLevel="0" collapsed="false">
      <c r="B85" s="17" t="s">
        <v>205</v>
      </c>
      <c r="C85" s="18" t="n">
        <v>3</v>
      </c>
      <c r="D85" s="16" t="s">
        <v>29</v>
      </c>
      <c r="E85" s="19" t="n">
        <v>0</v>
      </c>
      <c r="F85" s="31" t="s">
        <v>206</v>
      </c>
      <c r="G85" s="2"/>
      <c r="H85" s="21" t="n">
        <v>46190</v>
      </c>
      <c r="I85" s="22" t="n">
        <v>0.583333333333333</v>
      </c>
      <c r="J85" s="23"/>
      <c r="K85" s="24"/>
      <c r="L85" s="25" t="s">
        <v>31</v>
      </c>
      <c r="M85" s="25" t="s">
        <v>32</v>
      </c>
      <c r="N85" s="25" t="s">
        <v>33</v>
      </c>
      <c r="O85" s="25" t="s">
        <v>34</v>
      </c>
      <c r="P85" s="25" t="s">
        <v>35</v>
      </c>
      <c r="Q85" s="25" t="s">
        <v>36</v>
      </c>
      <c r="R85" s="26" t="s">
        <v>37</v>
      </c>
      <c r="S85" s="27"/>
      <c r="T85" s="28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customFormat="false" ht="12.75" hidden="false" customHeight="true" outlineLevel="0" collapsed="false">
      <c r="B86" s="17" t="s">
        <v>207</v>
      </c>
      <c r="C86" s="18" t="n">
        <v>0</v>
      </c>
      <c r="D86" s="16" t="s">
        <v>29</v>
      </c>
      <c r="E86" s="19" t="n">
        <v>3</v>
      </c>
      <c r="F86" s="31" t="s">
        <v>208</v>
      </c>
      <c r="G86" s="2"/>
      <c r="H86" s="21" t="n">
        <v>46190</v>
      </c>
      <c r="I86" s="22" t="n">
        <v>0.958333333333333</v>
      </c>
      <c r="J86" s="23"/>
      <c r="K86" s="46" t="s">
        <v>208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4</v>
      </c>
      <c r="N86" s="16" t="n">
        <f aca="true">SUM(INDIRECT($AC86),INDIRECT($AD86),INDIRECT($AE86))</f>
        <v>7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28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aca="false">IF(ISNUMBER(FIND("C", AC86, 1)), SUBSTITUTE(AC86, "C", "E"), SUBSTITUTE(AC86, "E", "C"))</f>
        <v>C86</v>
      </c>
      <c r="AG86" s="5" t="str">
        <f aca="false">IF(ISNUMBER(FIND("C", AD86, 1)), SUBSTITUTE(AD86, "C", "E"), SUBSTITUTE(AD86, "E", "C"))</f>
        <v>E88</v>
      </c>
      <c r="AH86" s="5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205</v>
      </c>
      <c r="C87" s="18" t="n">
        <v>4</v>
      </c>
      <c r="D87" s="16" t="s">
        <v>29</v>
      </c>
      <c r="E87" s="19" t="n">
        <v>0</v>
      </c>
      <c r="F87" s="31" t="s">
        <v>207</v>
      </c>
      <c r="G87" s="2"/>
      <c r="H87" s="21" t="n">
        <v>46196</v>
      </c>
      <c r="I87" s="22" t="n">
        <v>0.583333333333333</v>
      </c>
      <c r="J87" s="23"/>
      <c r="K87" s="46" t="s">
        <v>205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9</v>
      </c>
      <c r="N87" s="16" t="n">
        <f aca="true">SUM(INDIRECT($AC87),INDIRECT($AD87),INDIRECT($AE87))</f>
        <v>9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28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aca="false">IF(ISNUMBER(FIND("C", AC87, 1)), SUBSTITUTE(AC87, "C", "E"), SUBSTITUTE(AC87, "E", "C"))</f>
        <v>E85</v>
      </c>
      <c r="AG87" s="5" t="str">
        <f aca="false">IF(ISNUMBER(FIND("C", AD87, 1)), SUBSTITUTE(AD87, "C", "E"), SUBSTITUTE(AD87, "E", "C"))</f>
        <v>E87</v>
      </c>
      <c r="AH87" s="5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208</v>
      </c>
      <c r="C88" s="18" t="n">
        <v>4</v>
      </c>
      <c r="D88" s="16" t="s">
        <v>29</v>
      </c>
      <c r="E88" s="19" t="n">
        <v>1</v>
      </c>
      <c r="F88" s="31" t="s">
        <v>206</v>
      </c>
      <c r="G88" s="2"/>
      <c r="H88" s="21" t="n">
        <v>46196</v>
      </c>
      <c r="I88" s="22" t="n">
        <v>0.958333333333333</v>
      </c>
      <c r="J88" s="23"/>
      <c r="K88" s="46" t="s">
        <v>206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-4</v>
      </c>
      <c r="N88" s="16" t="n">
        <f aca="true">SUM(INDIRECT($AC88),INDIRECT($AD88),INDIRECT($AE88))</f>
        <v>3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28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aca="false">IF(ISNUMBER(FIND("C", AC88, 1)), SUBSTITUTE(AC88, "C", "E"), SUBSTITUTE(AC88, "E", "C"))</f>
        <v>C85</v>
      </c>
      <c r="AG88" s="5" t="str">
        <f aca="false">IF(ISNUMBER(FIND("C", AD88, 1)), SUBSTITUTE(AD88, "C", "E"), SUBSTITUTE(AD88, "E", "C"))</f>
        <v>C88</v>
      </c>
      <c r="AH88" s="5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206</v>
      </c>
      <c r="C89" s="18" t="n">
        <v>2</v>
      </c>
      <c r="D89" s="16" t="s">
        <v>29</v>
      </c>
      <c r="E89" s="19" t="n">
        <v>0</v>
      </c>
      <c r="F89" s="31" t="s">
        <v>207</v>
      </c>
      <c r="G89" s="2"/>
      <c r="H89" s="21" t="n">
        <v>46200</v>
      </c>
      <c r="I89" s="22" t="n">
        <v>0.854166666666667</v>
      </c>
      <c r="J89" s="23"/>
      <c r="K89" s="47" t="s">
        <v>207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-9</v>
      </c>
      <c r="N89" s="35" t="n">
        <f aca="true">SUM(INDIRECT($AC89),INDIRECT($AD89),INDIRECT($AE89))</f>
        <v>0</v>
      </c>
      <c r="O89" s="35" t="n">
        <f aca="true">SUM(INDIRECT($AF89),INDIRECT($AG89),INDIRECT($AH89))</f>
        <v>9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28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aca="false">IF(ISNUMBER(FIND("C", AC89, 1)), SUBSTITUTE(AC89, "C", "E"), SUBSTITUTE(AC89, "E", "C"))</f>
        <v>E86</v>
      </c>
      <c r="AG89" s="5" t="str">
        <f aca="false">IF(ISNUMBER(FIND("C", AD89, 1)), SUBSTITUTE(AD89, "C", "E"), SUBSTITUTE(AD89, "E", "C"))</f>
        <v>C87</v>
      </c>
      <c r="AH89" s="5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208</v>
      </c>
      <c r="C90" s="38" t="n">
        <v>0</v>
      </c>
      <c r="D90" s="35" t="s">
        <v>29</v>
      </c>
      <c r="E90" s="39" t="n">
        <v>2</v>
      </c>
      <c r="F90" s="40" t="s">
        <v>205</v>
      </c>
      <c r="G90" s="2"/>
      <c r="H90" s="41" t="n">
        <v>46200</v>
      </c>
      <c r="I90" s="42" t="n">
        <v>0.854166666666667</v>
      </c>
      <c r="J90" s="23"/>
      <c r="K90" s="43"/>
      <c r="S90" s="2"/>
      <c r="T90" s="28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customFormat="false" ht="12.75" hidden="false" customHeight="true" outlineLevel="0" collapsed="false">
      <c r="B91" s="43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customFormat="false" ht="12.75" hidden="false" customHeight="true" outlineLevel="0" collapsed="false">
      <c r="B92" s="12" t="s">
        <v>221</v>
      </c>
      <c r="C92" s="12"/>
      <c r="D92" s="12"/>
      <c r="E92" s="12"/>
      <c r="F92" s="12"/>
      <c r="G92" s="2"/>
      <c r="H92" s="13" t="s">
        <v>26</v>
      </c>
      <c r="I92" s="14" t="s">
        <v>27</v>
      </c>
      <c r="J92" s="15"/>
      <c r="K92" s="2"/>
      <c r="L92" s="2"/>
      <c r="M92" s="2"/>
      <c r="N92" s="2"/>
      <c r="O92" s="2"/>
      <c r="P92" s="2"/>
      <c r="Q92" s="2"/>
      <c r="R92" s="2"/>
      <c r="S92" s="2"/>
      <c r="U92" s="16"/>
      <c r="V92" s="16"/>
      <c r="W92" s="16"/>
      <c r="X92" s="16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customFormat="false" ht="12.75" hidden="false" customHeight="true" outlineLevel="0" collapsed="false">
      <c r="B93" s="17" t="s">
        <v>222</v>
      </c>
      <c r="C93" s="18" t="n">
        <v>1</v>
      </c>
      <c r="D93" s="16" t="s">
        <v>29</v>
      </c>
      <c r="E93" s="19" t="n">
        <v>1</v>
      </c>
      <c r="F93" s="31" t="s">
        <v>223</v>
      </c>
      <c r="G93" s="2"/>
      <c r="H93" s="21" t="n">
        <v>46190</v>
      </c>
      <c r="I93" s="22" t="n">
        <v>0.708333333333333</v>
      </c>
      <c r="J93" s="23"/>
      <c r="K93" s="24"/>
      <c r="L93" s="25" t="s">
        <v>31</v>
      </c>
      <c r="M93" s="25" t="s">
        <v>32</v>
      </c>
      <c r="N93" s="25" t="s">
        <v>33</v>
      </c>
      <c r="O93" s="25" t="s">
        <v>34</v>
      </c>
      <c r="P93" s="25" t="s">
        <v>35</v>
      </c>
      <c r="Q93" s="25" t="s">
        <v>36</v>
      </c>
      <c r="R93" s="26" t="s">
        <v>37</v>
      </c>
      <c r="S93" s="27"/>
      <c r="T93" s="28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customFormat="false" ht="12.75" hidden="false" customHeight="true" outlineLevel="0" collapsed="false">
      <c r="B94" s="17" t="s">
        <v>224</v>
      </c>
      <c r="C94" s="18" t="n">
        <v>2</v>
      </c>
      <c r="D94" s="16" t="s">
        <v>29</v>
      </c>
      <c r="E94" s="19" t="n">
        <v>1</v>
      </c>
      <c r="F94" s="31" t="s">
        <v>225</v>
      </c>
      <c r="G94" s="2"/>
      <c r="H94" s="21" t="n">
        <v>46190</v>
      </c>
      <c r="I94" s="22" t="n">
        <v>0.833333333333333</v>
      </c>
      <c r="J94" s="23"/>
      <c r="K94" s="46" t="s">
        <v>223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aca="false">IF(ISNUMBER(FIND("C", AC94, 1)), SUBSTITUTE(AC94, "C", "E"), SUBSTITUTE(AC94, "E", "C"))</f>
        <v>C93</v>
      </c>
      <c r="AG94" s="5" t="str">
        <f aca="false">IF(ISNUMBER(FIND("C", AD94, 1)), SUBSTITUTE(AD94, "C", "E"), SUBSTITUTE(AD94, "E", "C"))</f>
        <v>C96</v>
      </c>
      <c r="AH94" s="5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222</v>
      </c>
      <c r="C95" s="18" t="n">
        <v>3</v>
      </c>
      <c r="D95" s="16" t="s">
        <v>29</v>
      </c>
      <c r="E95" s="19" t="n">
        <v>0</v>
      </c>
      <c r="F95" s="31" t="s">
        <v>224</v>
      </c>
      <c r="G95" s="2"/>
      <c r="H95" s="21" t="n">
        <v>46196</v>
      </c>
      <c r="I95" s="22" t="n">
        <v>0.708333333333333</v>
      </c>
      <c r="J95" s="23"/>
      <c r="K95" s="46" t="s">
        <v>224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-3</v>
      </c>
      <c r="N95" s="16" t="n">
        <f aca="true">SUM(INDIRECT($AC95),INDIRECT($AD95),INDIRECT($AE95))</f>
        <v>3</v>
      </c>
      <c r="O95" s="16" t="n">
        <f aca="true">SUM(INDIRECT($AF95),INDIRECT($AG95),INDIRECT($AH95))</f>
        <v>6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28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aca="false">IF(ISNUMBER(FIND("C", AC95, 1)), SUBSTITUTE(AC95, "C", "E"), SUBSTITUTE(AC95, "E", "C"))</f>
        <v>E94</v>
      </c>
      <c r="AG95" s="5" t="str">
        <f aca="false">IF(ISNUMBER(FIND("C", AD95, 1)), SUBSTITUTE(AD95, "C", "E"), SUBSTITUTE(AD95, "E", "C"))</f>
        <v>C95</v>
      </c>
      <c r="AH95" s="5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225</v>
      </c>
      <c r="C96" s="18" t="n">
        <v>1</v>
      </c>
      <c r="D96" s="16" t="s">
        <v>29</v>
      </c>
      <c r="E96" s="19" t="n">
        <v>2</v>
      </c>
      <c r="F96" s="31" t="s">
        <v>223</v>
      </c>
      <c r="G96" s="2"/>
      <c r="H96" s="21" t="n">
        <v>46196</v>
      </c>
      <c r="I96" s="22" t="n">
        <v>0.833333333333333</v>
      </c>
      <c r="J96" s="23"/>
      <c r="K96" s="46" t="s">
        <v>222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6" t="n">
        <f aca="false">N96-O96</f>
        <v>5</v>
      </c>
      <c r="N96" s="16" t="n">
        <f aca="true">SUM(INDIRECT($AC96),INDIRECT($AD96),INDIRECT($AE96))</f>
        <v>6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28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aca="false">IF(ISNUMBER(FIND("C", AC96, 1)), SUBSTITUTE(AC96, "C", "E"), SUBSTITUTE(AC96, "E", "C"))</f>
        <v>E93</v>
      </c>
      <c r="AG96" s="5" t="str">
        <f aca="false">IF(ISNUMBER(FIND("C", AD96, 1)), SUBSTITUTE(AD96, "C", "E"), SUBSTITUTE(AD96, "E", "C"))</f>
        <v>E95</v>
      </c>
      <c r="AH96" s="5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223</v>
      </c>
      <c r="C97" s="18" t="n">
        <v>2</v>
      </c>
      <c r="D97" s="16" t="s">
        <v>29</v>
      </c>
      <c r="E97" s="19" t="n">
        <v>1</v>
      </c>
      <c r="F97" s="31" t="s">
        <v>224</v>
      </c>
      <c r="G97" s="2"/>
      <c r="H97" s="21" t="n">
        <v>46200</v>
      </c>
      <c r="I97" s="22" t="n">
        <v>0.75</v>
      </c>
      <c r="J97" s="23"/>
      <c r="K97" s="47" t="s">
        <v>225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-4</v>
      </c>
      <c r="N97" s="35" t="n">
        <f aca="true">SUM(INDIRECT($AC97),INDIRECT($AD97),INDIRECT($AE97))</f>
        <v>2</v>
      </c>
      <c r="O97" s="35" t="n">
        <f aca="true">SUM(INDIRECT($AF97),INDIRECT($AG97),INDIRECT($AH97))</f>
        <v>6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28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aca="false">IF(ISNUMBER(FIND("C", AC97, 1)), SUBSTITUTE(AC97, "C", "E"), SUBSTITUTE(AC97, "E", "C"))</f>
        <v>C94</v>
      </c>
      <c r="AG97" s="5" t="str">
        <f aca="false">IF(ISNUMBER(FIND("C", AD97, 1)), SUBSTITUTE(AD97, "C", "E"), SUBSTITUTE(AD97, "E", "C"))</f>
        <v>E96</v>
      </c>
      <c r="AH97" s="5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225</v>
      </c>
      <c r="C98" s="38" t="n">
        <v>0</v>
      </c>
      <c r="D98" s="35" t="s">
        <v>29</v>
      </c>
      <c r="E98" s="39" t="n">
        <v>2</v>
      </c>
      <c r="F98" s="40" t="s">
        <v>222</v>
      </c>
      <c r="G98" s="2"/>
      <c r="H98" s="41" t="n">
        <v>46200</v>
      </c>
      <c r="I98" s="42" t="n">
        <v>0.75</v>
      </c>
      <c r="J98" s="23"/>
      <c r="K98" s="43"/>
      <c r="S98" s="2"/>
      <c r="T98" s="28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customFormat="false" ht="12.75" hidden="false" customHeight="true" outlineLevel="0" collapsed="false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customFormat="false" ht="12.75" hidden="false" customHeight="true" outlineLevel="0" collapsed="false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A5" activeCellId="0" sqref="AA5"/>
    </sheetView>
  </sheetViews>
  <sheetFormatPr defaultColWidth="12.56640625" defaultRowHeight="15" zeroHeight="false" outlineLevelRow="0" outlineLevelCol="0"/>
  <cols>
    <col collapsed="false" customWidth="true" hidden="false" outlineLevel="0" max="1" min="1" style="137" width="3"/>
    <col collapsed="false" customWidth="true" hidden="false" outlineLevel="0" max="2" min="2" style="137" width="16.72"/>
    <col collapsed="false" customWidth="true" hidden="false" outlineLevel="0" max="3" min="3" style="137" width="3"/>
    <col collapsed="false" customWidth="true" hidden="false" outlineLevel="0" max="4" min="4" style="137" width="2.71"/>
    <col collapsed="false" customWidth="true" hidden="false" outlineLevel="0" max="5" min="5" style="137" width="3"/>
    <col collapsed="false" customWidth="true" hidden="false" outlineLevel="0" max="6" min="6" style="137" width="16.85"/>
    <col collapsed="false" customWidth="true" hidden="false" outlineLevel="0" max="7" min="7" style="137" width="2.85"/>
    <col collapsed="false" customWidth="true" hidden="false" outlineLevel="0" max="8" min="8" style="137" width="6.28"/>
    <col collapsed="false" customWidth="true" hidden="false" outlineLevel="0" max="9" min="9" style="137" width="5.99"/>
    <col collapsed="false" customWidth="true" hidden="false" outlineLevel="0" max="10" min="10" style="137" width="4.14"/>
    <col collapsed="false" customWidth="true" hidden="false" outlineLevel="0" max="11" min="11" style="137" width="16.14"/>
    <col collapsed="false" customWidth="true" hidden="false" outlineLevel="0" max="18" min="12" style="137" width="3.58"/>
    <col collapsed="false" customWidth="true" hidden="false" outlineLevel="0" max="19" min="19" style="137" width="2.85"/>
    <col collapsed="false" customWidth="true" hidden="false" outlineLevel="0" max="20" min="20" style="137" width="10.13"/>
    <col collapsed="false" customWidth="true" hidden="false" outlineLevel="0" max="21" min="21" style="137" width="2.43"/>
    <col collapsed="false" customWidth="true" hidden="false" outlineLevel="0" max="22" min="22" style="137" width="2.29"/>
    <col collapsed="false" customWidth="true" hidden="false" outlineLevel="0" max="24" min="23" style="137" width="2"/>
    <col collapsed="false" customWidth="true" hidden="false" outlineLevel="0" max="27" min="25" style="137" width="3.43"/>
    <col collapsed="false" customWidth="true" hidden="false" outlineLevel="0" max="44" min="28" style="137" width="8.85"/>
    <col collapsed="false" customWidth="false" hidden="false" outlineLevel="0" max="1024" min="45" style="137" width="12.57"/>
  </cols>
  <sheetData>
    <row r="1" customFormat="false" ht="12.75" hidden="false" customHeight="true" outlineLevel="0" collapsed="false">
      <c r="B1" s="138"/>
      <c r="C1" s="139"/>
      <c r="D1" s="139"/>
      <c r="E1" s="139"/>
      <c r="F1" s="139"/>
      <c r="G1" s="139"/>
      <c r="H1" s="140"/>
      <c r="I1" s="139"/>
      <c r="J1" s="139"/>
      <c r="K1" s="140"/>
      <c r="L1" s="139"/>
      <c r="M1" s="139"/>
      <c r="N1" s="139"/>
      <c r="O1" s="139"/>
      <c r="P1" s="139"/>
      <c r="Q1" s="139"/>
      <c r="R1" s="139"/>
      <c r="S1" s="139"/>
      <c r="T1" s="140"/>
      <c r="U1" s="141"/>
      <c r="V1" s="139"/>
      <c r="W1" s="139"/>
      <c r="X1" s="139"/>
      <c r="Y1" s="142"/>
      <c r="Z1" s="143"/>
      <c r="AA1" s="143"/>
      <c r="AB1" s="143"/>
      <c r="AC1" s="143"/>
      <c r="AD1" s="143"/>
      <c r="AE1" s="143"/>
      <c r="AF1" s="143"/>
      <c r="AG1" s="143"/>
      <c r="AH1" s="143"/>
      <c r="AI1" s="139"/>
      <c r="AJ1" s="139"/>
      <c r="AK1" s="139"/>
      <c r="AL1" s="139"/>
      <c r="AM1" s="139"/>
      <c r="AN1" s="139"/>
      <c r="AO1" s="139"/>
      <c r="AP1" s="139"/>
      <c r="AQ1" s="139"/>
      <c r="AR1" s="139"/>
    </row>
    <row r="2" customFormat="false" ht="18.75" hidden="false" customHeight="true" outlineLevel="0" collapsed="false">
      <c r="B2" s="144" t="s">
        <v>252</v>
      </c>
      <c r="C2" s="144"/>
      <c r="D2" s="144"/>
      <c r="E2" s="144"/>
      <c r="F2" s="144"/>
      <c r="G2" s="139"/>
      <c r="H2" s="145" t="s">
        <v>21</v>
      </c>
      <c r="I2" s="145"/>
      <c r="J2" s="139"/>
      <c r="K2" s="145" t="s">
        <v>22</v>
      </c>
      <c r="L2" s="145"/>
      <c r="M2" s="145"/>
      <c r="N2" s="145"/>
      <c r="O2" s="145"/>
      <c r="P2" s="145"/>
      <c r="Q2" s="145"/>
      <c r="R2" s="145"/>
      <c r="S2" s="139"/>
      <c r="T2" s="146" t="s">
        <v>23</v>
      </c>
      <c r="U2" s="146"/>
      <c r="V2" s="146"/>
      <c r="W2" s="146"/>
      <c r="X2" s="146"/>
      <c r="Y2" s="142"/>
      <c r="Z2" s="143"/>
      <c r="AA2" s="143"/>
      <c r="AB2" s="143"/>
      <c r="AC2" s="143"/>
      <c r="AD2" s="143"/>
      <c r="AE2" s="143"/>
      <c r="AF2" s="143"/>
      <c r="AG2" s="143"/>
      <c r="AH2" s="143"/>
      <c r="AI2" s="139"/>
      <c r="AJ2" s="139"/>
      <c r="AK2" s="139"/>
      <c r="AL2" s="139"/>
      <c r="AM2" s="139"/>
      <c r="AN2" s="139"/>
      <c r="AO2" s="139"/>
      <c r="AP2" s="139"/>
      <c r="AQ2" s="139"/>
      <c r="AR2" s="139"/>
    </row>
    <row r="3" customFormat="false" ht="15" hidden="false" customHeight="true" outlineLevel="0" collapsed="false">
      <c r="C3" s="139"/>
      <c r="D3" s="139"/>
      <c r="E3" s="139"/>
      <c r="F3" s="139"/>
      <c r="G3" s="139"/>
      <c r="H3" s="139"/>
      <c r="I3" s="139"/>
      <c r="J3" s="139"/>
      <c r="K3" s="140"/>
      <c r="L3" s="139"/>
      <c r="M3" s="139"/>
      <c r="N3" s="139"/>
      <c r="O3" s="139"/>
      <c r="P3" s="139"/>
      <c r="Q3" s="139"/>
      <c r="R3" s="139"/>
      <c r="S3" s="139"/>
      <c r="T3" s="147" t="s">
        <v>24</v>
      </c>
      <c r="U3" s="148" t="n">
        <f aca="false">SUM(U5:U10,U13:U18,U21:U26,U29:U34,U37:U42,U45:U50,U53:U58,U61:U66)</f>
        <v>1</v>
      </c>
      <c r="V3" s="148"/>
      <c r="W3" s="148"/>
      <c r="X3" s="148"/>
      <c r="Y3" s="142"/>
      <c r="Z3" s="142"/>
      <c r="AA3" s="142"/>
      <c r="AB3" s="142"/>
      <c r="AC3" s="142"/>
      <c r="AD3" s="142"/>
      <c r="AE3" s="142"/>
      <c r="AF3" s="142"/>
      <c r="AG3" s="142"/>
      <c r="AH3" s="142"/>
    </row>
    <row r="4" customFormat="false" ht="13.5" hidden="false" customHeight="true" outlineLevel="0" collapsed="false">
      <c r="B4" s="149" t="s">
        <v>25</v>
      </c>
      <c r="C4" s="149"/>
      <c r="D4" s="149"/>
      <c r="E4" s="149"/>
      <c r="F4" s="149"/>
      <c r="G4" s="139"/>
      <c r="H4" s="150" t="s">
        <v>26</v>
      </c>
      <c r="I4" s="151" t="s">
        <v>27</v>
      </c>
      <c r="J4" s="152"/>
      <c r="K4" s="139"/>
      <c r="L4" s="139"/>
      <c r="M4" s="139"/>
      <c r="N4" s="139"/>
      <c r="O4" s="139"/>
      <c r="P4" s="139"/>
      <c r="Q4" s="139"/>
      <c r="R4" s="139"/>
      <c r="S4" s="139"/>
      <c r="U4" s="153"/>
      <c r="V4" s="153"/>
      <c r="W4" s="153"/>
      <c r="X4" s="153"/>
      <c r="Y4" s="142"/>
      <c r="Z4" s="142"/>
      <c r="AA4" s="142"/>
      <c r="AB4" s="142"/>
      <c r="AC4" s="142"/>
      <c r="AD4" s="142"/>
      <c r="AE4" s="142"/>
      <c r="AF4" s="142"/>
      <c r="AG4" s="142"/>
      <c r="AH4" s="142"/>
    </row>
    <row r="5" customFormat="false" ht="13.5" hidden="false" customHeight="true" outlineLevel="0" collapsed="false">
      <c r="B5" s="154" t="s">
        <v>28</v>
      </c>
      <c r="C5" s="155" t="n">
        <v>3</v>
      </c>
      <c r="D5" s="153" t="s">
        <v>29</v>
      </c>
      <c r="E5" s="156" t="n">
        <v>1</v>
      </c>
      <c r="F5" s="157" t="s">
        <v>30</v>
      </c>
      <c r="G5" s="139"/>
      <c r="H5" s="158" t="n">
        <v>46184</v>
      </c>
      <c r="I5" s="159" t="n">
        <v>0.666666666666667</v>
      </c>
      <c r="J5" s="160"/>
      <c r="K5" s="161"/>
      <c r="L5" s="162" t="s">
        <v>31</v>
      </c>
      <c r="M5" s="162" t="s">
        <v>32</v>
      </c>
      <c r="N5" s="162" t="s">
        <v>33</v>
      </c>
      <c r="O5" s="162" t="s">
        <v>34</v>
      </c>
      <c r="P5" s="162" t="s">
        <v>35</v>
      </c>
      <c r="Q5" s="162" t="s">
        <v>36</v>
      </c>
      <c r="R5" s="163" t="s">
        <v>37</v>
      </c>
      <c r="S5" s="164"/>
      <c r="T5" s="165" t="str">
        <f aca="false">IF(NOT(AND(ISNUMBER(C5),ISNUMBER(E5))),"XXX","")</f>
        <v/>
      </c>
      <c r="U5" s="166" t="n">
        <f aca="false">SUM(Y5,Z5,AA5)</f>
        <v>1</v>
      </c>
      <c r="V5" s="166"/>
      <c r="W5" s="166"/>
      <c r="X5" s="166"/>
      <c r="Y5" s="167" t="n">
        <f aca="false">IF(AND(ISNUMBER(RESULTADOS!C5),ISNUMBER(RESULTADOS!E5),ISNUMBER(C5),ISNUMBER(E5),C5=RESULTADOS!C5,E5=RESULTADOS!E5),2,0)</f>
        <v>0</v>
      </c>
      <c r="Z5" s="167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67" t="n">
        <f aca="false">IF(AND(ISNUMBER(RESULTADOS!C5),ISNUMBER(RESULTADOS!E5),ISNUMBER(C5),ISNUMBER(E5),AND(Z5=1,OR(C5=RESULTADOS!C5,E5=RESULTADOS!E5))),1,0)</f>
        <v>0</v>
      </c>
      <c r="AB5" s="142"/>
      <c r="AC5" s="142"/>
      <c r="AD5" s="142"/>
      <c r="AE5" s="142"/>
      <c r="AF5" s="142"/>
      <c r="AG5" s="142"/>
      <c r="AH5" s="142"/>
    </row>
    <row r="6" customFormat="false" ht="13.5" hidden="false" customHeight="true" outlineLevel="0" collapsed="false">
      <c r="B6" s="154" t="s">
        <v>38</v>
      </c>
      <c r="C6" s="155" t="n">
        <v>1</v>
      </c>
      <c r="D6" s="153" t="s">
        <v>29</v>
      </c>
      <c r="E6" s="156" t="n">
        <v>1</v>
      </c>
      <c r="F6" s="168" t="s">
        <v>39</v>
      </c>
      <c r="G6" s="139"/>
      <c r="H6" s="158" t="n">
        <v>46184</v>
      </c>
      <c r="I6" s="159" t="n">
        <v>0.958333333333333</v>
      </c>
      <c r="J6" s="160"/>
      <c r="K6" s="169" t="s">
        <v>38</v>
      </c>
      <c r="L6" s="153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53" t="n">
        <f aca="false">N6-O6</f>
        <v>-1</v>
      </c>
      <c r="N6" s="153" t="n">
        <f aca="true">SUM(INDIRECT($AC6),INDIRECT($AD6),INDIRECT($AE6))</f>
        <v>2</v>
      </c>
      <c r="O6" s="153" t="n">
        <f aca="true">SUM(INDIRECT($AF6),INDIRECT($AG6),INDIRECT($AH6))</f>
        <v>3</v>
      </c>
      <c r="P6" s="153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53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170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164"/>
      <c r="T6" s="165" t="str">
        <f aca="false">IF(NOT(AND(ISNUMBER(C6),ISNUMBER(E6))),"XXX","")</f>
        <v/>
      </c>
      <c r="U6" s="166" t="n">
        <f aca="false">SUM(Y6,Z6,AA6)</f>
        <v>0</v>
      </c>
      <c r="V6" s="166"/>
      <c r="W6" s="166"/>
      <c r="X6" s="166"/>
      <c r="Y6" s="167" t="n">
        <f aca="false">IF(AND(ISNUMBER(RESULTADOS!C6),ISNUMBER(RESULTADOS!E6),ISNUMBER(C6),ISNUMBER(E6),C6=RESULTADOS!C6,E6=RESULTADOS!E6),2,0)</f>
        <v>0</v>
      </c>
      <c r="Z6" s="167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67" t="n">
        <f aca="false">IF(AND(ISNUMBER(RESULTADOS!C6),ISNUMBER(RESULTADOS!E6),ISNUMBER(C6),ISNUMBER(E6),AND(Z6=1,OR(C6=RESULTADOS!C6,E6=RESULTADOS!E6))),1,0)</f>
        <v>0</v>
      </c>
      <c r="AB6" s="142"/>
      <c r="AC6" s="142" t="s">
        <v>40</v>
      </c>
      <c r="AD6" s="142" t="s">
        <v>41</v>
      </c>
      <c r="AE6" s="142" t="s">
        <v>42</v>
      </c>
      <c r="AF6" s="142" t="str">
        <f aca="false">IF(ISNUMBER(FIND("C", AC6, 1)), SUBSTITUTE(AC6, "C", "E"), SUBSTITUTE(AC6, "E", "C"))</f>
        <v>E6</v>
      </c>
      <c r="AG6" s="142" t="str">
        <f aca="false">IF(ISNUMBER(FIND("C", AD6, 1)), SUBSTITUTE(AD6, "C", "E"), SUBSTITUTE(AD6, "E", "C"))</f>
        <v>C8</v>
      </c>
      <c r="AH6" s="14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54" t="s">
        <v>39</v>
      </c>
      <c r="C7" s="155" t="n">
        <v>1</v>
      </c>
      <c r="D7" s="153" t="s">
        <v>29</v>
      </c>
      <c r="E7" s="156" t="n">
        <v>0</v>
      </c>
      <c r="F7" s="168" t="s">
        <v>30</v>
      </c>
      <c r="G7" s="139"/>
      <c r="H7" s="158" t="n">
        <v>46191</v>
      </c>
      <c r="I7" s="159" t="n">
        <v>0.541666666666667</v>
      </c>
      <c r="J7" s="160"/>
      <c r="K7" s="169" t="s">
        <v>28</v>
      </c>
      <c r="L7" s="153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53" t="n">
        <f aca="false">N7-O7</f>
        <v>6</v>
      </c>
      <c r="N7" s="153" t="n">
        <f aca="true">SUM(INDIRECT($AC7),INDIRECT($AD7),INDIRECT($AE7))</f>
        <v>7</v>
      </c>
      <c r="O7" s="153" t="n">
        <f aca="true">SUM(INDIRECT($AF7),INDIRECT($AG7),INDIRECT($AH7))</f>
        <v>1</v>
      </c>
      <c r="P7" s="153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53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70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39"/>
      <c r="T7" s="165" t="str">
        <f aca="false">IF(NOT(AND(ISNUMBER(C7),ISNUMBER(E7))),"XXX","")</f>
        <v/>
      </c>
      <c r="U7" s="166" t="n">
        <f aca="false">SUM(Y7,Z7,AA7)</f>
        <v>0</v>
      </c>
      <c r="V7" s="166"/>
      <c r="W7" s="166"/>
      <c r="X7" s="166"/>
      <c r="Y7" s="167" t="n">
        <f aca="false">IF(AND(ISNUMBER(RESULTADOS!C7),ISNUMBER(RESULTADOS!E7),ISNUMBER(C7),ISNUMBER(E7),C7=RESULTADOS!C7,E7=RESULTADOS!E7),2,0)</f>
        <v>0</v>
      </c>
      <c r="Z7" s="167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67" t="n">
        <f aca="false">IF(AND(ISNUMBER(RESULTADOS!C7),ISNUMBER(RESULTADOS!E7),ISNUMBER(C7),ISNUMBER(E7),AND(Z7=1,OR(C7=RESULTADOS!C7,E7=RESULTADOS!E7))),1,0)</f>
        <v>0</v>
      </c>
      <c r="AB7" s="142"/>
      <c r="AC7" s="142" t="s">
        <v>43</v>
      </c>
      <c r="AD7" s="142" t="s">
        <v>44</v>
      </c>
      <c r="AE7" s="142" t="s">
        <v>45</v>
      </c>
      <c r="AF7" s="142" t="str">
        <f aca="false">IF(ISNUMBER(FIND("C", AC7, 1)), SUBSTITUTE(AC7, "C", "E"), SUBSTITUTE(AC7, "E", "C"))</f>
        <v>E5</v>
      </c>
      <c r="AG7" s="142" t="str">
        <f aca="false">IF(ISNUMBER(FIND("C", AD7, 1)), SUBSTITUTE(AD7, "C", "E"), SUBSTITUTE(AD7, "E", "C"))</f>
        <v>E8</v>
      </c>
      <c r="AH7" s="14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54" t="s">
        <v>28</v>
      </c>
      <c r="C8" s="155" t="n">
        <v>2</v>
      </c>
      <c r="D8" s="153" t="s">
        <v>29</v>
      </c>
      <c r="E8" s="156" t="n">
        <v>0</v>
      </c>
      <c r="F8" s="168" t="s">
        <v>38</v>
      </c>
      <c r="G8" s="139"/>
      <c r="H8" s="158" t="n">
        <v>46191</v>
      </c>
      <c r="I8" s="159" t="n">
        <v>0.916666666666667</v>
      </c>
      <c r="J8" s="160"/>
      <c r="K8" s="169" t="s">
        <v>39</v>
      </c>
      <c r="L8" s="153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53" t="n">
        <f aca="false">N8-O8</f>
        <v>-1</v>
      </c>
      <c r="N8" s="153" t="n">
        <f aca="true">SUM(INDIRECT($AC8),INDIRECT($AD8),INDIRECT($AE8))</f>
        <v>2</v>
      </c>
      <c r="O8" s="153" t="n">
        <f aca="true">SUM(INDIRECT($AF8),INDIRECT($AG8),INDIRECT($AH8))</f>
        <v>3</v>
      </c>
      <c r="P8" s="153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53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170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139"/>
      <c r="T8" s="165" t="str">
        <f aca="false">IF(NOT(AND(ISNUMBER(C8),ISNUMBER(E8))),"XXX","")</f>
        <v/>
      </c>
      <c r="U8" s="166" t="n">
        <f aca="false">SUM(Y8,Z8,AA8)</f>
        <v>0</v>
      </c>
      <c r="V8" s="166"/>
      <c r="W8" s="166"/>
      <c r="X8" s="166"/>
      <c r="Y8" s="167" t="n">
        <f aca="false">IF(AND(ISNUMBER(RESULTADOS!C8),ISNUMBER(RESULTADOS!E8),ISNUMBER(C8),ISNUMBER(E8),C8=RESULTADOS!C8,E8=RESULTADOS!E8),2,0)</f>
        <v>0</v>
      </c>
      <c r="Z8" s="167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67" t="n">
        <f aca="false">IF(AND(ISNUMBER(RESULTADOS!C8),ISNUMBER(RESULTADOS!E8),ISNUMBER(C8),ISNUMBER(E8),AND(Z8=1,OR(C8=RESULTADOS!C8,E8=RESULTADOS!E8))),1,0)</f>
        <v>0</v>
      </c>
      <c r="AB8" s="142"/>
      <c r="AC8" s="142" t="s">
        <v>46</v>
      </c>
      <c r="AD8" s="142" t="s">
        <v>47</v>
      </c>
      <c r="AE8" s="142" t="s">
        <v>48</v>
      </c>
      <c r="AF8" s="142" t="str">
        <f aca="false">IF(ISNUMBER(FIND("C", AC8, 1)), SUBSTITUTE(AC8, "C", "E"), SUBSTITUTE(AC8, "E", "C"))</f>
        <v>C6</v>
      </c>
      <c r="AG8" s="142" t="str">
        <f aca="false">IF(ISNUMBER(FIND("C", AD8, 1)), SUBSTITUTE(AD8, "C", "E"), SUBSTITUTE(AD8, "E", "C"))</f>
        <v>E7</v>
      </c>
      <c r="AH8" s="14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54" t="s">
        <v>30</v>
      </c>
      <c r="C9" s="155" t="n">
        <v>0</v>
      </c>
      <c r="D9" s="153" t="s">
        <v>29</v>
      </c>
      <c r="E9" s="156" t="n">
        <v>1</v>
      </c>
      <c r="F9" s="168" t="s">
        <v>38</v>
      </c>
      <c r="G9" s="139"/>
      <c r="H9" s="158" t="n">
        <v>46197</v>
      </c>
      <c r="I9" s="159" t="n">
        <v>0.916666666666667</v>
      </c>
      <c r="J9" s="160"/>
      <c r="K9" s="171" t="s">
        <v>30</v>
      </c>
      <c r="L9" s="172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72" t="n">
        <f aca="false">N9-O9</f>
        <v>-4</v>
      </c>
      <c r="N9" s="172" t="n">
        <f aca="true">SUM(INDIRECT($AC9),INDIRECT($AD9),INDIRECT($AE9))</f>
        <v>1</v>
      </c>
      <c r="O9" s="172" t="n">
        <f aca="true">SUM(INDIRECT($AF9),INDIRECT($AG9),INDIRECT($AH9))</f>
        <v>5</v>
      </c>
      <c r="P9" s="172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72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173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139"/>
      <c r="T9" s="165" t="str">
        <f aca="false">IF(NOT(AND(ISNUMBER(C9),ISNUMBER(E9))),"XXX","")</f>
        <v/>
      </c>
      <c r="U9" s="166" t="n">
        <f aca="false">SUM(Y9,Z9,AA9)</f>
        <v>0</v>
      </c>
      <c r="V9" s="166"/>
      <c r="W9" s="166"/>
      <c r="X9" s="166"/>
      <c r="Y9" s="167" t="n">
        <f aca="false">IF(AND(ISNUMBER(RESULTADOS!C9),ISNUMBER(RESULTADOS!E9),ISNUMBER(C9),ISNUMBER(E9),C9=RESULTADOS!C9,E9=RESULTADOS!E9),2,0)</f>
        <v>0</v>
      </c>
      <c r="Z9" s="167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67" t="n">
        <f aca="false">IF(AND(ISNUMBER(RESULTADOS!C9),ISNUMBER(RESULTADOS!E9),ISNUMBER(C9),ISNUMBER(E9),AND(Z9=1,OR(C9=RESULTADOS!C9,E9=RESULTADOS!E9))),1,0)</f>
        <v>0</v>
      </c>
      <c r="AB9" s="142"/>
      <c r="AC9" s="142" t="s">
        <v>49</v>
      </c>
      <c r="AD9" s="142" t="s">
        <v>50</v>
      </c>
      <c r="AE9" s="142" t="s">
        <v>51</v>
      </c>
      <c r="AF9" s="142" t="str">
        <f aca="false">IF(ISNUMBER(FIND("C", AC9, 1)), SUBSTITUTE(AC9, "C", "E"), SUBSTITUTE(AC9, "E", "C"))</f>
        <v>C5</v>
      </c>
      <c r="AG9" s="142" t="str">
        <f aca="false">IF(ISNUMBER(FIND("C", AD9, 1)), SUBSTITUTE(AD9, "C", "E"), SUBSTITUTE(AD9, "E", "C"))</f>
        <v>C7</v>
      </c>
      <c r="AH9" s="14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174" t="s">
        <v>39</v>
      </c>
      <c r="C10" s="175" t="n">
        <v>0</v>
      </c>
      <c r="D10" s="172" t="s">
        <v>29</v>
      </c>
      <c r="E10" s="176" t="n">
        <v>2</v>
      </c>
      <c r="F10" s="177" t="s">
        <v>28</v>
      </c>
      <c r="G10" s="139"/>
      <c r="H10" s="178" t="n">
        <v>46197</v>
      </c>
      <c r="I10" s="179" t="n">
        <v>0.916666666666667</v>
      </c>
      <c r="J10" s="160"/>
      <c r="K10" s="164"/>
      <c r="S10" s="139"/>
      <c r="T10" s="165" t="str">
        <f aca="false">IF(NOT(AND(ISNUMBER(C10),ISNUMBER(E10))),"XXX","")</f>
        <v/>
      </c>
      <c r="U10" s="166" t="n">
        <f aca="false">SUM(Y10,Z10,AA10)</f>
        <v>0</v>
      </c>
      <c r="V10" s="166"/>
      <c r="W10" s="166"/>
      <c r="X10" s="166"/>
      <c r="Y10" s="167" t="n">
        <f aca="false">IF(AND(ISNUMBER(RESULTADOS!C10),ISNUMBER(RESULTADOS!E10),ISNUMBER(C10),ISNUMBER(E10),C10=RESULTADOS!C10,E10=RESULTADOS!E10),2,0)</f>
        <v>0</v>
      </c>
      <c r="Z10" s="167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67" t="n">
        <f aca="false">IF(AND(ISNUMBER(RESULTADOS!C10),ISNUMBER(RESULTADOS!E10),ISNUMBER(C10),ISNUMBER(E10),AND(Z10=1,OR(C10=RESULTADOS!C10,E10=RESULTADOS!E10))),1,0)</f>
        <v>0</v>
      </c>
      <c r="AB10" s="142"/>
      <c r="AC10" s="142"/>
      <c r="AD10" s="142"/>
      <c r="AE10" s="142"/>
      <c r="AF10" s="142"/>
      <c r="AG10" s="142"/>
      <c r="AH10" s="142"/>
    </row>
    <row r="11" customFormat="false" ht="13.5" hidden="false" customHeight="true" outlineLevel="0" collapsed="false">
      <c r="B11" s="180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U11" s="139"/>
      <c r="V11" s="139"/>
      <c r="W11" s="139"/>
      <c r="X11" s="139"/>
      <c r="Y11" s="143"/>
      <c r="Z11" s="143"/>
      <c r="AA11" s="143"/>
      <c r="AB11" s="142"/>
      <c r="AC11" s="142"/>
      <c r="AD11" s="142"/>
      <c r="AE11" s="142"/>
      <c r="AF11" s="142"/>
      <c r="AG11" s="142"/>
      <c r="AH11" s="142"/>
    </row>
    <row r="12" customFormat="false" ht="13.5" hidden="false" customHeight="true" outlineLevel="0" collapsed="false">
      <c r="B12" s="149" t="s">
        <v>52</v>
      </c>
      <c r="C12" s="149"/>
      <c r="D12" s="149"/>
      <c r="E12" s="149"/>
      <c r="F12" s="149"/>
      <c r="G12" s="139"/>
      <c r="H12" s="150" t="s">
        <v>26</v>
      </c>
      <c r="I12" s="151" t="s">
        <v>27</v>
      </c>
      <c r="J12" s="152"/>
      <c r="K12" s="139"/>
      <c r="L12" s="139"/>
      <c r="M12" s="139"/>
      <c r="N12" s="139"/>
      <c r="O12" s="139"/>
      <c r="P12" s="139"/>
      <c r="Q12" s="139"/>
      <c r="R12" s="139"/>
      <c r="S12" s="139"/>
      <c r="U12" s="153"/>
      <c r="V12" s="153"/>
      <c r="W12" s="153"/>
      <c r="X12" s="153"/>
      <c r="Y12" s="167"/>
      <c r="Z12" s="167"/>
      <c r="AA12" s="167"/>
      <c r="AB12" s="142"/>
      <c r="AC12" s="142"/>
      <c r="AD12" s="142"/>
      <c r="AE12" s="142"/>
      <c r="AF12" s="142"/>
      <c r="AG12" s="142"/>
      <c r="AH12" s="142"/>
    </row>
    <row r="13" customFormat="false" ht="13.5" hidden="false" customHeight="true" outlineLevel="0" collapsed="false">
      <c r="B13" s="154" t="s">
        <v>53</v>
      </c>
      <c r="C13" s="155" t="n">
        <v>1</v>
      </c>
      <c r="D13" s="153" t="s">
        <v>29</v>
      </c>
      <c r="E13" s="156" t="n">
        <v>0</v>
      </c>
      <c r="F13" s="157" t="s">
        <v>54</v>
      </c>
      <c r="G13" s="139"/>
      <c r="H13" s="158" t="n">
        <v>46185</v>
      </c>
      <c r="I13" s="159" t="n">
        <v>0.666666666666667</v>
      </c>
      <c r="J13" s="160"/>
      <c r="K13" s="181"/>
      <c r="L13" s="162" t="s">
        <v>31</v>
      </c>
      <c r="M13" s="162" t="s">
        <v>32</v>
      </c>
      <c r="N13" s="162" t="s">
        <v>33</v>
      </c>
      <c r="O13" s="162" t="s">
        <v>34</v>
      </c>
      <c r="P13" s="162" t="s">
        <v>35</v>
      </c>
      <c r="Q13" s="162" t="s">
        <v>36</v>
      </c>
      <c r="R13" s="163" t="s">
        <v>37</v>
      </c>
      <c r="S13" s="164"/>
      <c r="T13" s="165" t="str">
        <f aca="false">IF(NOT(AND(ISNUMBER(C13),ISNUMBER(E13))),"XXX","")</f>
        <v/>
      </c>
      <c r="U13" s="166" t="n">
        <f aca="false">SUM(Y13,Z13,AA13)</f>
        <v>0</v>
      </c>
      <c r="V13" s="166"/>
      <c r="W13" s="166"/>
      <c r="X13" s="166"/>
      <c r="Y13" s="167" t="n">
        <f aca="false">IF(AND(ISNUMBER(RESULTADOS!C13),ISNUMBER(RESULTADOS!E13),ISNUMBER(C13),ISNUMBER(E13),C13=RESULTADOS!C13,E13=RESULTADOS!E13),2,0)</f>
        <v>0</v>
      </c>
      <c r="Z13" s="167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67" t="n">
        <f aca="false">IF(AND(ISNUMBER(RESULTADOS!C13),ISNUMBER(RESULTADOS!E13),ISNUMBER(C13),ISNUMBER(E13),AND(Z13=1,OR(C13=RESULTADOS!C13,E13=RESULTADOS!E13))),1,0)</f>
        <v>0</v>
      </c>
      <c r="AB13" s="142"/>
      <c r="AC13" s="142"/>
      <c r="AD13" s="142"/>
      <c r="AE13" s="142"/>
      <c r="AF13" s="142"/>
      <c r="AG13" s="142"/>
      <c r="AH13" s="142"/>
    </row>
    <row r="14" customFormat="false" ht="13.5" hidden="false" customHeight="true" outlineLevel="0" collapsed="false">
      <c r="B14" s="154" t="s">
        <v>55</v>
      </c>
      <c r="C14" s="155" t="n">
        <v>0</v>
      </c>
      <c r="D14" s="153" t="s">
        <v>29</v>
      </c>
      <c r="E14" s="156" t="n">
        <v>2</v>
      </c>
      <c r="F14" s="157" t="s">
        <v>56</v>
      </c>
      <c r="G14" s="139"/>
      <c r="H14" s="158" t="n">
        <v>46186</v>
      </c>
      <c r="I14" s="159" t="n">
        <v>0.666666666666667</v>
      </c>
      <c r="J14" s="160"/>
      <c r="K14" s="169" t="s">
        <v>54</v>
      </c>
      <c r="L14" s="153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53" t="n">
        <f aca="false">N14-O14</f>
        <v>-1</v>
      </c>
      <c r="N14" s="153" t="n">
        <f aca="true">SUM(INDIRECT($AC14),INDIRECT($AD14),INDIRECT($AE14))</f>
        <v>2</v>
      </c>
      <c r="O14" s="153" t="n">
        <f aca="true">SUM(INDIRECT($AF14),INDIRECT($AG14),INDIRECT($AH14))</f>
        <v>3</v>
      </c>
      <c r="P14" s="153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53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170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164"/>
      <c r="T14" s="165" t="str">
        <f aca="false">IF(NOT(AND(ISNUMBER(C14),ISNUMBER(E14))),"XXX","")</f>
        <v/>
      </c>
      <c r="U14" s="166" t="n">
        <f aca="false">SUM(Y14,Z14,AA14)</f>
        <v>0</v>
      </c>
      <c r="V14" s="166"/>
      <c r="W14" s="166"/>
      <c r="X14" s="166"/>
      <c r="Y14" s="167" t="n">
        <f aca="false">IF(AND(ISNUMBER(RESULTADOS!C14),ISNUMBER(RESULTADOS!E14),ISNUMBER(C14),ISNUMBER(E14),C14=RESULTADOS!C14,E14=RESULTADOS!E14),2,0)</f>
        <v>0</v>
      </c>
      <c r="Z14" s="167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67" t="n">
        <f aca="false">IF(AND(ISNUMBER(RESULTADOS!C14),ISNUMBER(RESULTADOS!E14),ISNUMBER(C14),ISNUMBER(E14),AND(Z14=1,OR(C14=RESULTADOS!C14,E14=RESULTADOS!E14))),1,0)</f>
        <v>0</v>
      </c>
      <c r="AB14" s="142"/>
      <c r="AC14" s="142" t="s">
        <v>57</v>
      </c>
      <c r="AD14" s="142" t="s">
        <v>58</v>
      </c>
      <c r="AE14" s="142" t="s">
        <v>59</v>
      </c>
      <c r="AF14" s="142" t="str">
        <f aca="false">IF(ISNUMBER(FIND("C", AC14, 1)), SUBSTITUTE(AC14, "C", "E"), SUBSTITUTE(AC14, "E", "C"))</f>
        <v>C13</v>
      </c>
      <c r="AG14" s="142" t="str">
        <f aca="false">IF(ISNUMBER(FIND("C", AD14, 1)), SUBSTITUTE(AD14, "C", "E"), SUBSTITUTE(AD14, "E", "C"))</f>
        <v>C15</v>
      </c>
      <c r="AH14" s="14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54" t="s">
        <v>56</v>
      </c>
      <c r="C15" s="155" t="n">
        <v>2</v>
      </c>
      <c r="D15" s="153" t="s">
        <v>29</v>
      </c>
      <c r="E15" s="156" t="n">
        <v>1</v>
      </c>
      <c r="F15" s="157" t="s">
        <v>54</v>
      </c>
      <c r="G15" s="139"/>
      <c r="H15" s="158" t="n">
        <v>46191</v>
      </c>
      <c r="I15" s="159" t="n">
        <v>0.666666666666667</v>
      </c>
      <c r="J15" s="160"/>
      <c r="K15" s="169" t="s">
        <v>53</v>
      </c>
      <c r="L15" s="153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53" t="n">
        <f aca="false">N15-O15</f>
        <v>1</v>
      </c>
      <c r="N15" s="153" t="n">
        <f aca="true">SUM(INDIRECT($AC15),INDIRECT($AD15),INDIRECT($AE15))</f>
        <v>2</v>
      </c>
      <c r="O15" s="153" t="n">
        <f aca="true">SUM(INDIRECT($AF15),INDIRECT($AG15),INDIRECT($AH15))</f>
        <v>1</v>
      </c>
      <c r="P15" s="153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53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170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139"/>
      <c r="T15" s="165" t="str">
        <f aca="false">IF(NOT(AND(ISNUMBER(C15),ISNUMBER(E15))),"XXX","")</f>
        <v/>
      </c>
      <c r="U15" s="166" t="n">
        <f aca="false">SUM(Y15,Z15,AA15)</f>
        <v>0</v>
      </c>
      <c r="V15" s="166"/>
      <c r="W15" s="166"/>
      <c r="X15" s="166"/>
      <c r="Y15" s="167" t="n">
        <f aca="false">IF(AND(ISNUMBER(RESULTADOS!C15),ISNUMBER(RESULTADOS!E15),ISNUMBER(C15),ISNUMBER(E15),C15=RESULTADOS!C15,E15=RESULTADOS!E15),2,0)</f>
        <v>0</v>
      </c>
      <c r="Z15" s="167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67" t="n">
        <f aca="false">IF(AND(ISNUMBER(RESULTADOS!C15),ISNUMBER(RESULTADOS!E15),ISNUMBER(C15),ISNUMBER(E15),AND(Z15=1,OR(C15=RESULTADOS!C15,E15=RESULTADOS!E15))),1,0)</f>
        <v>0</v>
      </c>
      <c r="AB15" s="142"/>
      <c r="AC15" s="142" t="s">
        <v>60</v>
      </c>
      <c r="AD15" s="142" t="s">
        <v>61</v>
      </c>
      <c r="AE15" s="142" t="s">
        <v>62</v>
      </c>
      <c r="AF15" s="142" t="str">
        <f aca="false">IF(ISNUMBER(FIND("C", AC15, 1)), SUBSTITUTE(AC15, "C", "E"), SUBSTITUTE(AC15, "E", "C"))</f>
        <v>E13</v>
      </c>
      <c r="AG15" s="142" t="str">
        <f aca="false">IF(ISNUMBER(FIND("C", AD15, 1)), SUBSTITUTE(AD15, "C", "E"), SUBSTITUTE(AD15, "E", "C"))</f>
        <v>E16</v>
      </c>
      <c r="AH15" s="14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54" t="s">
        <v>53</v>
      </c>
      <c r="C16" s="155" t="n">
        <v>1</v>
      </c>
      <c r="D16" s="153" t="s">
        <v>29</v>
      </c>
      <c r="E16" s="156" t="n">
        <v>0</v>
      </c>
      <c r="F16" s="157" t="s">
        <v>55</v>
      </c>
      <c r="G16" s="139"/>
      <c r="H16" s="158" t="n">
        <v>46191</v>
      </c>
      <c r="I16" s="159" t="n">
        <v>0.791666666666667</v>
      </c>
      <c r="J16" s="160"/>
      <c r="K16" s="169" t="s">
        <v>55</v>
      </c>
      <c r="L16" s="153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53" t="n">
        <f aca="false">N16-O16</f>
        <v>-4</v>
      </c>
      <c r="N16" s="153" t="n">
        <f aca="true">SUM(INDIRECT($AC16),INDIRECT($AD16),INDIRECT($AE16))</f>
        <v>0</v>
      </c>
      <c r="O16" s="153" t="n">
        <f aca="true">SUM(INDIRECT($AF16),INDIRECT($AG16),INDIRECT($AH16))</f>
        <v>4</v>
      </c>
      <c r="P16" s="153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53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70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139"/>
      <c r="T16" s="165" t="str">
        <f aca="false">IF(NOT(AND(ISNUMBER(C16),ISNUMBER(E16))),"XXX","")</f>
        <v/>
      </c>
      <c r="U16" s="166" t="n">
        <f aca="false">SUM(Y16,Z16,AA16)</f>
        <v>0</v>
      </c>
      <c r="V16" s="166"/>
      <c r="W16" s="166"/>
      <c r="X16" s="166"/>
      <c r="Y16" s="167" t="n">
        <f aca="false">IF(AND(ISNUMBER(RESULTADOS!C16),ISNUMBER(RESULTADOS!E16),ISNUMBER(C16),ISNUMBER(E16),C16=RESULTADOS!C16,E16=RESULTADOS!E16),2,0)</f>
        <v>0</v>
      </c>
      <c r="Z16" s="167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67" t="n">
        <f aca="false">IF(AND(ISNUMBER(RESULTADOS!C16),ISNUMBER(RESULTADOS!E16),ISNUMBER(C16),ISNUMBER(E16),AND(Z16=1,OR(C16=RESULTADOS!C16,E16=RESULTADOS!E16))),1,0)</f>
        <v>0</v>
      </c>
      <c r="AB16" s="142"/>
      <c r="AC16" s="142" t="s">
        <v>63</v>
      </c>
      <c r="AD16" s="142" t="s">
        <v>64</v>
      </c>
      <c r="AE16" s="142" t="s">
        <v>65</v>
      </c>
      <c r="AF16" s="142" t="str">
        <f aca="false">IF(ISNUMBER(FIND("C", AC16, 1)), SUBSTITUTE(AC16, "C", "E"), SUBSTITUTE(AC16, "E", "C"))</f>
        <v>E14</v>
      </c>
      <c r="AG16" s="142" t="str">
        <f aca="false">IF(ISNUMBER(FIND("C", AD16, 1)), SUBSTITUTE(AD16, "C", "E"), SUBSTITUTE(AD16, "E", "C"))</f>
        <v>C16</v>
      </c>
      <c r="AH16" s="14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54" t="s">
        <v>56</v>
      </c>
      <c r="C17" s="155" t="n">
        <v>1</v>
      </c>
      <c r="D17" s="153" t="s">
        <v>29</v>
      </c>
      <c r="E17" s="156" t="n">
        <v>0</v>
      </c>
      <c r="F17" s="157" t="s">
        <v>53</v>
      </c>
      <c r="G17" s="139"/>
      <c r="H17" s="158" t="n">
        <v>46197</v>
      </c>
      <c r="I17" s="159" t="n">
        <v>0.666666666666667</v>
      </c>
      <c r="J17" s="160"/>
      <c r="K17" s="171" t="s">
        <v>56</v>
      </c>
      <c r="L17" s="172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72" t="n">
        <f aca="false">N17-O17</f>
        <v>4</v>
      </c>
      <c r="N17" s="172" t="n">
        <f aca="true">SUM(INDIRECT($AC17),INDIRECT($AD17),INDIRECT($AE17))</f>
        <v>5</v>
      </c>
      <c r="O17" s="172" t="n">
        <f aca="true">SUM(INDIRECT($AF17),INDIRECT($AG17),INDIRECT($AH17))</f>
        <v>1</v>
      </c>
      <c r="P17" s="172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72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73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39"/>
      <c r="T17" s="165" t="str">
        <f aca="false">IF(NOT(AND(ISNUMBER(C17),ISNUMBER(E17))),"XXX","")</f>
        <v/>
      </c>
      <c r="U17" s="166" t="n">
        <f aca="false">SUM(Y17,Z17,AA17)</f>
        <v>0</v>
      </c>
      <c r="V17" s="166"/>
      <c r="W17" s="166"/>
      <c r="X17" s="166"/>
      <c r="Y17" s="167" t="n">
        <f aca="false">IF(AND(ISNUMBER(RESULTADOS!C17),ISNUMBER(RESULTADOS!E17),ISNUMBER(C17),ISNUMBER(E17),C17=RESULTADOS!C17,E17=RESULTADOS!E17),2,0)</f>
        <v>0</v>
      </c>
      <c r="Z17" s="167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67" t="n">
        <f aca="false">IF(AND(ISNUMBER(RESULTADOS!C17),ISNUMBER(RESULTADOS!E17),ISNUMBER(C17),ISNUMBER(E17),AND(Z17=1,OR(C17=RESULTADOS!C17,E17=RESULTADOS!E17))),1,0)</f>
        <v>0</v>
      </c>
      <c r="AB17" s="142"/>
      <c r="AC17" s="142" t="s">
        <v>66</v>
      </c>
      <c r="AD17" s="142" t="s">
        <v>67</v>
      </c>
      <c r="AE17" s="142" t="s">
        <v>68</v>
      </c>
      <c r="AF17" s="142" t="str">
        <f aca="false">IF(ISNUMBER(FIND("C", AC17, 1)), SUBSTITUTE(AC17, "C", "E"), SUBSTITUTE(AC17, "E", "C"))</f>
        <v>C14</v>
      </c>
      <c r="AG17" s="142" t="str">
        <f aca="false">IF(ISNUMBER(FIND("C", AD17, 1)), SUBSTITUTE(AD17, "C", "E"), SUBSTITUTE(AD17, "E", "C"))</f>
        <v>E15</v>
      </c>
      <c r="AH17" s="14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174" t="s">
        <v>54</v>
      </c>
      <c r="C18" s="175" t="n">
        <v>1</v>
      </c>
      <c r="D18" s="172" t="s">
        <v>29</v>
      </c>
      <c r="E18" s="176" t="n">
        <v>0</v>
      </c>
      <c r="F18" s="182" t="s">
        <v>55</v>
      </c>
      <c r="G18" s="139"/>
      <c r="H18" s="178" t="n">
        <v>46197</v>
      </c>
      <c r="I18" s="179" t="n">
        <v>0.666666666666667</v>
      </c>
      <c r="J18" s="160"/>
      <c r="K18" s="164"/>
      <c r="S18" s="139"/>
      <c r="T18" s="165" t="str">
        <f aca="false">IF(NOT(AND(ISNUMBER(C18),ISNUMBER(E18))),"XXX","")</f>
        <v/>
      </c>
      <c r="U18" s="166" t="n">
        <f aca="false">SUM(Y18,Z18,AA18)</f>
        <v>0</v>
      </c>
      <c r="V18" s="166"/>
      <c r="W18" s="166"/>
      <c r="X18" s="166"/>
      <c r="Y18" s="167" t="n">
        <f aca="false">IF(AND(ISNUMBER(RESULTADOS!C18),ISNUMBER(RESULTADOS!E18),ISNUMBER(C18),ISNUMBER(E18),C18=RESULTADOS!C18,E18=RESULTADOS!E18),2,0)</f>
        <v>0</v>
      </c>
      <c r="Z18" s="167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67" t="n">
        <f aca="false">IF(AND(ISNUMBER(RESULTADOS!C18),ISNUMBER(RESULTADOS!E18),ISNUMBER(C18),ISNUMBER(E18),AND(Z18=1,OR(C18=RESULTADOS!C18,E18=RESULTADOS!E18))),1,0)</f>
        <v>0</v>
      </c>
      <c r="AB18" s="142"/>
      <c r="AC18" s="142"/>
      <c r="AD18" s="142"/>
      <c r="AE18" s="142"/>
      <c r="AF18" s="142"/>
      <c r="AG18" s="142"/>
      <c r="AH18" s="142"/>
    </row>
    <row r="19" customFormat="false" ht="13.5" hidden="false" customHeight="true" outlineLevel="0" collapsed="false">
      <c r="B19" s="180"/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U19" s="139"/>
      <c r="V19" s="139"/>
      <c r="W19" s="139"/>
      <c r="X19" s="139"/>
      <c r="Y19" s="143"/>
      <c r="Z19" s="143"/>
      <c r="AA19" s="143"/>
      <c r="AB19" s="142"/>
      <c r="AC19" s="142"/>
      <c r="AD19" s="142"/>
      <c r="AE19" s="142"/>
      <c r="AF19" s="142"/>
      <c r="AG19" s="142"/>
      <c r="AH19" s="142"/>
    </row>
    <row r="20" customFormat="false" ht="13.5" hidden="false" customHeight="true" outlineLevel="0" collapsed="false">
      <c r="B20" s="149" t="s">
        <v>69</v>
      </c>
      <c r="C20" s="149"/>
      <c r="D20" s="149"/>
      <c r="E20" s="149"/>
      <c r="F20" s="149"/>
      <c r="G20" s="139"/>
      <c r="H20" s="150" t="s">
        <v>26</v>
      </c>
      <c r="I20" s="151" t="s">
        <v>27</v>
      </c>
      <c r="J20" s="152"/>
      <c r="K20" s="139"/>
      <c r="L20" s="139"/>
      <c r="M20" s="139"/>
      <c r="N20" s="139"/>
      <c r="O20" s="139"/>
      <c r="P20" s="139"/>
      <c r="Q20" s="139"/>
      <c r="R20" s="139"/>
      <c r="S20" s="139"/>
      <c r="U20" s="153"/>
      <c r="V20" s="153"/>
      <c r="W20" s="153"/>
      <c r="X20" s="153"/>
      <c r="Y20" s="167"/>
      <c r="Z20" s="167"/>
      <c r="AA20" s="167"/>
      <c r="AB20" s="142"/>
      <c r="AC20" s="142"/>
      <c r="AD20" s="142"/>
      <c r="AE20" s="142"/>
      <c r="AF20" s="142"/>
      <c r="AG20" s="142"/>
      <c r="AH20" s="142"/>
    </row>
    <row r="21" customFormat="false" ht="13.5" hidden="false" customHeight="true" outlineLevel="0" collapsed="false">
      <c r="B21" s="154" t="s">
        <v>70</v>
      </c>
      <c r="C21" s="155" t="n">
        <v>2</v>
      </c>
      <c r="D21" s="153" t="s">
        <v>29</v>
      </c>
      <c r="E21" s="156" t="n">
        <v>1</v>
      </c>
      <c r="F21" s="157" t="s">
        <v>71</v>
      </c>
      <c r="G21" s="139"/>
      <c r="H21" s="158" t="n">
        <v>46186</v>
      </c>
      <c r="I21" s="159" t="n">
        <v>0.791666666666667</v>
      </c>
      <c r="J21" s="160"/>
      <c r="K21" s="181"/>
      <c r="L21" s="162" t="s">
        <v>31</v>
      </c>
      <c r="M21" s="162" t="s">
        <v>32</v>
      </c>
      <c r="N21" s="162" t="s">
        <v>33</v>
      </c>
      <c r="O21" s="162" t="s">
        <v>34</v>
      </c>
      <c r="P21" s="162" t="s">
        <v>35</v>
      </c>
      <c r="Q21" s="162" t="s">
        <v>36</v>
      </c>
      <c r="R21" s="163" t="s">
        <v>37</v>
      </c>
      <c r="S21" s="164"/>
      <c r="T21" s="165" t="str">
        <f aca="false">IF(NOT(AND(ISNUMBER(C21),ISNUMBER(E21))),"XXX","")</f>
        <v/>
      </c>
      <c r="U21" s="166" t="n">
        <f aca="false">SUM(Y21,Z21,AA21)</f>
        <v>0</v>
      </c>
      <c r="V21" s="166"/>
      <c r="W21" s="166"/>
      <c r="X21" s="166"/>
      <c r="Y21" s="167" t="n">
        <f aca="false">IF(AND(ISNUMBER(RESULTADOS!C21),ISNUMBER(RESULTADOS!E21),ISNUMBER(C21),ISNUMBER(E21),C21=RESULTADOS!C21,E21=RESULTADOS!E21),2,0)</f>
        <v>0</v>
      </c>
      <c r="Z21" s="167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67" t="n">
        <f aca="false">IF(AND(ISNUMBER(RESULTADOS!C21),ISNUMBER(RESULTADOS!E21),ISNUMBER(C21),ISNUMBER(E21),AND(Z21=1,OR(C21=RESULTADOS!C21,E21=RESULTADOS!E21))),1,0)</f>
        <v>0</v>
      </c>
      <c r="AB21" s="142"/>
      <c r="AC21" s="142"/>
      <c r="AD21" s="142"/>
      <c r="AE21" s="142"/>
      <c r="AF21" s="142"/>
      <c r="AG21" s="142"/>
      <c r="AH21" s="142"/>
    </row>
    <row r="22" customFormat="false" ht="13.5" hidden="false" customHeight="true" outlineLevel="0" collapsed="false">
      <c r="B22" s="154" t="s">
        <v>72</v>
      </c>
      <c r="C22" s="155" t="n">
        <v>0</v>
      </c>
      <c r="D22" s="153" t="s">
        <v>29</v>
      </c>
      <c r="E22" s="156" t="n">
        <v>1</v>
      </c>
      <c r="F22" s="157" t="s">
        <v>73</v>
      </c>
      <c r="G22" s="139"/>
      <c r="H22" s="158" t="n">
        <v>46186</v>
      </c>
      <c r="I22" s="159" t="n">
        <v>0.916666666666667</v>
      </c>
      <c r="J22" s="160"/>
      <c r="K22" s="169" t="s">
        <v>70</v>
      </c>
      <c r="L22" s="153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53" t="n">
        <f aca="false">N22-O22</f>
        <v>5</v>
      </c>
      <c r="N22" s="153" t="n">
        <f aca="true">SUM(INDIRECT($AC22),INDIRECT($AD22),INDIRECT($AE22))</f>
        <v>7</v>
      </c>
      <c r="O22" s="153" t="n">
        <f aca="true">SUM(INDIRECT($AF22),INDIRECT($AG22),INDIRECT($AH22))</f>
        <v>2</v>
      </c>
      <c r="P22" s="153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53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70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64"/>
      <c r="T22" s="165" t="str">
        <f aca="false">IF(NOT(AND(ISNUMBER(C22),ISNUMBER(E22))),"XXX","")</f>
        <v/>
      </c>
      <c r="U22" s="166" t="n">
        <f aca="false">SUM(Y22,Z22,AA22)</f>
        <v>0</v>
      </c>
      <c r="V22" s="166"/>
      <c r="W22" s="166"/>
      <c r="X22" s="166"/>
      <c r="Y22" s="167" t="n">
        <f aca="false">IF(AND(ISNUMBER(RESULTADOS!C22),ISNUMBER(RESULTADOS!E22),ISNUMBER(C22),ISNUMBER(E22),C22=RESULTADOS!C22,E22=RESULTADOS!E22),2,0)</f>
        <v>0</v>
      </c>
      <c r="Z22" s="167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67" t="n">
        <f aca="false">IF(AND(ISNUMBER(RESULTADOS!C22),ISNUMBER(RESULTADOS!E22),ISNUMBER(C22),ISNUMBER(E22),AND(Z22=1,OR(C22=RESULTADOS!C22,E22=RESULTADOS!E22))),1,0)</f>
        <v>0</v>
      </c>
      <c r="AB22" s="142"/>
      <c r="AC22" s="142" t="s">
        <v>74</v>
      </c>
      <c r="AD22" s="142" t="s">
        <v>75</v>
      </c>
      <c r="AE22" s="142" t="s">
        <v>76</v>
      </c>
      <c r="AF22" s="142" t="str">
        <f aca="false">IF(ISNUMBER(FIND("C", AC22, 1)), SUBSTITUTE(AC22, "C", "E"), SUBSTITUTE(AC22, "E", "C"))</f>
        <v>E21</v>
      </c>
      <c r="AG22" s="142" t="str">
        <f aca="false">IF(ISNUMBER(FIND("C", AD22, 1)), SUBSTITUTE(AD22, "C", "E"), SUBSTITUTE(AD22, "E", "C"))</f>
        <v>E24</v>
      </c>
      <c r="AH22" s="14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54" t="s">
        <v>73</v>
      </c>
      <c r="C23" s="155" t="n">
        <v>0</v>
      </c>
      <c r="D23" s="153" t="s">
        <v>29</v>
      </c>
      <c r="E23" s="156" t="n">
        <v>2</v>
      </c>
      <c r="F23" s="157" t="s">
        <v>71</v>
      </c>
      <c r="G23" s="139"/>
      <c r="H23" s="158" t="n">
        <v>46192</v>
      </c>
      <c r="I23" s="159" t="n">
        <v>0.791666666666667</v>
      </c>
      <c r="J23" s="160"/>
      <c r="K23" s="169" t="s">
        <v>73</v>
      </c>
      <c r="L23" s="153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53" t="n">
        <f aca="false">N23-O23</f>
        <v>-3</v>
      </c>
      <c r="N23" s="153" t="n">
        <f aca="true">SUM(INDIRECT($AC23),INDIRECT($AD23),INDIRECT($AE23))</f>
        <v>2</v>
      </c>
      <c r="O23" s="153" t="n">
        <f aca="true">SUM(INDIRECT($AF23),INDIRECT($AG23),INDIRECT($AH23))</f>
        <v>5</v>
      </c>
      <c r="P23" s="153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53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70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139"/>
      <c r="T23" s="165" t="str">
        <f aca="false">IF(NOT(AND(ISNUMBER(C23),ISNUMBER(E23))),"XXX","")</f>
        <v/>
      </c>
      <c r="U23" s="166" t="n">
        <f aca="false">SUM(Y23,Z23,AA23)</f>
        <v>0</v>
      </c>
      <c r="V23" s="166"/>
      <c r="W23" s="166"/>
      <c r="X23" s="166"/>
      <c r="Y23" s="167" t="n">
        <f aca="false">IF(AND(ISNUMBER(RESULTADOS!C23),ISNUMBER(RESULTADOS!E23),ISNUMBER(C23),ISNUMBER(E23),C23=RESULTADOS!C23,E23=RESULTADOS!E23),2,0)</f>
        <v>0</v>
      </c>
      <c r="Z23" s="167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67" t="n">
        <f aca="false">IF(AND(ISNUMBER(RESULTADOS!C23),ISNUMBER(RESULTADOS!E23),ISNUMBER(C23),ISNUMBER(E23),AND(Z23=1,OR(C23=RESULTADOS!C23,E23=RESULTADOS!E23))),1,0)</f>
        <v>0</v>
      </c>
      <c r="AB23" s="142"/>
      <c r="AC23" s="142" t="s">
        <v>77</v>
      </c>
      <c r="AD23" s="142" t="s">
        <v>78</v>
      </c>
      <c r="AE23" s="142" t="s">
        <v>79</v>
      </c>
      <c r="AF23" s="142" t="str">
        <f aca="false">IF(ISNUMBER(FIND("C", AC23, 1)), SUBSTITUTE(AC23, "C", "E"), SUBSTITUTE(AC23, "E", "C"))</f>
        <v>C22</v>
      </c>
      <c r="AG23" s="142" t="str">
        <f aca="false">IF(ISNUMBER(FIND("C", AD23, 1)), SUBSTITUTE(AD23, "C", "E"), SUBSTITUTE(AD23, "E", "C"))</f>
        <v>E23</v>
      </c>
      <c r="AH23" s="14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54" t="s">
        <v>70</v>
      </c>
      <c r="C24" s="155" t="n">
        <v>2</v>
      </c>
      <c r="D24" s="153" t="s">
        <v>29</v>
      </c>
      <c r="E24" s="156" t="n">
        <v>0</v>
      </c>
      <c r="F24" s="157" t="s">
        <v>72</v>
      </c>
      <c r="G24" s="139"/>
      <c r="H24" s="158" t="n">
        <v>46192</v>
      </c>
      <c r="I24" s="159" t="n">
        <v>0.895833333333333</v>
      </c>
      <c r="J24" s="160"/>
      <c r="K24" s="169" t="s">
        <v>72</v>
      </c>
      <c r="L24" s="153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53" t="n">
        <f aca="false">N24-O24</f>
        <v>-6</v>
      </c>
      <c r="N24" s="153" t="n">
        <f aca="true">SUM(INDIRECT($AC24),INDIRECT($AD24),INDIRECT($AE24))</f>
        <v>0</v>
      </c>
      <c r="O24" s="153" t="n">
        <f aca="true">SUM(INDIRECT($AF24),INDIRECT($AG24),INDIRECT($AH24))</f>
        <v>6</v>
      </c>
      <c r="P24" s="153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53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70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139"/>
      <c r="T24" s="165" t="str">
        <f aca="false">IF(NOT(AND(ISNUMBER(C24),ISNUMBER(E24))),"XXX","")</f>
        <v/>
      </c>
      <c r="U24" s="166" t="n">
        <f aca="false">SUM(Y24,Z24,AA24)</f>
        <v>0</v>
      </c>
      <c r="V24" s="166"/>
      <c r="W24" s="166"/>
      <c r="X24" s="166"/>
      <c r="Y24" s="167" t="n">
        <f aca="false">IF(AND(ISNUMBER(RESULTADOS!C24),ISNUMBER(RESULTADOS!E24),ISNUMBER(C24),ISNUMBER(E24),C24=RESULTADOS!C24,E24=RESULTADOS!E24),2,0)</f>
        <v>0</v>
      </c>
      <c r="Z24" s="167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67" t="n">
        <f aca="false">IF(AND(ISNUMBER(RESULTADOS!C24),ISNUMBER(RESULTADOS!E24),ISNUMBER(C24),ISNUMBER(E24),AND(Z24=1,OR(C24=RESULTADOS!C24,E24=RESULTADOS!E24))),1,0)</f>
        <v>0</v>
      </c>
      <c r="AB24" s="142"/>
      <c r="AC24" s="142" t="s">
        <v>80</v>
      </c>
      <c r="AD24" s="142" t="s">
        <v>81</v>
      </c>
      <c r="AE24" s="142" t="s">
        <v>82</v>
      </c>
      <c r="AF24" s="142" t="str">
        <f aca="false">IF(ISNUMBER(FIND("C", AC24, 1)), SUBSTITUTE(AC24, "C", "E"), SUBSTITUTE(AC24, "E", "C"))</f>
        <v>E22</v>
      </c>
      <c r="AG24" s="142" t="str">
        <f aca="false">IF(ISNUMBER(FIND("C", AD24, 1)), SUBSTITUTE(AD24, "C", "E"), SUBSTITUTE(AD24, "E", "C"))</f>
        <v>C24</v>
      </c>
      <c r="AH24" s="14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54" t="s">
        <v>71</v>
      </c>
      <c r="C25" s="155" t="n">
        <v>3</v>
      </c>
      <c r="D25" s="153" t="s">
        <v>29</v>
      </c>
      <c r="E25" s="156" t="n">
        <v>0</v>
      </c>
      <c r="F25" s="157" t="s">
        <v>72</v>
      </c>
      <c r="G25" s="139"/>
      <c r="H25" s="158" t="n">
        <v>46197</v>
      </c>
      <c r="I25" s="159" t="n">
        <v>0.791666666666667</v>
      </c>
      <c r="J25" s="160"/>
      <c r="K25" s="171" t="s">
        <v>71</v>
      </c>
      <c r="L25" s="172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72" t="n">
        <f aca="false">N25-O25</f>
        <v>4</v>
      </c>
      <c r="N25" s="172" t="n">
        <f aca="true">SUM(INDIRECT($AC25),INDIRECT($AD25),INDIRECT($AE25))</f>
        <v>6</v>
      </c>
      <c r="O25" s="172" t="n">
        <f aca="true">SUM(INDIRECT($AF25),INDIRECT($AG25),INDIRECT($AH25))</f>
        <v>2</v>
      </c>
      <c r="P25" s="172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72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73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139"/>
      <c r="T25" s="165" t="str">
        <f aca="false">IF(NOT(AND(ISNUMBER(C25),ISNUMBER(E25))),"XXX","")</f>
        <v/>
      </c>
      <c r="U25" s="166" t="n">
        <f aca="false">SUM(Y25,Z25,AA25)</f>
        <v>0</v>
      </c>
      <c r="V25" s="166"/>
      <c r="W25" s="166"/>
      <c r="X25" s="166"/>
      <c r="Y25" s="167" t="n">
        <f aca="false">IF(AND(ISNUMBER(RESULTADOS!C25),ISNUMBER(RESULTADOS!E25),ISNUMBER(C25),ISNUMBER(E25),C25=RESULTADOS!C25,E25=RESULTADOS!E25),2,0)</f>
        <v>0</v>
      </c>
      <c r="Z25" s="167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67" t="n">
        <f aca="false">IF(AND(ISNUMBER(RESULTADOS!C25),ISNUMBER(RESULTADOS!E25),ISNUMBER(C25),ISNUMBER(E25),AND(Z25=1,OR(C25=RESULTADOS!C25,E25=RESULTADOS!E25))),1,0)</f>
        <v>0</v>
      </c>
      <c r="AB25" s="142"/>
      <c r="AC25" s="142" t="s">
        <v>83</v>
      </c>
      <c r="AD25" s="142" t="s">
        <v>84</v>
      </c>
      <c r="AE25" s="142" t="s">
        <v>85</v>
      </c>
      <c r="AF25" s="142" t="str">
        <f aca="false">IF(ISNUMBER(FIND("C", AC25, 1)), SUBSTITUTE(AC25, "C", "E"), SUBSTITUTE(AC25, "E", "C"))</f>
        <v>C21</v>
      </c>
      <c r="AG25" s="142" t="str">
        <f aca="false">IF(ISNUMBER(FIND("C", AD25, 1)), SUBSTITUTE(AD25, "C", "E"), SUBSTITUTE(AD25, "E", "C"))</f>
        <v>C23</v>
      </c>
      <c r="AH25" s="14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174" t="s">
        <v>73</v>
      </c>
      <c r="C26" s="175" t="n">
        <v>1</v>
      </c>
      <c r="D26" s="172" t="s">
        <v>29</v>
      </c>
      <c r="E26" s="176" t="n">
        <v>3</v>
      </c>
      <c r="F26" s="182" t="s">
        <v>70</v>
      </c>
      <c r="G26" s="139"/>
      <c r="H26" s="178" t="n">
        <v>46197</v>
      </c>
      <c r="I26" s="179" t="n">
        <v>0.791666666666667</v>
      </c>
      <c r="J26" s="160"/>
      <c r="K26" s="180"/>
      <c r="S26" s="139"/>
      <c r="T26" s="165" t="str">
        <f aca="false">IF(NOT(AND(ISNUMBER(C26),ISNUMBER(E26))),"XXX","")</f>
        <v/>
      </c>
      <c r="U26" s="166" t="n">
        <f aca="false">SUM(Y26,Z26,AA26)</f>
        <v>0</v>
      </c>
      <c r="V26" s="166"/>
      <c r="W26" s="166"/>
      <c r="X26" s="166"/>
      <c r="Y26" s="167" t="n">
        <f aca="false">IF(AND(ISNUMBER(RESULTADOS!C26),ISNUMBER(RESULTADOS!E26),ISNUMBER(C26),ISNUMBER(E26),C26=RESULTADOS!C26,E26=RESULTADOS!E26),2,0)</f>
        <v>0</v>
      </c>
      <c r="Z26" s="167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67" t="n">
        <f aca="false">IF(AND(ISNUMBER(RESULTADOS!C26),ISNUMBER(RESULTADOS!E26),ISNUMBER(C26),ISNUMBER(E26),AND(Z26=1,OR(C26=RESULTADOS!C26,E26=RESULTADOS!E26))),1,0)</f>
        <v>0</v>
      </c>
      <c r="AB26" s="142"/>
      <c r="AC26" s="142"/>
      <c r="AD26" s="142"/>
      <c r="AE26" s="142"/>
      <c r="AF26" s="142"/>
      <c r="AG26" s="142"/>
      <c r="AH26" s="142"/>
    </row>
    <row r="27" customFormat="false" ht="13.5" hidden="false" customHeight="true" outlineLevel="0" collapsed="false">
      <c r="B27" s="180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U27" s="139"/>
      <c r="V27" s="139"/>
      <c r="W27" s="139"/>
      <c r="X27" s="139"/>
      <c r="Y27" s="143"/>
      <c r="Z27" s="143"/>
      <c r="AA27" s="143"/>
      <c r="AB27" s="142"/>
      <c r="AC27" s="142"/>
      <c r="AD27" s="142"/>
      <c r="AE27" s="142"/>
      <c r="AF27" s="142"/>
      <c r="AG27" s="142"/>
      <c r="AH27" s="142"/>
    </row>
    <row r="28" customFormat="false" ht="13.5" hidden="false" customHeight="true" outlineLevel="0" collapsed="false">
      <c r="B28" s="149" t="s">
        <v>86</v>
      </c>
      <c r="C28" s="149"/>
      <c r="D28" s="149"/>
      <c r="E28" s="149"/>
      <c r="F28" s="149"/>
      <c r="G28" s="139"/>
      <c r="H28" s="150" t="s">
        <v>26</v>
      </c>
      <c r="I28" s="151" t="s">
        <v>27</v>
      </c>
      <c r="J28" s="152"/>
      <c r="K28" s="139"/>
      <c r="L28" s="139"/>
      <c r="M28" s="139"/>
      <c r="N28" s="139"/>
      <c r="O28" s="139"/>
      <c r="P28" s="139"/>
      <c r="Q28" s="139"/>
      <c r="R28" s="139"/>
      <c r="S28" s="139"/>
      <c r="U28" s="153"/>
      <c r="V28" s="153"/>
      <c r="W28" s="153"/>
      <c r="X28" s="153"/>
      <c r="Y28" s="167"/>
      <c r="Z28" s="167"/>
      <c r="AA28" s="167"/>
      <c r="AB28" s="142"/>
      <c r="AC28" s="142"/>
      <c r="AD28" s="142"/>
      <c r="AE28" s="142"/>
      <c r="AF28" s="142"/>
      <c r="AG28" s="142"/>
      <c r="AH28" s="142"/>
    </row>
    <row r="29" customFormat="false" ht="13.5" hidden="false" customHeight="true" outlineLevel="0" collapsed="false">
      <c r="B29" s="154" t="s">
        <v>87</v>
      </c>
      <c r="C29" s="155" t="n">
        <v>1</v>
      </c>
      <c r="D29" s="153" t="s">
        <v>29</v>
      </c>
      <c r="E29" s="156" t="n">
        <v>1</v>
      </c>
      <c r="F29" s="157" t="s">
        <v>88</v>
      </c>
      <c r="G29" s="139"/>
      <c r="H29" s="158" t="n">
        <v>46185</v>
      </c>
      <c r="I29" s="159" t="n">
        <v>0.916666666666667</v>
      </c>
      <c r="J29" s="160"/>
      <c r="K29" s="161"/>
      <c r="L29" s="162" t="s">
        <v>31</v>
      </c>
      <c r="M29" s="162" t="s">
        <v>32</v>
      </c>
      <c r="N29" s="162" t="s">
        <v>33</v>
      </c>
      <c r="O29" s="162" t="s">
        <v>34</v>
      </c>
      <c r="P29" s="162" t="s">
        <v>35</v>
      </c>
      <c r="Q29" s="162" t="s">
        <v>36</v>
      </c>
      <c r="R29" s="163" t="s">
        <v>37</v>
      </c>
      <c r="S29" s="164"/>
      <c r="T29" s="165" t="str">
        <f aca="false">IF(NOT(AND(ISNUMBER(C29),ISNUMBER(E29))),"XXX","")</f>
        <v/>
      </c>
      <c r="U29" s="166" t="n">
        <f aca="false">SUM(Y29,Z29,AA29)</f>
        <v>0</v>
      </c>
      <c r="V29" s="166"/>
      <c r="W29" s="166"/>
      <c r="X29" s="166"/>
      <c r="Y29" s="167" t="n">
        <f aca="false">IF(AND(ISNUMBER(RESULTADOS!C29),ISNUMBER(RESULTADOS!E29),ISNUMBER(C29),ISNUMBER(E29),C29=RESULTADOS!C29,E29=RESULTADOS!E29),2,0)</f>
        <v>0</v>
      </c>
      <c r="Z29" s="167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67" t="n">
        <f aca="false">IF(AND(ISNUMBER(RESULTADOS!C29),ISNUMBER(RESULTADOS!E29),ISNUMBER(C29),ISNUMBER(E29),AND(Z29=1,OR(C29=RESULTADOS!C29,E29=RESULTADOS!E29))),1,0)</f>
        <v>0</v>
      </c>
      <c r="AB29" s="142"/>
      <c r="AC29" s="142"/>
      <c r="AD29" s="142"/>
      <c r="AE29" s="142"/>
      <c r="AF29" s="142"/>
      <c r="AG29" s="142"/>
      <c r="AH29" s="142"/>
    </row>
    <row r="30" customFormat="false" ht="13.5" hidden="false" customHeight="true" outlineLevel="0" collapsed="false">
      <c r="B30" s="154" t="s">
        <v>89</v>
      </c>
      <c r="C30" s="155" t="n">
        <v>0</v>
      </c>
      <c r="D30" s="153" t="s">
        <v>29</v>
      </c>
      <c r="E30" s="156" t="n">
        <v>2</v>
      </c>
      <c r="F30" s="157" t="s">
        <v>90</v>
      </c>
      <c r="G30" s="139"/>
      <c r="H30" s="158" t="n">
        <v>46187</v>
      </c>
      <c r="I30" s="159" t="n">
        <v>0.0416666666666667</v>
      </c>
      <c r="J30" s="160"/>
      <c r="K30" s="169" t="s">
        <v>89</v>
      </c>
      <c r="L30" s="153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53" t="n">
        <f aca="false">N30-O30</f>
        <v>-4</v>
      </c>
      <c r="N30" s="153" t="n">
        <f aca="true">SUM(INDIRECT($AC30),INDIRECT($AD30),INDIRECT($AE30))</f>
        <v>0</v>
      </c>
      <c r="O30" s="153" t="n">
        <f aca="true">SUM(INDIRECT($AF30),INDIRECT($AG30),INDIRECT($AH30))</f>
        <v>4</v>
      </c>
      <c r="P30" s="153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53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70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164"/>
      <c r="T30" s="165" t="str">
        <f aca="false">IF(NOT(AND(ISNUMBER(C30),ISNUMBER(E30))),"XXX","")</f>
        <v/>
      </c>
      <c r="U30" s="166" t="n">
        <f aca="false">SUM(Y30,Z30,AA30)</f>
        <v>0</v>
      </c>
      <c r="V30" s="166"/>
      <c r="W30" s="166"/>
      <c r="X30" s="166"/>
      <c r="Y30" s="167" t="n">
        <f aca="false">IF(AND(ISNUMBER(RESULTADOS!C30),ISNUMBER(RESULTADOS!E30),ISNUMBER(C30),ISNUMBER(E30),C30=RESULTADOS!C30,E30=RESULTADOS!E30),2,0)</f>
        <v>0</v>
      </c>
      <c r="Z30" s="167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67" t="n">
        <f aca="false">IF(AND(ISNUMBER(RESULTADOS!C30),ISNUMBER(RESULTADOS!E30),ISNUMBER(C30),ISNUMBER(E30),AND(Z30=1,OR(C30=RESULTADOS!C30,E30=RESULTADOS!E30))),1,0)</f>
        <v>0</v>
      </c>
      <c r="AB30" s="142"/>
      <c r="AC30" s="142" t="s">
        <v>91</v>
      </c>
      <c r="AD30" s="142" t="s">
        <v>92</v>
      </c>
      <c r="AE30" s="142" t="s">
        <v>93</v>
      </c>
      <c r="AF30" s="142" t="str">
        <f aca="false">IF(ISNUMBER(FIND("C", AC30, 1)), SUBSTITUTE(AC30, "C", "E"), SUBSTITUTE(AC30, "E", "C"))</f>
        <v>E30</v>
      </c>
      <c r="AG30" s="142" t="str">
        <f aca="false">IF(ISNUMBER(FIND("C", AD30, 1)), SUBSTITUTE(AD30, "C", "E"), SUBSTITUTE(AD30, "E", "C"))</f>
        <v>C31</v>
      </c>
      <c r="AH30" s="14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54" t="s">
        <v>87</v>
      </c>
      <c r="C31" s="155" t="n">
        <v>1</v>
      </c>
      <c r="D31" s="153" t="s">
        <v>29</v>
      </c>
      <c r="E31" s="156" t="n">
        <v>0</v>
      </c>
      <c r="F31" s="157" t="s">
        <v>89</v>
      </c>
      <c r="G31" s="139"/>
      <c r="H31" s="158" t="n">
        <v>46192</v>
      </c>
      <c r="I31" s="159" t="n">
        <v>0.666666666666667</v>
      </c>
      <c r="J31" s="160"/>
      <c r="K31" s="169" t="s">
        <v>87</v>
      </c>
      <c r="L31" s="153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53" t="n">
        <f aca="false">N31-O31</f>
        <v>-1</v>
      </c>
      <c r="N31" s="153" t="n">
        <f aca="true">SUM(INDIRECT($AC31),INDIRECT($AD31),INDIRECT($AE31))</f>
        <v>2</v>
      </c>
      <c r="O31" s="153" t="n">
        <f aca="true">SUM(INDIRECT($AF31),INDIRECT($AG31),INDIRECT($AH31))</f>
        <v>3</v>
      </c>
      <c r="P31" s="153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53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70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139"/>
      <c r="T31" s="165" t="str">
        <f aca="false">IF(NOT(AND(ISNUMBER(C31),ISNUMBER(E31))),"XXX","")</f>
        <v/>
      </c>
      <c r="U31" s="166" t="n">
        <f aca="false">SUM(Y31,Z31,AA31)</f>
        <v>0</v>
      </c>
      <c r="V31" s="166"/>
      <c r="W31" s="166"/>
      <c r="X31" s="166"/>
      <c r="Y31" s="167" t="n">
        <f aca="false">IF(AND(ISNUMBER(RESULTADOS!C31),ISNUMBER(RESULTADOS!E31),ISNUMBER(C31),ISNUMBER(E31),C31=RESULTADOS!C31,E31=RESULTADOS!E31),2,0)</f>
        <v>0</v>
      </c>
      <c r="Z31" s="167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67" t="n">
        <f aca="false">IF(AND(ISNUMBER(RESULTADOS!C31),ISNUMBER(RESULTADOS!E31),ISNUMBER(C31),ISNUMBER(E31),AND(Z31=1,OR(C31=RESULTADOS!C31,E31=RESULTADOS!E31))),1,0)</f>
        <v>0</v>
      </c>
      <c r="AB31" s="142"/>
      <c r="AC31" s="142" t="s">
        <v>94</v>
      </c>
      <c r="AD31" s="142" t="s">
        <v>95</v>
      </c>
      <c r="AE31" s="142" t="s">
        <v>96</v>
      </c>
      <c r="AF31" s="142" t="str">
        <f aca="false">IF(ISNUMBER(FIND("C", AC31, 1)), SUBSTITUTE(AC31, "C", "E"), SUBSTITUTE(AC31, "E", "C"))</f>
        <v>E29</v>
      </c>
      <c r="AG31" s="142" t="str">
        <f aca="false">IF(ISNUMBER(FIND("C", AD31, 1)), SUBSTITUTE(AD31, "C", "E"), SUBSTITUTE(AD31, "E", "C"))</f>
        <v>E31</v>
      </c>
      <c r="AH31" s="14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54" t="s">
        <v>90</v>
      </c>
      <c r="C32" s="155" t="n">
        <v>1</v>
      </c>
      <c r="D32" s="153" t="s">
        <v>29</v>
      </c>
      <c r="E32" s="156" t="n">
        <v>0</v>
      </c>
      <c r="F32" s="157" t="s">
        <v>88</v>
      </c>
      <c r="G32" s="139"/>
      <c r="H32" s="158" t="n">
        <v>46193</v>
      </c>
      <c r="I32" s="159" t="n">
        <v>0.0416666666666667</v>
      </c>
      <c r="J32" s="160"/>
      <c r="K32" s="169" t="s">
        <v>88</v>
      </c>
      <c r="L32" s="153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53" t="n">
        <f aca="false">N32-O32</f>
        <v>-2</v>
      </c>
      <c r="N32" s="153" t="n">
        <f aca="true">SUM(INDIRECT($AC32),INDIRECT($AD32),INDIRECT($AE32))</f>
        <v>1</v>
      </c>
      <c r="O32" s="153" t="n">
        <f aca="true">SUM(INDIRECT($AF32),INDIRECT($AG32),INDIRECT($AH32))</f>
        <v>3</v>
      </c>
      <c r="P32" s="153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53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70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139"/>
      <c r="T32" s="165" t="str">
        <f aca="false">IF(NOT(AND(ISNUMBER(C32),ISNUMBER(E32))),"XXX","")</f>
        <v/>
      </c>
      <c r="U32" s="166" t="n">
        <f aca="false">SUM(Y32,Z32,AA32)</f>
        <v>0</v>
      </c>
      <c r="V32" s="166"/>
      <c r="W32" s="166"/>
      <c r="X32" s="166"/>
      <c r="Y32" s="167" t="n">
        <f aca="false">IF(AND(ISNUMBER(RESULTADOS!C32),ISNUMBER(RESULTADOS!E32),ISNUMBER(C32),ISNUMBER(E32),C32=RESULTADOS!C32,E32=RESULTADOS!E32),2,0)</f>
        <v>0</v>
      </c>
      <c r="Z32" s="167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67" t="n">
        <f aca="false">IF(AND(ISNUMBER(RESULTADOS!C32),ISNUMBER(RESULTADOS!E32),ISNUMBER(C32),ISNUMBER(E32),AND(Z32=1,OR(C32=RESULTADOS!C32,E32=RESULTADOS!E32))),1,0)</f>
        <v>0</v>
      </c>
      <c r="AB32" s="142"/>
      <c r="AC32" s="142" t="s">
        <v>97</v>
      </c>
      <c r="AD32" s="142" t="s">
        <v>98</v>
      </c>
      <c r="AE32" s="142" t="s">
        <v>93</v>
      </c>
      <c r="AF32" s="142" t="str">
        <f aca="false">IF(ISNUMBER(FIND("C", AC32, 1)), SUBSTITUTE(AC32, "C", "E"), SUBSTITUTE(AC32, "E", "C"))</f>
        <v>C29</v>
      </c>
      <c r="AG32" s="142" t="str">
        <f aca="false">IF(ISNUMBER(FIND("C", AD32, 1)), SUBSTITUTE(AD32, "C", "E"), SUBSTITUTE(AD32, "E", "C"))</f>
        <v>C32</v>
      </c>
      <c r="AH32" s="14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54" t="s">
        <v>90</v>
      </c>
      <c r="C33" s="155" t="n">
        <v>2</v>
      </c>
      <c r="D33" s="153" t="s">
        <v>29</v>
      </c>
      <c r="E33" s="156" t="n">
        <v>0</v>
      </c>
      <c r="F33" s="157" t="s">
        <v>87</v>
      </c>
      <c r="G33" s="139"/>
      <c r="H33" s="158" t="n">
        <v>46198</v>
      </c>
      <c r="I33" s="159" t="n">
        <v>0.958333333333333</v>
      </c>
      <c r="J33" s="160"/>
      <c r="K33" s="171" t="s">
        <v>90</v>
      </c>
      <c r="L33" s="172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172" t="n">
        <f aca="false">N33-O33</f>
        <v>5</v>
      </c>
      <c r="N33" s="172" t="n">
        <f aca="true">SUM(INDIRECT($AC33),INDIRECT($AD33),INDIRECT($AE33))</f>
        <v>5</v>
      </c>
      <c r="O33" s="172" t="n">
        <f aca="true">SUM(INDIRECT($AF33),INDIRECT($AG33),INDIRECT($AH33))</f>
        <v>0</v>
      </c>
      <c r="P33" s="172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172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173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39"/>
      <c r="T33" s="165" t="str">
        <f aca="false">IF(NOT(AND(ISNUMBER(C33),ISNUMBER(E33))),"XXX","")</f>
        <v/>
      </c>
      <c r="U33" s="166" t="n">
        <f aca="false">SUM(Y33,Z33,AA33)</f>
        <v>0</v>
      </c>
      <c r="V33" s="166"/>
      <c r="W33" s="166"/>
      <c r="X33" s="166"/>
      <c r="Y33" s="167" t="n">
        <f aca="false">IF(AND(ISNUMBER(RESULTADOS!C33),ISNUMBER(RESULTADOS!E33),ISNUMBER(C33),ISNUMBER(E33),C33=RESULTADOS!C33,E33=RESULTADOS!E33),2,0)</f>
        <v>0</v>
      </c>
      <c r="Z33" s="167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67" t="n">
        <f aca="false">IF(AND(ISNUMBER(RESULTADOS!C33),ISNUMBER(RESULTADOS!E33),ISNUMBER(C33),ISNUMBER(E33),AND(Z33=1,OR(C33=RESULTADOS!C33,E33=RESULTADOS!E33))),1,0)</f>
        <v>0</v>
      </c>
      <c r="AB33" s="142"/>
      <c r="AC33" s="142" t="s">
        <v>99</v>
      </c>
      <c r="AD33" s="142" t="s">
        <v>100</v>
      </c>
      <c r="AE33" s="142" t="s">
        <v>101</v>
      </c>
      <c r="AF33" s="142" t="str">
        <f aca="false">IF(ISNUMBER(FIND("C", AC33, 1)), SUBSTITUTE(AC33, "C", "E"), SUBSTITUTE(AC33, "E", "C"))</f>
        <v>C30</v>
      </c>
      <c r="AG33" s="142" t="str">
        <f aca="false">IF(ISNUMBER(FIND("C", AD33, 1)), SUBSTITUTE(AD33, "C", "E"), SUBSTITUTE(AD33, "E", "C"))</f>
        <v>E32</v>
      </c>
      <c r="AH33" s="14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174" t="s">
        <v>88</v>
      </c>
      <c r="C34" s="175" t="n">
        <v>1</v>
      </c>
      <c r="D34" s="172" t="s">
        <v>29</v>
      </c>
      <c r="E34" s="176" t="n">
        <v>0</v>
      </c>
      <c r="F34" s="182" t="s">
        <v>89</v>
      </c>
      <c r="G34" s="139"/>
      <c r="H34" s="178" t="n">
        <v>46198</v>
      </c>
      <c r="I34" s="179" t="n">
        <v>0.958333333333333</v>
      </c>
      <c r="J34" s="160"/>
      <c r="K34" s="180"/>
      <c r="S34" s="139"/>
      <c r="T34" s="165" t="str">
        <f aca="false">IF(NOT(AND(ISNUMBER(C34),ISNUMBER(E34))),"XXX","")</f>
        <v/>
      </c>
      <c r="U34" s="166" t="n">
        <f aca="false">SUM(Y34,Z34,AA34)</f>
        <v>0</v>
      </c>
      <c r="V34" s="166"/>
      <c r="W34" s="166"/>
      <c r="X34" s="166"/>
      <c r="Y34" s="167" t="n">
        <f aca="false">IF(AND(ISNUMBER(RESULTADOS!C34),ISNUMBER(RESULTADOS!E34),ISNUMBER(C34),ISNUMBER(E34),C34=RESULTADOS!C34,E34=RESULTADOS!E34),2,0)</f>
        <v>0</v>
      </c>
      <c r="Z34" s="167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67" t="n">
        <f aca="false">IF(AND(ISNUMBER(RESULTADOS!C34),ISNUMBER(RESULTADOS!E34),ISNUMBER(C34),ISNUMBER(E34),AND(Z34=1,OR(C34=RESULTADOS!C34,E34=RESULTADOS!E34))),1,0)</f>
        <v>0</v>
      </c>
      <c r="AB34" s="142"/>
      <c r="AC34" s="142"/>
      <c r="AD34" s="142"/>
      <c r="AE34" s="142"/>
      <c r="AF34" s="142"/>
      <c r="AG34" s="142"/>
      <c r="AH34" s="142"/>
    </row>
    <row r="35" customFormat="false" ht="13.5" hidden="false" customHeight="true" outlineLevel="0" collapsed="false">
      <c r="B35" s="180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U35" s="139"/>
      <c r="V35" s="139"/>
      <c r="W35" s="139"/>
      <c r="X35" s="139"/>
      <c r="Y35" s="143"/>
      <c r="Z35" s="143"/>
      <c r="AA35" s="143"/>
      <c r="AB35" s="142"/>
      <c r="AC35" s="142"/>
      <c r="AD35" s="142"/>
      <c r="AE35" s="142"/>
      <c r="AF35" s="142"/>
      <c r="AG35" s="142"/>
      <c r="AH35" s="142"/>
    </row>
    <row r="36" customFormat="false" ht="13.5" hidden="false" customHeight="true" outlineLevel="0" collapsed="false">
      <c r="B36" s="149" t="s">
        <v>102</v>
      </c>
      <c r="C36" s="149"/>
      <c r="D36" s="149"/>
      <c r="E36" s="149"/>
      <c r="F36" s="149"/>
      <c r="G36" s="139"/>
      <c r="H36" s="150" t="s">
        <v>26</v>
      </c>
      <c r="I36" s="151" t="s">
        <v>27</v>
      </c>
      <c r="J36" s="152"/>
      <c r="K36" s="139"/>
      <c r="L36" s="139"/>
      <c r="M36" s="139"/>
      <c r="N36" s="139"/>
      <c r="O36" s="139"/>
      <c r="P36" s="139"/>
      <c r="Q36" s="139"/>
      <c r="R36" s="139"/>
      <c r="S36" s="139"/>
      <c r="U36" s="153"/>
      <c r="V36" s="153"/>
      <c r="W36" s="153"/>
      <c r="X36" s="153"/>
      <c r="Y36" s="167"/>
      <c r="Z36" s="167"/>
      <c r="AA36" s="167"/>
      <c r="AB36" s="142"/>
      <c r="AC36" s="142"/>
      <c r="AD36" s="142"/>
      <c r="AE36" s="142"/>
      <c r="AF36" s="142"/>
      <c r="AG36" s="142"/>
      <c r="AH36" s="142"/>
    </row>
    <row r="37" customFormat="false" ht="13.5" hidden="false" customHeight="true" outlineLevel="0" collapsed="false">
      <c r="B37" s="154" t="s">
        <v>103</v>
      </c>
      <c r="C37" s="155" t="n">
        <v>4</v>
      </c>
      <c r="D37" s="153" t="s">
        <v>29</v>
      </c>
      <c r="E37" s="156" t="n">
        <v>0</v>
      </c>
      <c r="F37" s="168" t="s">
        <v>104</v>
      </c>
      <c r="G37" s="139"/>
      <c r="H37" s="158" t="n">
        <v>46187</v>
      </c>
      <c r="I37" s="159" t="n">
        <v>0.583333333333333</v>
      </c>
      <c r="J37" s="160"/>
      <c r="K37" s="161"/>
      <c r="L37" s="162" t="s">
        <v>31</v>
      </c>
      <c r="M37" s="162" t="s">
        <v>32</v>
      </c>
      <c r="N37" s="162" t="s">
        <v>33</v>
      </c>
      <c r="O37" s="162" t="s">
        <v>34</v>
      </c>
      <c r="P37" s="162" t="s">
        <v>35</v>
      </c>
      <c r="Q37" s="162" t="s">
        <v>36</v>
      </c>
      <c r="R37" s="163" t="s">
        <v>37</v>
      </c>
      <c r="S37" s="164"/>
      <c r="T37" s="165" t="str">
        <f aca="false">IF(NOT(AND(ISNUMBER(C37),ISNUMBER(E37))),"XXX","")</f>
        <v/>
      </c>
      <c r="U37" s="166" t="n">
        <f aca="false">SUM(Y37,Z37,AA37)</f>
        <v>0</v>
      </c>
      <c r="V37" s="166"/>
      <c r="W37" s="166"/>
      <c r="X37" s="166"/>
      <c r="Y37" s="167" t="n">
        <f aca="false">IF(AND(ISNUMBER(RESULTADOS!C37),ISNUMBER(RESULTADOS!E37),ISNUMBER(C37),ISNUMBER(E37),C37=RESULTADOS!C37,E37=RESULTADOS!E37),2,0)</f>
        <v>0</v>
      </c>
      <c r="Z37" s="167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67" t="n">
        <f aca="false">IF(AND(ISNUMBER(RESULTADOS!C37),ISNUMBER(RESULTADOS!E37),ISNUMBER(C37),ISNUMBER(E37),AND(Z37=1,OR(C37=RESULTADOS!C37,E37=RESULTADOS!E37))),1,0)</f>
        <v>0</v>
      </c>
      <c r="AB37" s="142"/>
      <c r="AC37" s="142"/>
      <c r="AD37" s="142"/>
      <c r="AE37" s="142"/>
      <c r="AF37" s="142"/>
      <c r="AG37" s="142"/>
      <c r="AH37" s="142"/>
    </row>
    <row r="38" customFormat="false" ht="13.5" hidden="false" customHeight="true" outlineLevel="0" collapsed="false">
      <c r="B38" s="154" t="s">
        <v>105</v>
      </c>
      <c r="C38" s="155" t="n">
        <v>2</v>
      </c>
      <c r="D38" s="153" t="s">
        <v>29</v>
      </c>
      <c r="E38" s="156" t="n">
        <v>0</v>
      </c>
      <c r="F38" s="168" t="s">
        <v>106</v>
      </c>
      <c r="G38" s="139"/>
      <c r="H38" s="158" t="n">
        <v>46187</v>
      </c>
      <c r="I38" s="159" t="n">
        <v>0.833333333333333</v>
      </c>
      <c r="J38" s="160"/>
      <c r="K38" s="183" t="s">
        <v>103</v>
      </c>
      <c r="L38" s="153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53" t="n">
        <f aca="false">N38-O38</f>
        <v>9</v>
      </c>
      <c r="N38" s="153" t="n">
        <f aca="true">SUM(INDIRECT($AC38),INDIRECT($AD38),INDIRECT($AE38))</f>
        <v>11</v>
      </c>
      <c r="O38" s="153" t="n">
        <f aca="true">SUM(INDIRECT($AF38),INDIRECT($AG38),INDIRECT($AH38))</f>
        <v>2</v>
      </c>
      <c r="P38" s="153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53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70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64"/>
      <c r="T38" s="165" t="str">
        <f aca="false">IF(NOT(AND(ISNUMBER(C38),ISNUMBER(E38))),"XXX","")</f>
        <v/>
      </c>
      <c r="U38" s="166" t="n">
        <f aca="false">SUM(Y38,Z38,AA38)</f>
        <v>0</v>
      </c>
      <c r="V38" s="166"/>
      <c r="W38" s="166"/>
      <c r="X38" s="166"/>
      <c r="Y38" s="167" t="n">
        <f aca="false">IF(AND(ISNUMBER(RESULTADOS!C38),ISNUMBER(RESULTADOS!E38),ISNUMBER(C38),ISNUMBER(E38),C38=RESULTADOS!C38,E38=RESULTADOS!E38),2,0)</f>
        <v>0</v>
      </c>
      <c r="Z38" s="167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67" t="n">
        <f aca="false">IF(AND(ISNUMBER(RESULTADOS!C38),ISNUMBER(RESULTADOS!E38),ISNUMBER(C38),ISNUMBER(E38),AND(Z38=1,OR(C38=RESULTADOS!C38,E38=RESULTADOS!E38))),1,0)</f>
        <v>0</v>
      </c>
      <c r="AB38" s="142"/>
      <c r="AC38" s="142" t="s">
        <v>107</v>
      </c>
      <c r="AD38" s="142" t="s">
        <v>108</v>
      </c>
      <c r="AE38" s="142" t="s">
        <v>109</v>
      </c>
      <c r="AF38" s="142" t="str">
        <f aca="false">IF(ISNUMBER(FIND("C", AC38, 1)), SUBSTITUTE(AC38, "C", "E"), SUBSTITUTE(AC38, "E", "C"))</f>
        <v>E37</v>
      </c>
      <c r="AG38" s="142" t="str">
        <f aca="false">IF(ISNUMBER(FIND("C", AD38, 1)), SUBSTITUTE(AD38, "C", "E"), SUBSTITUTE(AD38, "E", "C"))</f>
        <v>E39</v>
      </c>
      <c r="AH38" s="14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54" t="s">
        <v>103</v>
      </c>
      <c r="C39" s="155" t="n">
        <v>3</v>
      </c>
      <c r="D39" s="153" t="s">
        <v>29</v>
      </c>
      <c r="E39" s="156" t="n">
        <v>2</v>
      </c>
      <c r="F39" s="168" t="s">
        <v>105</v>
      </c>
      <c r="G39" s="139"/>
      <c r="H39" s="158" t="n">
        <v>46193</v>
      </c>
      <c r="I39" s="159" t="n">
        <v>0.708333333333333</v>
      </c>
      <c r="J39" s="160"/>
      <c r="K39" s="183" t="s">
        <v>105</v>
      </c>
      <c r="L39" s="153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53" t="n">
        <f aca="false">N39-O39</f>
        <v>3</v>
      </c>
      <c r="N39" s="153" t="n">
        <f aca="true">SUM(INDIRECT($AC39),INDIRECT($AD39),INDIRECT($AE39))</f>
        <v>6</v>
      </c>
      <c r="O39" s="153" t="n">
        <f aca="true">SUM(INDIRECT($AF39),INDIRECT($AG39),INDIRECT($AH39))</f>
        <v>3</v>
      </c>
      <c r="P39" s="153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53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170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139"/>
      <c r="T39" s="165" t="str">
        <f aca="false">IF(NOT(AND(ISNUMBER(C39),ISNUMBER(E39))),"XXX","")</f>
        <v/>
      </c>
      <c r="U39" s="166" t="n">
        <f aca="false">SUM(Y39,Z39,AA39)</f>
        <v>0</v>
      </c>
      <c r="V39" s="166"/>
      <c r="W39" s="166"/>
      <c r="X39" s="166"/>
      <c r="Y39" s="167" t="n">
        <f aca="false">IF(AND(ISNUMBER(RESULTADOS!C39),ISNUMBER(RESULTADOS!E39),ISNUMBER(C39),ISNUMBER(E39),C39=RESULTADOS!C39,E39=RESULTADOS!E39),2,0)</f>
        <v>0</v>
      </c>
      <c r="Z39" s="167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67" t="n">
        <f aca="false">IF(AND(ISNUMBER(RESULTADOS!C39),ISNUMBER(RESULTADOS!E39),ISNUMBER(C39),ISNUMBER(E39),AND(Z39=1,OR(C39=RESULTADOS!C39,E39=RESULTADOS!E39))),1,0)</f>
        <v>0</v>
      </c>
      <c r="AB39" s="142"/>
      <c r="AC39" s="142" t="s">
        <v>110</v>
      </c>
      <c r="AD39" s="142" t="s">
        <v>111</v>
      </c>
      <c r="AE39" s="142" t="s">
        <v>112</v>
      </c>
      <c r="AF39" s="142" t="str">
        <f aca="false">IF(ISNUMBER(FIND("C", AC39, 1)), SUBSTITUTE(AC39, "C", "E"), SUBSTITUTE(AC39, "E", "C"))</f>
        <v>E38</v>
      </c>
      <c r="AG39" s="142" t="str">
        <f aca="false">IF(ISNUMBER(FIND("C", AD39, 1)), SUBSTITUTE(AD39, "C", "E"), SUBSTITUTE(AD39, "E", "C"))</f>
        <v>C39</v>
      </c>
      <c r="AH39" s="14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54" t="s">
        <v>106</v>
      </c>
      <c r="C40" s="155" t="n">
        <v>2</v>
      </c>
      <c r="D40" s="153" t="s">
        <v>29</v>
      </c>
      <c r="E40" s="156" t="n">
        <v>0</v>
      </c>
      <c r="F40" s="168" t="s">
        <v>104</v>
      </c>
      <c r="G40" s="139"/>
      <c r="H40" s="158" t="n">
        <v>46193</v>
      </c>
      <c r="I40" s="159" t="n">
        <v>0.875</v>
      </c>
      <c r="J40" s="160"/>
      <c r="K40" s="183" t="s">
        <v>104</v>
      </c>
      <c r="L40" s="153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53" t="n">
        <f aca="false">N40-O40</f>
        <v>-8</v>
      </c>
      <c r="N40" s="153" t="n">
        <f aca="true">SUM(INDIRECT($AC40),INDIRECT($AD40),INDIRECT($AE40))</f>
        <v>0</v>
      </c>
      <c r="O40" s="153" t="n">
        <f aca="true">SUM(INDIRECT($AF40),INDIRECT($AG40),INDIRECT($AH40))</f>
        <v>8</v>
      </c>
      <c r="P40" s="153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53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70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39"/>
      <c r="T40" s="165" t="str">
        <f aca="false">IF(NOT(AND(ISNUMBER(C40),ISNUMBER(E40))),"XXX","")</f>
        <v/>
      </c>
      <c r="U40" s="166" t="n">
        <f aca="false">SUM(Y40,Z40,AA40)</f>
        <v>0</v>
      </c>
      <c r="V40" s="166"/>
      <c r="W40" s="166"/>
      <c r="X40" s="166"/>
      <c r="Y40" s="167" t="n">
        <f aca="false">IF(AND(ISNUMBER(RESULTADOS!C40),ISNUMBER(RESULTADOS!E40),ISNUMBER(C40),ISNUMBER(E40),C40=RESULTADOS!C40,E40=RESULTADOS!E40),2,0)</f>
        <v>0</v>
      </c>
      <c r="Z40" s="167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67" t="n">
        <f aca="false">IF(AND(ISNUMBER(RESULTADOS!C40),ISNUMBER(RESULTADOS!E40),ISNUMBER(C40),ISNUMBER(E40),AND(Z40=1,OR(C40=RESULTADOS!C40,E40=RESULTADOS!E40))),1,0)</f>
        <v>0</v>
      </c>
      <c r="AB40" s="142"/>
      <c r="AC40" s="142" t="s">
        <v>113</v>
      </c>
      <c r="AD40" s="142" t="s">
        <v>114</v>
      </c>
      <c r="AE40" s="142" t="s">
        <v>115</v>
      </c>
      <c r="AF40" s="142" t="str">
        <f aca="false">IF(ISNUMBER(FIND("C", AC40, 1)), SUBSTITUTE(AC40, "C", "E"), SUBSTITUTE(AC40, "E", "C"))</f>
        <v>C37</v>
      </c>
      <c r="AG40" s="142" t="str">
        <f aca="false">IF(ISNUMBER(FIND("C", AD40, 1)), SUBSTITUTE(AD40, "C", "E"), SUBSTITUTE(AD40, "E", "C"))</f>
        <v>C40</v>
      </c>
      <c r="AH40" s="14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54" t="s">
        <v>106</v>
      </c>
      <c r="C41" s="155" t="n">
        <v>0</v>
      </c>
      <c r="D41" s="153" t="s">
        <v>29</v>
      </c>
      <c r="E41" s="156" t="n">
        <v>4</v>
      </c>
      <c r="F41" s="168" t="s">
        <v>103</v>
      </c>
      <c r="G41" s="139"/>
      <c r="H41" s="158" t="n">
        <v>46198</v>
      </c>
      <c r="I41" s="159" t="n">
        <v>0.708333333333333</v>
      </c>
      <c r="J41" s="160"/>
      <c r="K41" s="184" t="s">
        <v>106</v>
      </c>
      <c r="L41" s="172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172" t="n">
        <f aca="false">N41-O41</f>
        <v>-4</v>
      </c>
      <c r="N41" s="172" t="n">
        <f aca="true">SUM(INDIRECT($AC41),INDIRECT($AD41),INDIRECT($AE41))</f>
        <v>2</v>
      </c>
      <c r="O41" s="172" t="n">
        <f aca="true">SUM(INDIRECT($AF41),INDIRECT($AG41),INDIRECT($AH41))</f>
        <v>6</v>
      </c>
      <c r="P41" s="172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72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73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139"/>
      <c r="T41" s="165" t="str">
        <f aca="false">IF(NOT(AND(ISNUMBER(C41),ISNUMBER(E41))),"XXX","")</f>
        <v/>
      </c>
      <c r="U41" s="166" t="n">
        <f aca="false">SUM(Y41,Z41,AA41)</f>
        <v>0</v>
      </c>
      <c r="V41" s="166"/>
      <c r="W41" s="166"/>
      <c r="X41" s="166"/>
      <c r="Y41" s="167" t="n">
        <f aca="false">IF(AND(ISNUMBER(RESULTADOS!C41),ISNUMBER(RESULTADOS!E41),ISNUMBER(C41),ISNUMBER(E41),C41=RESULTADOS!C41,E41=RESULTADOS!E41),2,0)</f>
        <v>0</v>
      </c>
      <c r="Z41" s="167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67" t="n">
        <f aca="false">IF(AND(ISNUMBER(RESULTADOS!C41),ISNUMBER(RESULTADOS!E41),ISNUMBER(C41),ISNUMBER(E41),AND(Z41=1,OR(C41=RESULTADOS!C41,E41=RESULTADOS!E41))),1,0)</f>
        <v>0</v>
      </c>
      <c r="AB41" s="142"/>
      <c r="AC41" s="142" t="s">
        <v>116</v>
      </c>
      <c r="AD41" s="142" t="s">
        <v>117</v>
      </c>
      <c r="AE41" s="142" t="s">
        <v>118</v>
      </c>
      <c r="AF41" s="142" t="str">
        <f aca="false">IF(ISNUMBER(FIND("C", AC41, 1)), SUBSTITUTE(AC41, "C", "E"), SUBSTITUTE(AC41, "E", "C"))</f>
        <v>C38</v>
      </c>
      <c r="AG41" s="142" t="str">
        <f aca="false">IF(ISNUMBER(FIND("C", AD41, 1)), SUBSTITUTE(AD41, "C", "E"), SUBSTITUTE(AD41, "E", "C"))</f>
        <v>E40</v>
      </c>
      <c r="AH41" s="14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174" t="s">
        <v>104</v>
      </c>
      <c r="C42" s="175" t="n">
        <v>0</v>
      </c>
      <c r="D42" s="172" t="s">
        <v>29</v>
      </c>
      <c r="E42" s="176" t="n">
        <v>2</v>
      </c>
      <c r="F42" s="177" t="s">
        <v>105</v>
      </c>
      <c r="G42" s="139"/>
      <c r="H42" s="178" t="n">
        <v>46198</v>
      </c>
      <c r="I42" s="179" t="n">
        <v>0.708333333333333</v>
      </c>
      <c r="J42" s="160"/>
      <c r="K42" s="180"/>
      <c r="S42" s="139"/>
      <c r="T42" s="165" t="str">
        <f aca="false">IF(NOT(AND(ISNUMBER(C42),ISNUMBER(E42))),"XXX","")</f>
        <v/>
      </c>
      <c r="U42" s="166" t="n">
        <f aca="false">SUM(Y42,Z42,AA42)</f>
        <v>0</v>
      </c>
      <c r="V42" s="166"/>
      <c r="W42" s="166"/>
      <c r="X42" s="166"/>
      <c r="Y42" s="167" t="n">
        <f aca="false">IF(AND(ISNUMBER(RESULTADOS!C42),ISNUMBER(RESULTADOS!E42),ISNUMBER(C42),ISNUMBER(E42),C42=RESULTADOS!C42,E42=RESULTADOS!E42),2,0)</f>
        <v>0</v>
      </c>
      <c r="Z42" s="167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67" t="n">
        <f aca="false">IF(AND(ISNUMBER(RESULTADOS!C42),ISNUMBER(RESULTADOS!E42),ISNUMBER(C42),ISNUMBER(E42),AND(Z42=1,OR(C42=RESULTADOS!C42,E42=RESULTADOS!E42))),1,0)</f>
        <v>0</v>
      </c>
      <c r="AB42" s="142"/>
      <c r="AC42" s="142"/>
      <c r="AD42" s="142"/>
      <c r="AE42" s="142"/>
      <c r="AF42" s="142"/>
      <c r="AG42" s="142"/>
      <c r="AH42" s="142"/>
    </row>
    <row r="43" customFormat="false" ht="13.5" hidden="false" customHeight="true" outlineLevel="0" collapsed="false">
      <c r="B43" s="180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U43" s="139"/>
      <c r="V43" s="139"/>
      <c r="W43" s="139"/>
      <c r="X43" s="139"/>
      <c r="Y43" s="143"/>
      <c r="Z43" s="143"/>
      <c r="AA43" s="143"/>
      <c r="AB43" s="142"/>
      <c r="AC43" s="142"/>
      <c r="AD43" s="142"/>
      <c r="AE43" s="142"/>
      <c r="AF43" s="142"/>
      <c r="AG43" s="142"/>
      <c r="AH43" s="142"/>
    </row>
    <row r="44" customFormat="false" ht="13.5" hidden="false" customHeight="true" outlineLevel="0" collapsed="false">
      <c r="B44" s="149" t="s">
        <v>119</v>
      </c>
      <c r="C44" s="149"/>
      <c r="D44" s="149"/>
      <c r="E44" s="149"/>
      <c r="F44" s="149"/>
      <c r="G44" s="139"/>
      <c r="H44" s="150" t="s">
        <v>26</v>
      </c>
      <c r="I44" s="151" t="s">
        <v>27</v>
      </c>
      <c r="J44" s="152"/>
      <c r="K44" s="139"/>
      <c r="L44" s="139"/>
      <c r="M44" s="139"/>
      <c r="N44" s="139"/>
      <c r="O44" s="139"/>
      <c r="P44" s="139"/>
      <c r="Q44" s="139"/>
      <c r="R44" s="139"/>
      <c r="S44" s="139"/>
      <c r="U44" s="153"/>
      <c r="V44" s="153"/>
      <c r="W44" s="153"/>
      <c r="X44" s="153"/>
      <c r="Y44" s="167"/>
      <c r="Z44" s="167"/>
      <c r="AA44" s="167"/>
      <c r="AB44" s="142"/>
      <c r="AC44" s="142"/>
      <c r="AD44" s="142"/>
      <c r="AE44" s="142"/>
      <c r="AF44" s="142"/>
      <c r="AG44" s="142"/>
      <c r="AH44" s="142"/>
    </row>
    <row r="45" customFormat="false" ht="13.5" hidden="false" customHeight="true" outlineLevel="0" collapsed="false">
      <c r="B45" s="154" t="s">
        <v>120</v>
      </c>
      <c r="C45" s="155" t="n">
        <v>1</v>
      </c>
      <c r="D45" s="153" t="s">
        <v>29</v>
      </c>
      <c r="E45" s="156" t="n">
        <v>1</v>
      </c>
      <c r="F45" s="168" t="s">
        <v>121</v>
      </c>
      <c r="G45" s="139"/>
      <c r="H45" s="158" t="n">
        <v>46187</v>
      </c>
      <c r="I45" s="159" t="n">
        <v>0.708333333333333</v>
      </c>
      <c r="J45" s="160"/>
      <c r="K45" s="161"/>
      <c r="L45" s="162" t="s">
        <v>31</v>
      </c>
      <c r="M45" s="162" t="s">
        <v>32</v>
      </c>
      <c r="N45" s="162" t="s">
        <v>33</v>
      </c>
      <c r="O45" s="162" t="s">
        <v>34</v>
      </c>
      <c r="P45" s="162" t="s">
        <v>35</v>
      </c>
      <c r="Q45" s="162" t="s">
        <v>36</v>
      </c>
      <c r="R45" s="163" t="s">
        <v>37</v>
      </c>
      <c r="S45" s="164"/>
      <c r="T45" s="165" t="str">
        <f aca="false">IF(NOT(AND(ISNUMBER(C45),ISNUMBER(E45))),"XXX","")</f>
        <v/>
      </c>
      <c r="U45" s="166" t="n">
        <f aca="false">SUM(Y45,Z45,AA45)</f>
        <v>0</v>
      </c>
      <c r="V45" s="166"/>
      <c r="W45" s="166"/>
      <c r="X45" s="166"/>
      <c r="Y45" s="167" t="n">
        <f aca="false">IF(AND(ISNUMBER(RESULTADOS!C45),ISNUMBER(RESULTADOS!E45),ISNUMBER(C45),ISNUMBER(E45),C45=RESULTADOS!C45,E45=RESULTADOS!E45),2,0)</f>
        <v>0</v>
      </c>
      <c r="Z45" s="167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67" t="n">
        <f aca="false">IF(AND(ISNUMBER(RESULTADOS!C45),ISNUMBER(RESULTADOS!E45),ISNUMBER(C45),ISNUMBER(E45),AND(Z45=1,OR(C45=RESULTADOS!C45,E45=RESULTADOS!E45))),1,0)</f>
        <v>0</v>
      </c>
      <c r="AB45" s="142"/>
      <c r="AC45" s="142"/>
      <c r="AD45" s="142"/>
      <c r="AE45" s="142"/>
      <c r="AF45" s="142"/>
      <c r="AG45" s="142"/>
      <c r="AH45" s="142"/>
    </row>
    <row r="46" customFormat="false" ht="13.5" hidden="false" customHeight="true" outlineLevel="0" collapsed="false">
      <c r="B46" s="154" t="s">
        <v>122</v>
      </c>
      <c r="C46" s="155" t="n">
        <v>1</v>
      </c>
      <c r="D46" s="153" t="s">
        <v>29</v>
      </c>
      <c r="E46" s="156" t="n">
        <v>1</v>
      </c>
      <c r="F46" s="168" t="s">
        <v>123</v>
      </c>
      <c r="G46" s="139"/>
      <c r="H46" s="158" t="n">
        <v>46187</v>
      </c>
      <c r="I46" s="159" t="n">
        <v>0.958333333333333</v>
      </c>
      <c r="J46" s="160"/>
      <c r="K46" s="183" t="s">
        <v>120</v>
      </c>
      <c r="L46" s="153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53" t="n">
        <f aca="false">N46-O46</f>
        <v>3</v>
      </c>
      <c r="N46" s="153" t="n">
        <f aca="true">SUM(INDIRECT($AC46),INDIRECT($AD46),INDIRECT($AE46))</f>
        <v>5</v>
      </c>
      <c r="O46" s="153" t="n">
        <f aca="true">SUM(INDIRECT($AF46),INDIRECT($AG46),INDIRECT($AH46))</f>
        <v>2</v>
      </c>
      <c r="P46" s="153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53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170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64"/>
      <c r="T46" s="165" t="str">
        <f aca="false">IF(NOT(AND(ISNUMBER(C46),ISNUMBER(E46))),"XXX","")</f>
        <v/>
      </c>
      <c r="U46" s="166" t="n">
        <f aca="false">SUM(Y46,Z46,AA46)</f>
        <v>0</v>
      </c>
      <c r="V46" s="166"/>
      <c r="W46" s="166"/>
      <c r="X46" s="166"/>
      <c r="Y46" s="167" t="n">
        <f aca="false">IF(AND(ISNUMBER(RESULTADOS!C46),ISNUMBER(RESULTADOS!E46),ISNUMBER(C46),ISNUMBER(E46),C46=RESULTADOS!C46,E46=RESULTADOS!E46),2,0)</f>
        <v>0</v>
      </c>
      <c r="Z46" s="167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67" t="n">
        <f aca="false">IF(AND(ISNUMBER(RESULTADOS!C46),ISNUMBER(RESULTADOS!E46),ISNUMBER(C46),ISNUMBER(E46),AND(Z46=1,OR(C46=RESULTADOS!C46,E46=RESULTADOS!E46))),1,0)</f>
        <v>0</v>
      </c>
      <c r="AB46" s="142"/>
      <c r="AC46" s="142" t="s">
        <v>124</v>
      </c>
      <c r="AD46" s="142" t="s">
        <v>125</v>
      </c>
      <c r="AE46" s="142" t="s">
        <v>126</v>
      </c>
      <c r="AF46" s="142" t="str">
        <f aca="false">IF(ISNUMBER(FIND("C", AC46, 1)), SUBSTITUTE(AC46, "C", "E"), SUBSTITUTE(AC46, "E", "C"))</f>
        <v>E45</v>
      </c>
      <c r="AG46" s="142" t="str">
        <f aca="false">IF(ISNUMBER(FIND("C", AD46, 1)), SUBSTITUTE(AD46, "C", "E"), SUBSTITUTE(AD46, "E", "C"))</f>
        <v>E47</v>
      </c>
      <c r="AH46" s="14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54" t="s">
        <v>120</v>
      </c>
      <c r="C47" s="155" t="n">
        <v>2</v>
      </c>
      <c r="D47" s="153" t="s">
        <v>29</v>
      </c>
      <c r="E47" s="156" t="n">
        <v>1</v>
      </c>
      <c r="F47" s="168" t="s">
        <v>122</v>
      </c>
      <c r="G47" s="139"/>
      <c r="H47" s="158" t="n">
        <v>46193</v>
      </c>
      <c r="I47" s="159" t="n">
        <v>0.583333333333333</v>
      </c>
      <c r="J47" s="160"/>
      <c r="K47" s="183" t="s">
        <v>121</v>
      </c>
      <c r="L47" s="153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53" t="n">
        <f aca="false">N47-O47</f>
        <v>3</v>
      </c>
      <c r="N47" s="153" t="n">
        <f aca="true">SUM(INDIRECT($AC47),INDIRECT($AD47),INDIRECT($AE47))</f>
        <v>4</v>
      </c>
      <c r="O47" s="153" t="n">
        <f aca="true">SUM(INDIRECT($AF47),INDIRECT($AG47),INDIRECT($AH47))</f>
        <v>1</v>
      </c>
      <c r="P47" s="153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53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70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39"/>
      <c r="T47" s="165" t="str">
        <f aca="false">IF(NOT(AND(ISNUMBER(C47),ISNUMBER(E47))),"XXX","")</f>
        <v/>
      </c>
      <c r="U47" s="166" t="n">
        <f aca="false">SUM(Y47,Z47,AA47)</f>
        <v>0</v>
      </c>
      <c r="V47" s="166"/>
      <c r="W47" s="166"/>
      <c r="X47" s="166"/>
      <c r="Y47" s="167" t="n">
        <f aca="false">IF(AND(ISNUMBER(RESULTADOS!C47),ISNUMBER(RESULTADOS!E47),ISNUMBER(C47),ISNUMBER(E47),C47=RESULTADOS!C47,E47=RESULTADOS!E47),2,0)</f>
        <v>0</v>
      </c>
      <c r="Z47" s="167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67" t="n">
        <f aca="false">IF(AND(ISNUMBER(RESULTADOS!C47),ISNUMBER(RESULTADOS!E47),ISNUMBER(C47),ISNUMBER(E47),AND(Z47=1,OR(C47=RESULTADOS!C47,E47=RESULTADOS!E47))),1,0)</f>
        <v>0</v>
      </c>
      <c r="AB47" s="142"/>
      <c r="AC47" s="142" t="s">
        <v>127</v>
      </c>
      <c r="AD47" s="142" t="s">
        <v>128</v>
      </c>
      <c r="AE47" s="142" t="s">
        <v>129</v>
      </c>
      <c r="AF47" s="142" t="str">
        <f aca="false">IF(ISNUMBER(FIND("C", AC47, 1)), SUBSTITUTE(AC47, "C", "E"), SUBSTITUTE(AC47, "E", "C"))</f>
        <v>C45</v>
      </c>
      <c r="AG47" s="142" t="str">
        <f aca="false">IF(ISNUMBER(FIND("C", AD47, 1)), SUBSTITUTE(AD47, "C", "E"), SUBSTITUTE(AD47, "E", "C"))</f>
        <v>C48</v>
      </c>
      <c r="AH47" s="14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54" t="s">
        <v>123</v>
      </c>
      <c r="C48" s="155" t="n">
        <v>0</v>
      </c>
      <c r="D48" s="153" t="s">
        <v>29</v>
      </c>
      <c r="E48" s="156" t="n">
        <v>2</v>
      </c>
      <c r="F48" s="168" t="s">
        <v>121</v>
      </c>
      <c r="G48" s="139"/>
      <c r="H48" s="158" t="n">
        <v>46194</v>
      </c>
      <c r="I48" s="159" t="n">
        <v>0.0416666666666667</v>
      </c>
      <c r="J48" s="160"/>
      <c r="K48" s="183" t="s">
        <v>122</v>
      </c>
      <c r="L48" s="153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53" t="n">
        <f aca="false">N48-O48</f>
        <v>-2</v>
      </c>
      <c r="N48" s="153" t="n">
        <f aca="true">SUM(INDIRECT($AC48),INDIRECT($AD48),INDIRECT($AE48))</f>
        <v>2</v>
      </c>
      <c r="O48" s="153" t="n">
        <f aca="true">SUM(INDIRECT($AF48),INDIRECT($AG48),INDIRECT($AH48))</f>
        <v>4</v>
      </c>
      <c r="P48" s="153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53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170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139"/>
      <c r="T48" s="165" t="str">
        <f aca="false">IF(NOT(AND(ISNUMBER(C48),ISNUMBER(E48))),"XXX","")</f>
        <v/>
      </c>
      <c r="U48" s="166" t="n">
        <f aca="false">SUM(Y48,Z48,AA48)</f>
        <v>0</v>
      </c>
      <c r="V48" s="166"/>
      <c r="W48" s="166"/>
      <c r="X48" s="166"/>
      <c r="Y48" s="167" t="n">
        <f aca="false">IF(AND(ISNUMBER(RESULTADOS!C48),ISNUMBER(RESULTADOS!E48),ISNUMBER(C48),ISNUMBER(E48),C48=RESULTADOS!C48,E48=RESULTADOS!E48),2,0)</f>
        <v>0</v>
      </c>
      <c r="Z48" s="167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67" t="n">
        <f aca="false">IF(AND(ISNUMBER(RESULTADOS!C48),ISNUMBER(RESULTADOS!E48),ISNUMBER(C48),ISNUMBER(E48),AND(Z48=1,OR(C48=RESULTADOS!C48,E48=RESULTADOS!E48))),1,0)</f>
        <v>0</v>
      </c>
      <c r="AB48" s="142"/>
      <c r="AC48" s="142" t="s">
        <v>130</v>
      </c>
      <c r="AD48" s="142" t="s">
        <v>131</v>
      </c>
      <c r="AE48" s="142" t="s">
        <v>132</v>
      </c>
      <c r="AF48" s="142" t="str">
        <f aca="false">IF(ISNUMBER(FIND("C", AC48, 1)), SUBSTITUTE(AC48, "C", "E"), SUBSTITUTE(AC48, "E", "C"))</f>
        <v>E46</v>
      </c>
      <c r="AG48" s="142" t="str">
        <f aca="false">IF(ISNUMBER(FIND("C", AD48, 1)), SUBSTITUTE(AD48, "C", "E"), SUBSTITUTE(AD48, "E", "C"))</f>
        <v>C47</v>
      </c>
      <c r="AH48" s="14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54" t="s">
        <v>123</v>
      </c>
      <c r="C49" s="155" t="n">
        <v>0</v>
      </c>
      <c r="D49" s="153" t="s">
        <v>29</v>
      </c>
      <c r="E49" s="156" t="n">
        <v>2</v>
      </c>
      <c r="F49" s="168" t="s">
        <v>120</v>
      </c>
      <c r="G49" s="139"/>
      <c r="H49" s="158" t="n">
        <v>46198</v>
      </c>
      <c r="I49" s="159" t="n">
        <v>0.833333333333333</v>
      </c>
      <c r="J49" s="160"/>
      <c r="K49" s="184" t="s">
        <v>123</v>
      </c>
      <c r="L49" s="172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172" t="n">
        <f aca="false">N49-O49</f>
        <v>-4</v>
      </c>
      <c r="N49" s="172" t="n">
        <f aca="true">SUM(INDIRECT($AC49),INDIRECT($AD49),INDIRECT($AE49))</f>
        <v>1</v>
      </c>
      <c r="O49" s="172" t="n">
        <f aca="true">SUM(INDIRECT($AF49),INDIRECT($AG49),INDIRECT($AH49))</f>
        <v>5</v>
      </c>
      <c r="P49" s="172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72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173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139"/>
      <c r="T49" s="165" t="str">
        <f aca="false">IF(NOT(AND(ISNUMBER(C49),ISNUMBER(E49))),"XXX","")</f>
        <v/>
      </c>
      <c r="U49" s="166" t="n">
        <f aca="false">SUM(Y49,Z49,AA49)</f>
        <v>0</v>
      </c>
      <c r="V49" s="166"/>
      <c r="W49" s="166"/>
      <c r="X49" s="166"/>
      <c r="Y49" s="167" t="n">
        <f aca="false">IF(AND(ISNUMBER(RESULTADOS!C49),ISNUMBER(RESULTADOS!E49),ISNUMBER(C49),ISNUMBER(E49),C49=RESULTADOS!C49,E49=RESULTADOS!E49),2,0)</f>
        <v>0</v>
      </c>
      <c r="Z49" s="167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67" t="n">
        <f aca="false">IF(AND(ISNUMBER(RESULTADOS!C49),ISNUMBER(RESULTADOS!E49),ISNUMBER(C49),ISNUMBER(E49),AND(Z49=1,OR(C49=RESULTADOS!C49,E49=RESULTADOS!E49))),1,0)</f>
        <v>0</v>
      </c>
      <c r="AB49" s="142"/>
      <c r="AC49" s="142" t="s">
        <v>133</v>
      </c>
      <c r="AD49" s="142" t="s">
        <v>134</v>
      </c>
      <c r="AE49" s="142" t="s">
        <v>135</v>
      </c>
      <c r="AF49" s="142" t="str">
        <f aca="false">IF(ISNUMBER(FIND("C", AC49, 1)), SUBSTITUTE(AC49, "C", "E"), SUBSTITUTE(AC49, "E", "C"))</f>
        <v>C46</v>
      </c>
      <c r="AG49" s="142" t="str">
        <f aca="false">IF(ISNUMBER(FIND("C", AD49, 1)), SUBSTITUTE(AD49, "C", "E"), SUBSTITUTE(AD49, "E", "C"))</f>
        <v>E48</v>
      </c>
      <c r="AH49" s="14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174" t="s">
        <v>121</v>
      </c>
      <c r="C50" s="175" t="n">
        <v>1</v>
      </c>
      <c r="D50" s="172" t="s">
        <v>29</v>
      </c>
      <c r="E50" s="176" t="n">
        <v>0</v>
      </c>
      <c r="F50" s="177" t="s">
        <v>122</v>
      </c>
      <c r="G50" s="139"/>
      <c r="H50" s="178" t="n">
        <v>46198</v>
      </c>
      <c r="I50" s="179" t="n">
        <v>0.833333333333333</v>
      </c>
      <c r="J50" s="160"/>
      <c r="K50" s="180"/>
      <c r="S50" s="139"/>
      <c r="T50" s="165" t="str">
        <f aca="false">IF(NOT(AND(ISNUMBER(C50),ISNUMBER(E50))),"XXX","")</f>
        <v/>
      </c>
      <c r="U50" s="166" t="n">
        <f aca="false">SUM(Y50,Z50,AA50)</f>
        <v>0</v>
      </c>
      <c r="V50" s="166"/>
      <c r="W50" s="166"/>
      <c r="X50" s="166"/>
      <c r="Y50" s="167" t="n">
        <f aca="false">IF(AND(ISNUMBER(RESULTADOS!C50),ISNUMBER(RESULTADOS!E50),ISNUMBER(C50),ISNUMBER(E50),C50=RESULTADOS!C50,E50=RESULTADOS!E50),2,0)</f>
        <v>0</v>
      </c>
      <c r="Z50" s="167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67" t="n">
        <f aca="false">IF(AND(ISNUMBER(RESULTADOS!C50),ISNUMBER(RESULTADOS!E50),ISNUMBER(C50),ISNUMBER(E50),AND(Z50=1,OR(C50=RESULTADOS!C50,E50=RESULTADOS!E50))),1,0)</f>
        <v>0</v>
      </c>
      <c r="AB50" s="142"/>
      <c r="AC50" s="142"/>
      <c r="AD50" s="142"/>
      <c r="AE50" s="142"/>
      <c r="AF50" s="142"/>
      <c r="AG50" s="142"/>
      <c r="AH50" s="142"/>
    </row>
    <row r="51" customFormat="false" ht="13.5" hidden="false" customHeight="true" outlineLevel="0" collapsed="false">
      <c r="B51" s="180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U51" s="139"/>
      <c r="V51" s="139"/>
      <c r="W51" s="139"/>
      <c r="X51" s="139"/>
      <c r="Y51" s="143"/>
      <c r="Z51" s="143"/>
      <c r="AA51" s="143"/>
      <c r="AB51" s="142"/>
      <c r="AC51" s="142"/>
      <c r="AD51" s="142"/>
      <c r="AE51" s="142"/>
      <c r="AF51" s="142"/>
      <c r="AG51" s="142"/>
      <c r="AH51" s="142"/>
    </row>
    <row r="52" customFormat="false" ht="13.5" hidden="false" customHeight="true" outlineLevel="0" collapsed="false">
      <c r="B52" s="149" t="s">
        <v>136</v>
      </c>
      <c r="C52" s="149"/>
      <c r="D52" s="149"/>
      <c r="E52" s="149"/>
      <c r="F52" s="149"/>
      <c r="G52" s="139"/>
      <c r="H52" s="150" t="s">
        <v>26</v>
      </c>
      <c r="I52" s="151" t="s">
        <v>27</v>
      </c>
      <c r="J52" s="152"/>
      <c r="K52" s="139"/>
      <c r="L52" s="139"/>
      <c r="M52" s="139"/>
      <c r="N52" s="139"/>
      <c r="O52" s="139"/>
      <c r="P52" s="139"/>
      <c r="Q52" s="139"/>
      <c r="R52" s="139"/>
      <c r="S52" s="139"/>
      <c r="U52" s="153"/>
      <c r="V52" s="153"/>
      <c r="W52" s="153"/>
      <c r="X52" s="153"/>
      <c r="Y52" s="167"/>
      <c r="Z52" s="167"/>
      <c r="AA52" s="167"/>
      <c r="AB52" s="142"/>
      <c r="AC52" s="142"/>
      <c r="AD52" s="142"/>
      <c r="AE52" s="142"/>
      <c r="AF52" s="142"/>
      <c r="AG52" s="142"/>
      <c r="AH52" s="142"/>
    </row>
    <row r="53" customFormat="false" ht="13.5" hidden="false" customHeight="true" outlineLevel="0" collapsed="false">
      <c r="B53" s="154" t="s">
        <v>137</v>
      </c>
      <c r="C53" s="155" t="n">
        <v>2</v>
      </c>
      <c r="D53" s="153" t="s">
        <v>29</v>
      </c>
      <c r="E53" s="156" t="n">
        <v>2</v>
      </c>
      <c r="F53" s="168" t="s">
        <v>138</v>
      </c>
      <c r="G53" s="139"/>
      <c r="H53" s="158" t="n">
        <v>46188</v>
      </c>
      <c r="I53" s="159" t="n">
        <v>0.666666666666667</v>
      </c>
      <c r="J53" s="160"/>
      <c r="K53" s="161"/>
      <c r="L53" s="162" t="s">
        <v>31</v>
      </c>
      <c r="M53" s="162" t="s">
        <v>32</v>
      </c>
      <c r="N53" s="162" t="s">
        <v>33</v>
      </c>
      <c r="O53" s="162" t="s">
        <v>34</v>
      </c>
      <c r="P53" s="162" t="s">
        <v>35</v>
      </c>
      <c r="Q53" s="162" t="s">
        <v>36</v>
      </c>
      <c r="R53" s="163" t="s">
        <v>37</v>
      </c>
      <c r="S53" s="164"/>
      <c r="T53" s="165" t="str">
        <f aca="false">IF(NOT(AND(ISNUMBER(C53),ISNUMBER(E53))),"XXX","")</f>
        <v/>
      </c>
      <c r="U53" s="166" t="n">
        <f aca="false">SUM(Y53,Z53,AA53)</f>
        <v>0</v>
      </c>
      <c r="V53" s="166"/>
      <c r="W53" s="166"/>
      <c r="X53" s="166"/>
      <c r="Y53" s="167" t="n">
        <f aca="false">IF(AND(ISNUMBER(RESULTADOS!C53),ISNUMBER(RESULTADOS!E53),ISNUMBER(C53),ISNUMBER(E53),C53=RESULTADOS!C53,E53=RESULTADOS!E53),2,0)</f>
        <v>0</v>
      </c>
      <c r="Z53" s="167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67" t="n">
        <f aca="false">IF(AND(ISNUMBER(RESULTADOS!C53),ISNUMBER(RESULTADOS!E53),ISNUMBER(C53),ISNUMBER(E53),AND(Z53=1,OR(C53=RESULTADOS!C53,E53=RESULTADOS!E53))),1,0)</f>
        <v>0</v>
      </c>
      <c r="AB53" s="142"/>
      <c r="AC53" s="142"/>
      <c r="AD53" s="142"/>
      <c r="AE53" s="142"/>
      <c r="AF53" s="142"/>
      <c r="AG53" s="142"/>
      <c r="AH53" s="142"/>
    </row>
    <row r="54" customFormat="false" ht="13.5" hidden="false" customHeight="true" outlineLevel="0" collapsed="false">
      <c r="B54" s="154" t="s">
        <v>139</v>
      </c>
      <c r="C54" s="155" t="n">
        <v>1</v>
      </c>
      <c r="D54" s="153" t="s">
        <v>29</v>
      </c>
      <c r="E54" s="156" t="n">
        <v>0</v>
      </c>
      <c r="F54" s="168" t="s">
        <v>140</v>
      </c>
      <c r="G54" s="139"/>
      <c r="H54" s="158" t="n">
        <v>46188</v>
      </c>
      <c r="I54" s="159" t="n">
        <v>0.916666666666667</v>
      </c>
      <c r="J54" s="160"/>
      <c r="K54" s="183" t="s">
        <v>137</v>
      </c>
      <c r="L54" s="153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53" t="n">
        <f aca="false">N54-O54</f>
        <v>4</v>
      </c>
      <c r="N54" s="153" t="n">
        <f aca="true">SUM(INDIRECT($AC54),INDIRECT($AD54),INDIRECT($AE54))</f>
        <v>6</v>
      </c>
      <c r="O54" s="153" t="n">
        <f aca="true">SUM(INDIRECT($AF54),INDIRECT($AG54),INDIRECT($AH54))</f>
        <v>2</v>
      </c>
      <c r="P54" s="153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53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170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64"/>
      <c r="T54" s="165" t="str">
        <f aca="false">IF(NOT(AND(ISNUMBER(C54),ISNUMBER(E54))),"XXX","")</f>
        <v/>
      </c>
      <c r="U54" s="166" t="n">
        <f aca="false">SUM(Y54,Z54,AA54)</f>
        <v>0</v>
      </c>
      <c r="V54" s="166"/>
      <c r="W54" s="166"/>
      <c r="X54" s="166"/>
      <c r="Y54" s="167" t="n">
        <f aca="false">IF(AND(ISNUMBER(RESULTADOS!C54),ISNUMBER(RESULTADOS!E54),ISNUMBER(C54),ISNUMBER(E54),C54=RESULTADOS!C54,E54=RESULTADOS!E54),2,0)</f>
        <v>0</v>
      </c>
      <c r="Z54" s="167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67" t="n">
        <f aca="false">IF(AND(ISNUMBER(RESULTADOS!C54),ISNUMBER(RESULTADOS!E54),ISNUMBER(C54),ISNUMBER(E54),AND(Z54=1,OR(C54=RESULTADOS!C54,E54=RESULTADOS!E54))),1,0)</f>
        <v>0</v>
      </c>
      <c r="AB54" s="142"/>
      <c r="AC54" s="142" t="s">
        <v>141</v>
      </c>
      <c r="AD54" s="142" t="s">
        <v>142</v>
      </c>
      <c r="AE54" s="142" t="s">
        <v>143</v>
      </c>
      <c r="AF54" s="142" t="str">
        <f aca="false">IF(ISNUMBER(FIND("C", AC54, 1)), SUBSTITUTE(AC54, "C", "E"), SUBSTITUTE(AC54, "E", "C"))</f>
        <v>E53</v>
      </c>
      <c r="AG54" s="142" t="str">
        <f aca="false">IF(ISNUMBER(FIND("C", AD54, 1)), SUBSTITUTE(AD54, "C", "E"), SUBSTITUTE(AD54, "E", "C"))</f>
        <v>E55</v>
      </c>
      <c r="AH54" s="14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54" t="s">
        <v>137</v>
      </c>
      <c r="C55" s="155" t="n">
        <v>2</v>
      </c>
      <c r="D55" s="153" t="s">
        <v>29</v>
      </c>
      <c r="E55" s="156" t="n">
        <v>0</v>
      </c>
      <c r="F55" s="168" t="s">
        <v>139</v>
      </c>
      <c r="G55" s="139"/>
      <c r="H55" s="158" t="n">
        <v>46194</v>
      </c>
      <c r="I55" s="159" t="n">
        <v>0.666666666666667</v>
      </c>
      <c r="J55" s="160"/>
      <c r="K55" s="183" t="s">
        <v>138</v>
      </c>
      <c r="L55" s="153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53" t="n">
        <f aca="false">N55-O55</f>
        <v>1</v>
      </c>
      <c r="N55" s="153" t="n">
        <f aca="true">SUM(INDIRECT($AC55),INDIRECT($AD55),INDIRECT($AE55))</f>
        <v>4</v>
      </c>
      <c r="O55" s="153" t="n">
        <f aca="true">SUM(INDIRECT($AF55),INDIRECT($AG55),INDIRECT($AH55))</f>
        <v>3</v>
      </c>
      <c r="P55" s="153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53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170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139"/>
      <c r="T55" s="165" t="str">
        <f aca="false">IF(NOT(AND(ISNUMBER(C55),ISNUMBER(E55))),"XXX","")</f>
        <v/>
      </c>
      <c r="U55" s="166" t="n">
        <f aca="false">SUM(Y55,Z55,AA55)</f>
        <v>0</v>
      </c>
      <c r="V55" s="166"/>
      <c r="W55" s="166"/>
      <c r="X55" s="166"/>
      <c r="Y55" s="167" t="n">
        <f aca="false">IF(AND(ISNUMBER(RESULTADOS!C55),ISNUMBER(RESULTADOS!E55),ISNUMBER(C55),ISNUMBER(E55),C55=RESULTADOS!C55,E55=RESULTADOS!E55),2,0)</f>
        <v>0</v>
      </c>
      <c r="Z55" s="167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67" t="n">
        <f aca="false">IF(AND(ISNUMBER(RESULTADOS!C55),ISNUMBER(RESULTADOS!E55),ISNUMBER(C55),ISNUMBER(E55),AND(Z55=1,OR(C55=RESULTADOS!C55,E55=RESULTADOS!E55))),1,0)</f>
        <v>0</v>
      </c>
      <c r="AB55" s="142"/>
      <c r="AC55" s="142" t="s">
        <v>144</v>
      </c>
      <c r="AD55" s="142" t="s">
        <v>145</v>
      </c>
      <c r="AE55" s="142" t="s">
        <v>146</v>
      </c>
      <c r="AF55" s="142" t="str">
        <f aca="false">IF(ISNUMBER(FIND("C", AC55, 1)), SUBSTITUTE(AC55, "C", "E"), SUBSTITUTE(AC55, "E", "C"))</f>
        <v>C53</v>
      </c>
      <c r="AG55" s="142" t="str">
        <f aca="false">IF(ISNUMBER(FIND("C", AD55, 1)), SUBSTITUTE(AD55, "C", "E"), SUBSTITUTE(AD55, "E", "C"))</f>
        <v>C56</v>
      </c>
      <c r="AH55" s="14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54" t="s">
        <v>140</v>
      </c>
      <c r="C56" s="155" t="n">
        <v>0</v>
      </c>
      <c r="D56" s="153" t="s">
        <v>29</v>
      </c>
      <c r="E56" s="156" t="n">
        <v>1</v>
      </c>
      <c r="F56" s="168" t="s">
        <v>138</v>
      </c>
      <c r="G56" s="139"/>
      <c r="H56" s="158" t="n">
        <v>46194</v>
      </c>
      <c r="I56" s="159" t="n">
        <v>0.916666666666667</v>
      </c>
      <c r="J56" s="160"/>
      <c r="K56" s="183" t="s">
        <v>139</v>
      </c>
      <c r="L56" s="153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53" t="n">
        <f aca="false">N56-O56</f>
        <v>-1</v>
      </c>
      <c r="N56" s="153" t="n">
        <f aca="true">SUM(INDIRECT($AC56),INDIRECT($AD56),INDIRECT($AE56))</f>
        <v>2</v>
      </c>
      <c r="O56" s="153" t="n">
        <f aca="true">SUM(INDIRECT($AF56),INDIRECT($AG56),INDIRECT($AH56))</f>
        <v>3</v>
      </c>
      <c r="P56" s="153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53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170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139"/>
      <c r="T56" s="165" t="str">
        <f aca="false">IF(NOT(AND(ISNUMBER(C56),ISNUMBER(E56))),"XXX","")</f>
        <v/>
      </c>
      <c r="U56" s="166" t="n">
        <f aca="false">SUM(Y56,Z56,AA56)</f>
        <v>0</v>
      </c>
      <c r="V56" s="166"/>
      <c r="W56" s="166"/>
      <c r="X56" s="166"/>
      <c r="Y56" s="167" t="n">
        <f aca="false">IF(AND(ISNUMBER(RESULTADOS!C56),ISNUMBER(RESULTADOS!E56),ISNUMBER(C56),ISNUMBER(E56),C56=RESULTADOS!C56,E56=RESULTADOS!E56),2,0)</f>
        <v>0</v>
      </c>
      <c r="Z56" s="167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67" t="n">
        <f aca="false">IF(AND(ISNUMBER(RESULTADOS!C56),ISNUMBER(RESULTADOS!E56),ISNUMBER(C56),ISNUMBER(E56),AND(Z56=1,OR(C56=RESULTADOS!C56,E56=RESULTADOS!E56))),1,0)</f>
        <v>0</v>
      </c>
      <c r="AB56" s="142"/>
      <c r="AC56" s="142" t="s">
        <v>147</v>
      </c>
      <c r="AD56" s="142" t="s">
        <v>148</v>
      </c>
      <c r="AE56" s="142" t="s">
        <v>149</v>
      </c>
      <c r="AF56" s="142" t="str">
        <f aca="false">IF(ISNUMBER(FIND("C", AC56, 1)), SUBSTITUTE(AC56, "C", "E"), SUBSTITUTE(AC56, "E", "C"))</f>
        <v>E54</v>
      </c>
      <c r="AG56" s="142" t="str">
        <f aca="false">IF(ISNUMBER(FIND("C", AD56, 1)), SUBSTITUTE(AD56, "C", "E"), SUBSTITUTE(AD56, "E", "C"))</f>
        <v>C55</v>
      </c>
      <c r="AH56" s="14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54" t="s">
        <v>138</v>
      </c>
      <c r="C57" s="155" t="n">
        <v>1</v>
      </c>
      <c r="D57" s="153" t="s">
        <v>29</v>
      </c>
      <c r="E57" s="156" t="n">
        <v>1</v>
      </c>
      <c r="F57" s="168" t="s">
        <v>139</v>
      </c>
      <c r="G57" s="139"/>
      <c r="H57" s="158" t="n">
        <v>46200</v>
      </c>
      <c r="I57" s="159" t="n">
        <v>0</v>
      </c>
      <c r="J57" s="160"/>
      <c r="K57" s="184" t="s">
        <v>140</v>
      </c>
      <c r="L57" s="172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72" t="n">
        <f aca="false">N57-O57</f>
        <v>-4</v>
      </c>
      <c r="N57" s="172" t="n">
        <f aca="true">SUM(INDIRECT($AC57),INDIRECT($AD57),INDIRECT($AE57))</f>
        <v>0</v>
      </c>
      <c r="O57" s="172" t="n">
        <f aca="true">SUM(INDIRECT($AF57),INDIRECT($AG57),INDIRECT($AH57))</f>
        <v>4</v>
      </c>
      <c r="P57" s="172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72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73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39"/>
      <c r="T57" s="165" t="str">
        <f aca="false">IF(NOT(AND(ISNUMBER(C57),ISNUMBER(E57))),"XXX","")</f>
        <v/>
      </c>
      <c r="U57" s="166" t="n">
        <f aca="false">SUM(Y57,Z57,AA57)</f>
        <v>0</v>
      </c>
      <c r="V57" s="166"/>
      <c r="W57" s="166"/>
      <c r="X57" s="166"/>
      <c r="Y57" s="167" t="n">
        <f aca="false">IF(AND(ISNUMBER(RESULTADOS!C57),ISNUMBER(RESULTADOS!E57),ISNUMBER(C57),ISNUMBER(E57),C57=RESULTADOS!C57,E57=RESULTADOS!E57),2,0)</f>
        <v>0</v>
      </c>
      <c r="Z57" s="167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67" t="n">
        <f aca="false">IF(AND(ISNUMBER(RESULTADOS!C57),ISNUMBER(RESULTADOS!E57),ISNUMBER(C57),ISNUMBER(E57),AND(Z57=1,OR(C57=RESULTADOS!C57,E57=RESULTADOS!E57))),1,0)</f>
        <v>0</v>
      </c>
      <c r="AB57" s="142"/>
      <c r="AC57" s="142" t="s">
        <v>150</v>
      </c>
      <c r="AD57" s="142" t="s">
        <v>151</v>
      </c>
      <c r="AE57" s="142" t="s">
        <v>152</v>
      </c>
      <c r="AF57" s="142" t="str">
        <f aca="false">IF(ISNUMBER(FIND("C", AC57, 1)), SUBSTITUTE(AC57, "C", "E"), SUBSTITUTE(AC57, "E", "C"))</f>
        <v>C54</v>
      </c>
      <c r="AG57" s="142" t="str">
        <f aca="false">IF(ISNUMBER(FIND("C", AD57, 1)), SUBSTITUTE(AD57, "C", "E"), SUBSTITUTE(AD57, "E", "C"))</f>
        <v>E56</v>
      </c>
      <c r="AH57" s="14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174" t="s">
        <v>140</v>
      </c>
      <c r="C58" s="175" t="n">
        <v>0</v>
      </c>
      <c r="D58" s="172" t="s">
        <v>29</v>
      </c>
      <c r="E58" s="176" t="n">
        <v>2</v>
      </c>
      <c r="F58" s="177" t="s">
        <v>137</v>
      </c>
      <c r="G58" s="139"/>
      <c r="H58" s="178" t="n">
        <v>46200</v>
      </c>
      <c r="I58" s="179" t="n">
        <v>0</v>
      </c>
      <c r="J58" s="160"/>
      <c r="K58" s="180"/>
      <c r="S58" s="139"/>
      <c r="T58" s="165" t="str">
        <f aca="false">IF(NOT(AND(ISNUMBER(C58),ISNUMBER(E58))),"XXX","")</f>
        <v/>
      </c>
      <c r="U58" s="166" t="n">
        <f aca="false">SUM(Y58,Z58,AA58)</f>
        <v>0</v>
      </c>
      <c r="V58" s="166"/>
      <c r="W58" s="166"/>
      <c r="X58" s="166"/>
      <c r="Y58" s="167" t="n">
        <f aca="false">IF(AND(ISNUMBER(RESULTADOS!C58),ISNUMBER(RESULTADOS!E58),ISNUMBER(C58),ISNUMBER(E58),C58=RESULTADOS!C58,E58=RESULTADOS!E58),2,0)</f>
        <v>0</v>
      </c>
      <c r="Z58" s="167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67" t="n">
        <f aca="false">IF(AND(ISNUMBER(RESULTADOS!C58),ISNUMBER(RESULTADOS!E58),ISNUMBER(C58),ISNUMBER(E58),AND(Z58=1,OR(C58=RESULTADOS!C58,E58=RESULTADOS!E58))),1,0)</f>
        <v>0</v>
      </c>
      <c r="AB58" s="142"/>
      <c r="AC58" s="142"/>
      <c r="AD58" s="142"/>
      <c r="AE58" s="142"/>
      <c r="AF58" s="142"/>
      <c r="AG58" s="142"/>
      <c r="AH58" s="142"/>
    </row>
    <row r="59" customFormat="false" ht="13.5" hidden="false" customHeight="true" outlineLevel="0" collapsed="false">
      <c r="B59" s="180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U59" s="139"/>
      <c r="V59" s="139"/>
      <c r="W59" s="139"/>
      <c r="X59" s="139"/>
      <c r="Y59" s="143"/>
      <c r="Z59" s="143"/>
      <c r="AA59" s="143"/>
      <c r="AB59" s="142"/>
      <c r="AC59" s="142"/>
      <c r="AD59" s="142"/>
      <c r="AE59" s="142"/>
      <c r="AF59" s="142"/>
      <c r="AG59" s="142"/>
      <c r="AH59" s="142"/>
    </row>
    <row r="60" customFormat="false" ht="13.5" hidden="false" customHeight="true" outlineLevel="0" collapsed="false">
      <c r="B60" s="149" t="s">
        <v>153</v>
      </c>
      <c r="C60" s="149"/>
      <c r="D60" s="149"/>
      <c r="E60" s="149"/>
      <c r="F60" s="149"/>
      <c r="G60" s="139"/>
      <c r="H60" s="150" t="s">
        <v>26</v>
      </c>
      <c r="I60" s="151" t="s">
        <v>27</v>
      </c>
      <c r="J60" s="152"/>
      <c r="K60" s="139"/>
      <c r="L60" s="139"/>
      <c r="M60" s="139"/>
      <c r="N60" s="139"/>
      <c r="O60" s="139"/>
      <c r="P60" s="139"/>
      <c r="Q60" s="139"/>
      <c r="R60" s="139"/>
      <c r="S60" s="139"/>
      <c r="U60" s="153"/>
      <c r="V60" s="153"/>
      <c r="W60" s="153"/>
      <c r="X60" s="153"/>
      <c r="Y60" s="167"/>
      <c r="Z60" s="167"/>
      <c r="AA60" s="167"/>
      <c r="AB60" s="142"/>
      <c r="AC60" s="142"/>
      <c r="AD60" s="142"/>
      <c r="AE60" s="142"/>
      <c r="AF60" s="142"/>
      <c r="AG60" s="142"/>
      <c r="AH60" s="142"/>
    </row>
    <row r="61" customFormat="false" ht="13.5" hidden="false" customHeight="true" outlineLevel="0" collapsed="false">
      <c r="B61" s="154" t="s">
        <v>154</v>
      </c>
      <c r="C61" s="155" t="n">
        <v>4</v>
      </c>
      <c r="D61" s="153" t="s">
        <v>29</v>
      </c>
      <c r="E61" s="156" t="n">
        <v>0</v>
      </c>
      <c r="F61" s="168" t="s">
        <v>155</v>
      </c>
      <c r="G61" s="139"/>
      <c r="H61" s="158" t="n">
        <v>46188</v>
      </c>
      <c r="I61" s="159" t="n">
        <v>0.541666666666667</v>
      </c>
      <c r="J61" s="160"/>
      <c r="K61" s="161"/>
      <c r="L61" s="162" t="s">
        <v>31</v>
      </c>
      <c r="M61" s="162" t="s">
        <v>32</v>
      </c>
      <c r="N61" s="162" t="s">
        <v>33</v>
      </c>
      <c r="O61" s="162" t="s">
        <v>34</v>
      </c>
      <c r="P61" s="162" t="s">
        <v>35</v>
      </c>
      <c r="Q61" s="162" t="s">
        <v>36</v>
      </c>
      <c r="R61" s="163" t="s">
        <v>37</v>
      </c>
      <c r="S61" s="164"/>
      <c r="T61" s="165" t="str">
        <f aca="false">IF(NOT(AND(ISNUMBER(C61),ISNUMBER(E61))),"XXX","")</f>
        <v/>
      </c>
      <c r="U61" s="166" t="n">
        <f aca="false">SUM(Y61,Z61,AA61)</f>
        <v>0</v>
      </c>
      <c r="V61" s="166"/>
      <c r="W61" s="166"/>
      <c r="X61" s="166"/>
      <c r="Y61" s="167" t="n">
        <f aca="false">IF(AND(ISNUMBER(RESULTADOS!C61),ISNUMBER(RESULTADOS!E61),ISNUMBER(C61),ISNUMBER(E61),C61=RESULTADOS!C61,E61=RESULTADOS!E61),2,0)</f>
        <v>0</v>
      </c>
      <c r="Z61" s="167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67" t="n">
        <f aca="false">IF(AND(ISNUMBER(RESULTADOS!C61),ISNUMBER(RESULTADOS!E61),ISNUMBER(C61),ISNUMBER(E61),AND(Z61=1,OR(C61=RESULTADOS!C61,E61=RESULTADOS!E61))),1,0)</f>
        <v>0</v>
      </c>
      <c r="AB61" s="142"/>
      <c r="AC61" s="142"/>
      <c r="AD61" s="142"/>
      <c r="AE61" s="142"/>
      <c r="AF61" s="142"/>
      <c r="AG61" s="142"/>
      <c r="AH61" s="142"/>
    </row>
    <row r="62" customFormat="false" ht="13.5" hidden="false" customHeight="true" outlineLevel="0" collapsed="false">
      <c r="B62" s="154" t="s">
        <v>156</v>
      </c>
      <c r="C62" s="155" t="n">
        <v>1</v>
      </c>
      <c r="D62" s="153" t="s">
        <v>29</v>
      </c>
      <c r="E62" s="156" t="n">
        <v>3</v>
      </c>
      <c r="F62" s="168" t="s">
        <v>157</v>
      </c>
      <c r="G62" s="139"/>
      <c r="H62" s="158" t="n">
        <v>46188</v>
      </c>
      <c r="I62" s="159" t="n">
        <v>0.791666666666667</v>
      </c>
      <c r="J62" s="160"/>
      <c r="K62" s="183" t="s">
        <v>156</v>
      </c>
      <c r="L62" s="153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53" t="n">
        <f aca="false">N62-O62</f>
        <v>-4</v>
      </c>
      <c r="N62" s="153" t="n">
        <f aca="true">SUM(INDIRECT($AC62),INDIRECT($AD62),INDIRECT($AE62))</f>
        <v>2</v>
      </c>
      <c r="O62" s="153" t="n">
        <f aca="true">SUM(INDIRECT($AF62),INDIRECT($AG62),INDIRECT($AH62))</f>
        <v>6</v>
      </c>
      <c r="P62" s="153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53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70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164"/>
      <c r="T62" s="165" t="str">
        <f aca="false">IF(NOT(AND(ISNUMBER(C62),ISNUMBER(E62))),"XXX","")</f>
        <v/>
      </c>
      <c r="U62" s="166" t="n">
        <f aca="false">SUM(Y62,Z62,AA62)</f>
        <v>0</v>
      </c>
      <c r="V62" s="166"/>
      <c r="W62" s="166"/>
      <c r="X62" s="166"/>
      <c r="Y62" s="167" t="n">
        <f aca="false">IF(AND(ISNUMBER(RESULTADOS!C62),ISNUMBER(RESULTADOS!E62),ISNUMBER(C62),ISNUMBER(E62),C62=RESULTADOS!C62,E62=RESULTADOS!E62),2,0)</f>
        <v>0</v>
      </c>
      <c r="Z62" s="167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67" t="n">
        <f aca="false">IF(AND(ISNUMBER(RESULTADOS!C62),ISNUMBER(RESULTADOS!E62),ISNUMBER(C62),ISNUMBER(E62),AND(Z62=1,OR(C62=RESULTADOS!C62,E62=RESULTADOS!E62))),1,0)</f>
        <v>0</v>
      </c>
      <c r="AB62" s="142"/>
      <c r="AC62" s="142" t="s">
        <v>158</v>
      </c>
      <c r="AD62" s="142" t="s">
        <v>159</v>
      </c>
      <c r="AE62" s="142" t="s">
        <v>160</v>
      </c>
      <c r="AF62" s="142" t="str">
        <f aca="false">IF(ISNUMBER(FIND("C", AC62, 1)), SUBSTITUTE(AC62, "C", "E"), SUBSTITUTE(AC62, "E", "C"))</f>
        <v>E62</v>
      </c>
      <c r="AG62" s="142" t="str">
        <f aca="false">IF(ISNUMBER(FIND("C", AD62, 1)), SUBSTITUTE(AD62, "C", "E"), SUBSTITUTE(AD62, "E", "C"))</f>
        <v>C63</v>
      </c>
      <c r="AH62" s="14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54" t="s">
        <v>154</v>
      </c>
      <c r="C63" s="155" t="n">
        <v>3</v>
      </c>
      <c r="D63" s="153" t="s">
        <v>29</v>
      </c>
      <c r="E63" s="156" t="n">
        <v>0</v>
      </c>
      <c r="F63" s="168" t="s">
        <v>156</v>
      </c>
      <c r="G63" s="139"/>
      <c r="H63" s="158" t="n">
        <v>46194</v>
      </c>
      <c r="I63" s="159" t="n">
        <v>0.541666666666667</v>
      </c>
      <c r="J63" s="160"/>
      <c r="K63" s="183" t="s">
        <v>155</v>
      </c>
      <c r="L63" s="153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53" t="n">
        <f aca="false">N63-O63</f>
        <v>-7</v>
      </c>
      <c r="N63" s="153" t="n">
        <f aca="true">SUM(INDIRECT($AC63),INDIRECT($AD63),INDIRECT($AE63))</f>
        <v>0</v>
      </c>
      <c r="O63" s="153" t="n">
        <f aca="true">SUM(INDIRECT($AF63),INDIRECT($AG63),INDIRECT($AH63))</f>
        <v>7</v>
      </c>
      <c r="P63" s="153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53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70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139"/>
      <c r="T63" s="165" t="str">
        <f aca="false">IF(NOT(AND(ISNUMBER(C63),ISNUMBER(E63))),"XXX","")</f>
        <v/>
      </c>
      <c r="U63" s="166" t="n">
        <f aca="false">SUM(Y63,Z63,AA63)</f>
        <v>0</v>
      </c>
      <c r="V63" s="166"/>
      <c r="W63" s="166"/>
      <c r="X63" s="166"/>
      <c r="Y63" s="167" t="n">
        <f aca="false">IF(AND(ISNUMBER(RESULTADOS!C63),ISNUMBER(RESULTADOS!E63),ISNUMBER(C63),ISNUMBER(E63),C63=RESULTADOS!C63,E63=RESULTADOS!E63),2,0)</f>
        <v>0</v>
      </c>
      <c r="Z63" s="167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67" t="n">
        <f aca="false">IF(AND(ISNUMBER(RESULTADOS!C63),ISNUMBER(RESULTADOS!E63),ISNUMBER(C63),ISNUMBER(E63),AND(Z63=1,OR(C63=RESULTADOS!C63,E63=RESULTADOS!E63))),1,0)</f>
        <v>0</v>
      </c>
      <c r="AB63" s="142"/>
      <c r="AC63" s="142" t="s">
        <v>161</v>
      </c>
      <c r="AD63" s="142" t="s">
        <v>162</v>
      </c>
      <c r="AE63" s="142" t="s">
        <v>163</v>
      </c>
      <c r="AF63" s="142" t="str">
        <f aca="false">IF(ISNUMBER(FIND("C", AC63, 1)), SUBSTITUTE(AC63, "C", "E"), SUBSTITUTE(AC63, "E", "C"))</f>
        <v>C61</v>
      </c>
      <c r="AG63" s="142" t="str">
        <f aca="false">IF(ISNUMBER(FIND("C", AD63, 1)), SUBSTITUTE(AD63, "C", "E"), SUBSTITUTE(AD63, "E", "C"))</f>
        <v>C64</v>
      </c>
      <c r="AH63" s="14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54" t="s">
        <v>157</v>
      </c>
      <c r="C64" s="155" t="n">
        <v>2</v>
      </c>
      <c r="D64" s="153" t="s">
        <v>29</v>
      </c>
      <c r="E64" s="156" t="n">
        <v>0</v>
      </c>
      <c r="F64" s="168" t="s">
        <v>155</v>
      </c>
      <c r="G64" s="139"/>
      <c r="H64" s="158" t="n">
        <v>46194</v>
      </c>
      <c r="I64" s="159" t="n">
        <v>0.791666666666667</v>
      </c>
      <c r="J64" s="160"/>
      <c r="K64" s="183" t="s">
        <v>154</v>
      </c>
      <c r="L64" s="153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53" t="n">
        <f aca="false">N64-O64</f>
        <v>8</v>
      </c>
      <c r="N64" s="153" t="n">
        <f aca="true">SUM(INDIRECT($AC64),INDIRECT($AD64),INDIRECT($AE64))</f>
        <v>10</v>
      </c>
      <c r="O64" s="153" t="n">
        <f aca="true">SUM(INDIRECT($AF64),INDIRECT($AG64),INDIRECT($AH64))</f>
        <v>2</v>
      </c>
      <c r="P64" s="153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53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70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39"/>
      <c r="T64" s="165" t="str">
        <f aca="false">IF(NOT(AND(ISNUMBER(C64),ISNUMBER(E64))),"XXX","")</f>
        <v/>
      </c>
      <c r="U64" s="166" t="n">
        <f aca="false">SUM(Y64,Z64,AA64)</f>
        <v>0</v>
      </c>
      <c r="V64" s="166"/>
      <c r="W64" s="166"/>
      <c r="X64" s="166"/>
      <c r="Y64" s="167" t="n">
        <f aca="false">IF(AND(ISNUMBER(RESULTADOS!C64),ISNUMBER(RESULTADOS!E64),ISNUMBER(C64),ISNUMBER(E64),C64=RESULTADOS!C64,E64=RESULTADOS!E64),2,0)</f>
        <v>0</v>
      </c>
      <c r="Z64" s="167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67" t="n">
        <f aca="false">IF(AND(ISNUMBER(RESULTADOS!C64),ISNUMBER(RESULTADOS!E64),ISNUMBER(C64),ISNUMBER(E64),AND(Z64=1,OR(C64=RESULTADOS!C64,E64=RESULTADOS!E64))),1,0)</f>
        <v>0</v>
      </c>
      <c r="AB64" s="142"/>
      <c r="AC64" s="142" t="s">
        <v>164</v>
      </c>
      <c r="AD64" s="142" t="s">
        <v>165</v>
      </c>
      <c r="AE64" s="142" t="s">
        <v>166</v>
      </c>
      <c r="AF64" s="142" t="str">
        <f aca="false">IF(ISNUMBER(FIND("C", AC64, 1)), SUBSTITUTE(AC64, "C", "E"), SUBSTITUTE(AC64, "E", "C"))</f>
        <v>E61</v>
      </c>
      <c r="AG64" s="142" t="str">
        <f aca="false">IF(ISNUMBER(FIND("C", AD64, 1)), SUBSTITUTE(AD64, "C", "E"), SUBSTITUTE(AD64, "E", "C"))</f>
        <v>E63</v>
      </c>
      <c r="AH64" s="14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54" t="s">
        <v>155</v>
      </c>
      <c r="C65" s="155" t="n">
        <v>0</v>
      </c>
      <c r="D65" s="153" t="s">
        <v>29</v>
      </c>
      <c r="E65" s="156" t="n">
        <v>1</v>
      </c>
      <c r="F65" s="168" t="s">
        <v>156</v>
      </c>
      <c r="G65" s="139"/>
      <c r="H65" s="158" t="n">
        <v>46199</v>
      </c>
      <c r="I65" s="159" t="n">
        <v>0.875</v>
      </c>
      <c r="J65" s="160"/>
      <c r="K65" s="184" t="s">
        <v>157</v>
      </c>
      <c r="L65" s="172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72" t="n">
        <f aca="false">N65-O65</f>
        <v>3</v>
      </c>
      <c r="N65" s="172" t="n">
        <f aca="true">SUM(INDIRECT($AC65),INDIRECT($AD65),INDIRECT($AE65))</f>
        <v>7</v>
      </c>
      <c r="O65" s="172" t="n">
        <f aca="true">SUM(INDIRECT($AF65),INDIRECT($AG65),INDIRECT($AH65))</f>
        <v>4</v>
      </c>
      <c r="P65" s="172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72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73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139"/>
      <c r="T65" s="165" t="str">
        <f aca="false">IF(NOT(AND(ISNUMBER(C65),ISNUMBER(E65))),"XXX","")</f>
        <v/>
      </c>
      <c r="U65" s="166" t="n">
        <f aca="false">SUM(Y65,Z65,AA65)</f>
        <v>0</v>
      </c>
      <c r="V65" s="166"/>
      <c r="W65" s="166"/>
      <c r="X65" s="166"/>
      <c r="Y65" s="167" t="n">
        <f aca="false">IF(AND(ISNUMBER(RESULTADOS!C65),ISNUMBER(RESULTADOS!E65),ISNUMBER(C65),ISNUMBER(E65),C65=RESULTADOS!C65,E65=RESULTADOS!E65),2,0)</f>
        <v>0</v>
      </c>
      <c r="Z65" s="167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67" t="n">
        <f aca="false">IF(AND(ISNUMBER(RESULTADOS!C65),ISNUMBER(RESULTADOS!E65),ISNUMBER(C65),ISNUMBER(E65),AND(Z65=1,OR(C65=RESULTADOS!C65,E65=RESULTADOS!E65))),1,0)</f>
        <v>0</v>
      </c>
      <c r="AB65" s="142"/>
      <c r="AC65" s="142" t="s">
        <v>167</v>
      </c>
      <c r="AD65" s="142" t="s">
        <v>168</v>
      </c>
      <c r="AE65" s="142" t="s">
        <v>169</v>
      </c>
      <c r="AF65" s="142" t="str">
        <f aca="false">IF(ISNUMBER(FIND("C", AC65, 1)), SUBSTITUTE(AC65, "C", "E"), SUBSTITUTE(AC65, "E", "C"))</f>
        <v>C62</v>
      </c>
      <c r="AG65" s="142" t="str">
        <f aca="false">IF(ISNUMBER(FIND("C", AD65, 1)), SUBSTITUTE(AD65, "C", "E"), SUBSTITUTE(AD65, "E", "C"))</f>
        <v>E64</v>
      </c>
      <c r="AH65" s="14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174" t="s">
        <v>157</v>
      </c>
      <c r="C66" s="175" t="n">
        <v>2</v>
      </c>
      <c r="D66" s="172" t="s">
        <v>29</v>
      </c>
      <c r="E66" s="176" t="n">
        <v>3</v>
      </c>
      <c r="F66" s="177" t="s">
        <v>154</v>
      </c>
      <c r="G66" s="139"/>
      <c r="H66" s="178" t="n">
        <v>46199</v>
      </c>
      <c r="I66" s="179" t="n">
        <v>0.875</v>
      </c>
      <c r="J66" s="160"/>
      <c r="K66" s="180"/>
      <c r="S66" s="139"/>
      <c r="T66" s="165" t="str">
        <f aca="false">IF(NOT(AND(ISNUMBER(C66),ISNUMBER(E66))),"XXX","")</f>
        <v/>
      </c>
      <c r="U66" s="166" t="n">
        <f aca="false">SUM(Y66,Z66,AA66)</f>
        <v>0</v>
      </c>
      <c r="V66" s="166"/>
      <c r="W66" s="166"/>
      <c r="X66" s="166"/>
      <c r="Y66" s="167" t="n">
        <f aca="false">IF(AND(ISNUMBER(RESULTADOS!C66),ISNUMBER(RESULTADOS!E66),ISNUMBER(C66),ISNUMBER(E66),C66=RESULTADOS!C66,E66=RESULTADOS!E66),2,0)</f>
        <v>0</v>
      </c>
      <c r="Z66" s="167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67" t="n">
        <f aca="false">IF(AND(ISNUMBER(RESULTADOS!C66),ISNUMBER(RESULTADOS!E66),ISNUMBER(C66),ISNUMBER(E66),AND(Z66=1,OR(C66=RESULTADOS!C66,E66=RESULTADOS!E66))),1,0)</f>
        <v>0</v>
      </c>
      <c r="AB66" s="142"/>
      <c r="AC66" s="142"/>
      <c r="AD66" s="142"/>
      <c r="AE66" s="142"/>
      <c r="AF66" s="142"/>
      <c r="AG66" s="142"/>
      <c r="AH66" s="142"/>
    </row>
    <row r="67" customFormat="false" ht="12.75" hidden="false" customHeight="true" outlineLevel="0" collapsed="false"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</row>
    <row r="68" customFormat="false" ht="12.75" hidden="false" customHeight="true" outlineLevel="0" collapsed="false">
      <c r="B68" s="149" t="s">
        <v>170</v>
      </c>
      <c r="C68" s="149"/>
      <c r="D68" s="149"/>
      <c r="E68" s="149"/>
      <c r="F68" s="149"/>
      <c r="G68" s="139"/>
      <c r="H68" s="150" t="s">
        <v>26</v>
      </c>
      <c r="I68" s="151" t="s">
        <v>27</v>
      </c>
      <c r="J68" s="152"/>
      <c r="K68" s="139"/>
      <c r="L68" s="139"/>
      <c r="M68" s="139"/>
      <c r="N68" s="139"/>
      <c r="O68" s="139"/>
      <c r="P68" s="139"/>
      <c r="Q68" s="139"/>
      <c r="R68" s="139"/>
      <c r="S68" s="139"/>
      <c r="U68" s="153"/>
      <c r="V68" s="153"/>
      <c r="W68" s="153"/>
      <c r="X68" s="153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</row>
    <row r="69" customFormat="false" ht="12.75" hidden="false" customHeight="true" outlineLevel="0" collapsed="false">
      <c r="B69" s="154" t="s">
        <v>171</v>
      </c>
      <c r="C69" s="155" t="n">
        <v>3</v>
      </c>
      <c r="D69" s="153" t="s">
        <v>29</v>
      </c>
      <c r="E69" s="156" t="n">
        <v>1</v>
      </c>
      <c r="F69" s="168" t="s">
        <v>172</v>
      </c>
      <c r="G69" s="139"/>
      <c r="H69" s="158" t="n">
        <v>46189</v>
      </c>
      <c r="I69" s="159" t="n">
        <v>0.666666666666667</v>
      </c>
      <c r="J69" s="160"/>
      <c r="K69" s="161"/>
      <c r="L69" s="162" t="s">
        <v>31</v>
      </c>
      <c r="M69" s="162" t="s">
        <v>32</v>
      </c>
      <c r="N69" s="162" t="s">
        <v>33</v>
      </c>
      <c r="O69" s="162" t="s">
        <v>34</v>
      </c>
      <c r="P69" s="162" t="s">
        <v>35</v>
      </c>
      <c r="Q69" s="162" t="s">
        <v>36</v>
      </c>
      <c r="R69" s="163" t="s">
        <v>37</v>
      </c>
      <c r="S69" s="164"/>
      <c r="T69" s="165" t="str">
        <f aca="false">IF(NOT(AND(ISNUMBER(C69),ISNUMBER(E69))),"XXX","")</f>
        <v/>
      </c>
      <c r="U69" s="166" t="n">
        <f aca="false">SUM(Y69,Z69,AA69)</f>
        <v>0</v>
      </c>
      <c r="V69" s="166"/>
      <c r="W69" s="166"/>
      <c r="X69" s="166"/>
      <c r="Y69" s="167" t="n">
        <f aca="false">IF(AND(ISNUMBER(RESULTADOS!C69),ISNUMBER(RESULTADOS!E69),ISNUMBER(C69),ISNUMBER(E69),C69=RESULTADOS!C69,E69=RESULTADOS!E69),2,0)</f>
        <v>0</v>
      </c>
      <c r="Z69" s="167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67" t="n">
        <f aca="false">IF(AND(ISNUMBER(RESULTADOS!C69),ISNUMBER(RESULTADOS!E69),ISNUMBER(C69),ISNUMBER(E69),AND(Z69=1,OR(C69=RESULTADOS!C69,E69=RESULTADOS!E69))),1,0)</f>
        <v>0</v>
      </c>
      <c r="AB69" s="142"/>
      <c r="AC69" s="142"/>
      <c r="AD69" s="142"/>
      <c r="AE69" s="142"/>
      <c r="AF69" s="142"/>
      <c r="AG69" s="142"/>
      <c r="AH69" s="142"/>
    </row>
    <row r="70" customFormat="false" ht="12.75" hidden="false" customHeight="true" outlineLevel="0" collapsed="false">
      <c r="B70" s="154" t="s">
        <v>173</v>
      </c>
      <c r="C70" s="155" t="n">
        <v>0</v>
      </c>
      <c r="D70" s="153" t="s">
        <v>29</v>
      </c>
      <c r="E70" s="156" t="n">
        <v>1</v>
      </c>
      <c r="F70" s="168" t="s">
        <v>174</v>
      </c>
      <c r="G70" s="139"/>
      <c r="H70" s="158" t="n">
        <v>46189</v>
      </c>
      <c r="I70" s="159" t="n">
        <v>0.791666666666667</v>
      </c>
      <c r="J70" s="160"/>
      <c r="K70" s="183" t="s">
        <v>171</v>
      </c>
      <c r="L70" s="153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53" t="n">
        <f aca="false">N70-O70</f>
        <v>7</v>
      </c>
      <c r="N70" s="153" t="n">
        <f aca="true">SUM(INDIRECT($AC70),INDIRECT($AD70),INDIRECT($AE70))</f>
        <v>9</v>
      </c>
      <c r="O70" s="153" t="n">
        <f aca="true">SUM(INDIRECT($AF70),INDIRECT($AG70),INDIRECT($AH70))</f>
        <v>2</v>
      </c>
      <c r="P70" s="153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53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70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64"/>
      <c r="T70" s="165" t="str">
        <f aca="false">IF(NOT(AND(ISNUMBER(C70),ISNUMBER(E70))),"XXX","")</f>
        <v/>
      </c>
      <c r="U70" s="166" t="n">
        <f aca="false">SUM(Y70,Z70,AA70)</f>
        <v>0</v>
      </c>
      <c r="V70" s="166"/>
      <c r="W70" s="166"/>
      <c r="X70" s="166"/>
      <c r="Y70" s="167" t="n">
        <f aca="false">IF(AND(ISNUMBER(RESULTADOS!C70),ISNUMBER(RESULTADOS!E70),ISNUMBER(C70),ISNUMBER(E70),C70=RESULTADOS!C70,E70=RESULTADOS!E70),2,0)</f>
        <v>0</v>
      </c>
      <c r="Z70" s="167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67" t="n">
        <f aca="false">IF(AND(ISNUMBER(RESULTADOS!C70),ISNUMBER(RESULTADOS!E70),ISNUMBER(C70),ISNUMBER(E70),AND(Z70=1,OR(C70=RESULTADOS!C70,E70=RESULTADOS!E70))),1,0)</f>
        <v>0</v>
      </c>
      <c r="AB70" s="142"/>
      <c r="AC70" s="142" t="s">
        <v>175</v>
      </c>
      <c r="AD70" s="142" t="s">
        <v>176</v>
      </c>
      <c r="AE70" s="142" t="s">
        <v>177</v>
      </c>
      <c r="AF70" s="142" t="str">
        <f aca="false">IF(ISNUMBER(FIND("C", AC70, 1)), SUBSTITUTE(AC70, "C", "E"), SUBSTITUTE(AC70, "E", "C"))</f>
        <v>E69</v>
      </c>
      <c r="AG70" s="142" t="str">
        <f aca="false">IF(ISNUMBER(FIND("C", AD70, 1)), SUBSTITUTE(AD70, "C", "E"), SUBSTITUTE(AD70, "E", "C"))</f>
        <v>E71</v>
      </c>
      <c r="AH70" s="14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54" t="s">
        <v>171</v>
      </c>
      <c r="C71" s="155" t="n">
        <v>3</v>
      </c>
      <c r="D71" s="153" t="s">
        <v>29</v>
      </c>
      <c r="E71" s="156" t="n">
        <v>0</v>
      </c>
      <c r="F71" s="168" t="s">
        <v>173</v>
      </c>
      <c r="G71" s="139"/>
      <c r="H71" s="158" t="n">
        <v>46195</v>
      </c>
      <c r="I71" s="159" t="n">
        <v>0.75</v>
      </c>
      <c r="J71" s="160"/>
      <c r="K71" s="183" t="s">
        <v>173</v>
      </c>
      <c r="L71" s="153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53" t="n">
        <f aca="false">N71-O71</f>
        <v>-6</v>
      </c>
      <c r="N71" s="153" t="n">
        <f aca="true">SUM(INDIRECT($AC71),INDIRECT($AD71),INDIRECT($AE71))</f>
        <v>0</v>
      </c>
      <c r="O71" s="153" t="n">
        <f aca="true">SUM(INDIRECT($AF71),INDIRECT($AG71),INDIRECT($AH71))</f>
        <v>6</v>
      </c>
      <c r="P71" s="153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53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70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39"/>
      <c r="T71" s="165" t="str">
        <f aca="false">IF(NOT(AND(ISNUMBER(C71),ISNUMBER(E71))),"XXX","")</f>
        <v/>
      </c>
      <c r="U71" s="166" t="n">
        <f aca="false">SUM(Y71,Z71,AA71)</f>
        <v>0</v>
      </c>
      <c r="V71" s="166"/>
      <c r="W71" s="166"/>
      <c r="X71" s="166"/>
      <c r="Y71" s="167" t="n">
        <f aca="false">IF(AND(ISNUMBER(RESULTADOS!C71),ISNUMBER(RESULTADOS!E71),ISNUMBER(C71),ISNUMBER(E71),C71=RESULTADOS!C71,E71=RESULTADOS!E71),2,0)</f>
        <v>0</v>
      </c>
      <c r="Z71" s="167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67" t="n">
        <f aca="false">IF(AND(ISNUMBER(RESULTADOS!C71),ISNUMBER(RESULTADOS!E71),ISNUMBER(C71),ISNUMBER(E71),AND(Z71=1,OR(C71=RESULTADOS!C71,E71=RESULTADOS!E71))),1,0)</f>
        <v>0</v>
      </c>
      <c r="AB71" s="142"/>
      <c r="AC71" s="142" t="s">
        <v>178</v>
      </c>
      <c r="AD71" s="142" t="s">
        <v>179</v>
      </c>
      <c r="AE71" s="142" t="s">
        <v>180</v>
      </c>
      <c r="AF71" s="142" t="str">
        <f aca="false">IF(ISNUMBER(FIND("C", AC71, 1)), SUBSTITUTE(AC71, "C", "E"), SUBSTITUTE(AC71, "E", "C"))</f>
        <v>E70</v>
      </c>
      <c r="AG71" s="142" t="str">
        <f aca="false">IF(ISNUMBER(FIND("C", AD71, 1)), SUBSTITUTE(AD71, "C", "E"), SUBSTITUTE(AD71, "E", "C"))</f>
        <v>C71</v>
      </c>
      <c r="AH71" s="14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54" t="s">
        <v>174</v>
      </c>
      <c r="C72" s="155" t="n">
        <v>2</v>
      </c>
      <c r="D72" s="153" t="s">
        <v>29</v>
      </c>
      <c r="E72" s="156" t="n">
        <v>1</v>
      </c>
      <c r="F72" s="168" t="s">
        <v>172</v>
      </c>
      <c r="G72" s="139"/>
      <c r="H72" s="158" t="n">
        <v>46195</v>
      </c>
      <c r="I72" s="159" t="n">
        <v>0.875</v>
      </c>
      <c r="J72" s="160"/>
      <c r="K72" s="183" t="s">
        <v>174</v>
      </c>
      <c r="L72" s="153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53" t="n">
        <f aca="false">N72-O72</f>
        <v>0</v>
      </c>
      <c r="N72" s="153" t="n">
        <f aca="true">SUM(INDIRECT($AC72),INDIRECT($AD72),INDIRECT($AE72))</f>
        <v>4</v>
      </c>
      <c r="O72" s="153" t="n">
        <f aca="true">SUM(INDIRECT($AF72),INDIRECT($AG72),INDIRECT($AH72))</f>
        <v>4</v>
      </c>
      <c r="P72" s="153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53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70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139"/>
      <c r="T72" s="165" t="str">
        <f aca="false">IF(NOT(AND(ISNUMBER(C72),ISNUMBER(E72))),"XXX","")</f>
        <v/>
      </c>
      <c r="U72" s="166" t="n">
        <f aca="false">SUM(Y72,Z72,AA72)</f>
        <v>0</v>
      </c>
      <c r="V72" s="166"/>
      <c r="W72" s="166"/>
      <c r="X72" s="166"/>
      <c r="Y72" s="167" t="n">
        <f aca="false">IF(AND(ISNUMBER(RESULTADOS!C72),ISNUMBER(RESULTADOS!E72),ISNUMBER(C72),ISNUMBER(E72),C72=RESULTADOS!C72,E72=RESULTADOS!E72),2,0)</f>
        <v>0</v>
      </c>
      <c r="Z72" s="167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67" t="n">
        <f aca="false">IF(AND(ISNUMBER(RESULTADOS!C72),ISNUMBER(RESULTADOS!E72),ISNUMBER(C72),ISNUMBER(E72),AND(Z72=1,OR(C72=RESULTADOS!C72,E72=RESULTADOS!E72))),1,0)</f>
        <v>0</v>
      </c>
      <c r="AB72" s="142"/>
      <c r="AC72" s="142" t="s">
        <v>181</v>
      </c>
      <c r="AD72" s="142" t="s">
        <v>182</v>
      </c>
      <c r="AE72" s="142" t="s">
        <v>183</v>
      </c>
      <c r="AF72" s="142" t="str">
        <f aca="false">IF(ISNUMBER(FIND("C", AC72, 1)), SUBSTITUTE(AC72, "C", "E"), SUBSTITUTE(AC72, "E", "C"))</f>
        <v>C70</v>
      </c>
      <c r="AG72" s="142" t="str">
        <f aca="false">IF(ISNUMBER(FIND("C", AD72, 1)), SUBSTITUTE(AD72, "C", "E"), SUBSTITUTE(AD72, "E", "C"))</f>
        <v>E72</v>
      </c>
      <c r="AH72" s="14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54" t="s">
        <v>172</v>
      </c>
      <c r="C73" s="155" t="n">
        <v>2</v>
      </c>
      <c r="D73" s="153" t="s">
        <v>29</v>
      </c>
      <c r="E73" s="156" t="n">
        <v>0</v>
      </c>
      <c r="F73" s="168" t="s">
        <v>173</v>
      </c>
      <c r="G73" s="139"/>
      <c r="H73" s="158" t="n">
        <v>46199</v>
      </c>
      <c r="I73" s="159" t="n">
        <v>0.666666666666667</v>
      </c>
      <c r="J73" s="160"/>
      <c r="K73" s="184" t="s">
        <v>172</v>
      </c>
      <c r="L73" s="172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172" t="n">
        <f aca="false">N73-O73</f>
        <v>-1</v>
      </c>
      <c r="N73" s="172" t="n">
        <f aca="true">SUM(INDIRECT($AC73),INDIRECT($AD73),INDIRECT($AE73))</f>
        <v>4</v>
      </c>
      <c r="O73" s="172" t="n">
        <f aca="true">SUM(INDIRECT($AF73),INDIRECT($AG73),INDIRECT($AH73))</f>
        <v>5</v>
      </c>
      <c r="P73" s="172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72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73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139"/>
      <c r="T73" s="165" t="str">
        <f aca="false">IF(NOT(AND(ISNUMBER(C73),ISNUMBER(E73))),"XXX","")</f>
        <v/>
      </c>
      <c r="U73" s="166" t="n">
        <f aca="false">SUM(Y73,Z73,AA73)</f>
        <v>0</v>
      </c>
      <c r="V73" s="166"/>
      <c r="W73" s="166"/>
      <c r="X73" s="166"/>
      <c r="Y73" s="167" t="n">
        <f aca="false">IF(AND(ISNUMBER(RESULTADOS!C73),ISNUMBER(RESULTADOS!E73),ISNUMBER(C73),ISNUMBER(E73),C73=RESULTADOS!C73,E73=RESULTADOS!E73),2,0)</f>
        <v>0</v>
      </c>
      <c r="Z73" s="167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67" t="n">
        <f aca="false">IF(AND(ISNUMBER(RESULTADOS!C73),ISNUMBER(RESULTADOS!E73),ISNUMBER(C73),ISNUMBER(E73),AND(Z73=1,OR(C73=RESULTADOS!C73,E73=RESULTADOS!E73))),1,0)</f>
        <v>0</v>
      </c>
      <c r="AB73" s="142"/>
      <c r="AC73" s="142" t="s">
        <v>184</v>
      </c>
      <c r="AD73" s="142" t="s">
        <v>185</v>
      </c>
      <c r="AE73" s="142" t="s">
        <v>186</v>
      </c>
      <c r="AF73" s="142" t="str">
        <f aca="false">IF(ISNUMBER(FIND("C", AC73, 1)), SUBSTITUTE(AC73, "C", "E"), SUBSTITUTE(AC73, "E", "C"))</f>
        <v>C69</v>
      </c>
      <c r="AG73" s="142" t="str">
        <f aca="false">IF(ISNUMBER(FIND("C", AD73, 1)), SUBSTITUTE(AD73, "C", "E"), SUBSTITUTE(AD73, "E", "C"))</f>
        <v>C72</v>
      </c>
      <c r="AH73" s="14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174" t="s">
        <v>174</v>
      </c>
      <c r="C74" s="175" t="n">
        <v>1</v>
      </c>
      <c r="D74" s="172" t="s">
        <v>29</v>
      </c>
      <c r="E74" s="176" t="n">
        <v>3</v>
      </c>
      <c r="F74" s="177" t="s">
        <v>171</v>
      </c>
      <c r="G74" s="139"/>
      <c r="H74" s="178" t="n">
        <v>46199</v>
      </c>
      <c r="I74" s="179" t="n">
        <v>0.666666666666667</v>
      </c>
      <c r="J74" s="160"/>
      <c r="K74" s="180"/>
      <c r="S74" s="139"/>
      <c r="T74" s="165" t="str">
        <f aca="false">IF(NOT(AND(ISNUMBER(C74),ISNUMBER(E74))),"XXX","")</f>
        <v/>
      </c>
      <c r="U74" s="166" t="n">
        <f aca="false">SUM(Y74,Z74,AA74)</f>
        <v>0</v>
      </c>
      <c r="V74" s="166"/>
      <c r="W74" s="166"/>
      <c r="X74" s="166"/>
      <c r="Y74" s="167" t="n">
        <f aca="false">IF(AND(ISNUMBER(RESULTADOS!C74),ISNUMBER(RESULTADOS!E74),ISNUMBER(C74),ISNUMBER(E74),C74=RESULTADOS!C74,E74=RESULTADOS!E74),2,0)</f>
        <v>0</v>
      </c>
      <c r="Z74" s="167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67" t="n">
        <f aca="false">IF(AND(ISNUMBER(RESULTADOS!C74),ISNUMBER(RESULTADOS!E74),ISNUMBER(C74),ISNUMBER(E74),AND(Z74=1,OR(C74=RESULTADOS!C74,E74=RESULTADOS!E74))),1,0)</f>
        <v>0</v>
      </c>
      <c r="AB74" s="142"/>
      <c r="AC74" s="142"/>
      <c r="AD74" s="142"/>
      <c r="AE74" s="142"/>
      <c r="AF74" s="142"/>
      <c r="AG74" s="142"/>
      <c r="AH74" s="142"/>
    </row>
    <row r="75" customFormat="false" ht="12.75" hidden="false" customHeight="true" outlineLevel="0" collapsed="false">
      <c r="B75" s="180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U75" s="139"/>
      <c r="V75" s="139"/>
      <c r="W75" s="139"/>
      <c r="X75" s="139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</row>
    <row r="76" customFormat="false" ht="12.75" hidden="false" customHeight="true" outlineLevel="0" collapsed="false">
      <c r="B76" s="149" t="s">
        <v>187</v>
      </c>
      <c r="C76" s="149"/>
      <c r="D76" s="149"/>
      <c r="E76" s="149"/>
      <c r="F76" s="149"/>
      <c r="G76" s="139"/>
      <c r="H76" s="150" t="s">
        <v>26</v>
      </c>
      <c r="I76" s="151" t="s">
        <v>27</v>
      </c>
      <c r="J76" s="152"/>
      <c r="K76" s="139"/>
      <c r="L76" s="139"/>
      <c r="M76" s="139"/>
      <c r="N76" s="139"/>
      <c r="O76" s="139"/>
      <c r="P76" s="139"/>
      <c r="Q76" s="139"/>
      <c r="R76" s="139"/>
      <c r="S76" s="139"/>
      <c r="U76" s="153"/>
      <c r="V76" s="153"/>
      <c r="W76" s="153"/>
      <c r="X76" s="153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</row>
    <row r="77" customFormat="false" ht="12.75" hidden="false" customHeight="true" outlineLevel="0" collapsed="false">
      <c r="B77" s="154" t="s">
        <v>188</v>
      </c>
      <c r="C77" s="155" t="n">
        <v>3</v>
      </c>
      <c r="D77" s="153" t="s">
        <v>29</v>
      </c>
      <c r="E77" s="156" t="n">
        <v>0</v>
      </c>
      <c r="F77" s="168" t="s">
        <v>189</v>
      </c>
      <c r="G77" s="139"/>
      <c r="H77" s="158" t="n">
        <v>46189</v>
      </c>
      <c r="I77" s="159" t="n">
        <v>0.916666666666667</v>
      </c>
      <c r="J77" s="160"/>
      <c r="K77" s="161"/>
      <c r="L77" s="162" t="s">
        <v>31</v>
      </c>
      <c r="M77" s="162" t="s">
        <v>32</v>
      </c>
      <c r="N77" s="162" t="s">
        <v>33</v>
      </c>
      <c r="O77" s="162" t="s">
        <v>34</v>
      </c>
      <c r="P77" s="162" t="s">
        <v>35</v>
      </c>
      <c r="Q77" s="162" t="s">
        <v>36</v>
      </c>
      <c r="R77" s="163" t="s">
        <v>37</v>
      </c>
      <c r="S77" s="164"/>
      <c r="T77" s="165" t="str">
        <f aca="false">IF(NOT(AND(ISNUMBER(C77),ISNUMBER(E77))),"XXX","")</f>
        <v/>
      </c>
      <c r="U77" s="166" t="n">
        <f aca="false">SUM(Y77,Z77,AA77)</f>
        <v>0</v>
      </c>
      <c r="V77" s="166"/>
      <c r="W77" s="166"/>
      <c r="X77" s="166"/>
      <c r="Y77" s="167" t="n">
        <f aca="false">IF(AND(ISNUMBER(RESULTADOS!C77),ISNUMBER(RESULTADOS!E77),ISNUMBER(C77),ISNUMBER(E77),C77=RESULTADOS!C77,E77=RESULTADOS!E77),2,0)</f>
        <v>0</v>
      </c>
      <c r="Z77" s="167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67" t="n">
        <f aca="false">IF(AND(ISNUMBER(RESULTADOS!C77),ISNUMBER(RESULTADOS!E77),ISNUMBER(C77),ISNUMBER(E77),AND(Z77=1,OR(C77=RESULTADOS!C77,E77=RESULTADOS!E77))),1,0)</f>
        <v>0</v>
      </c>
      <c r="AB77" s="142"/>
      <c r="AC77" s="142"/>
      <c r="AD77" s="142"/>
      <c r="AE77" s="142"/>
      <c r="AF77" s="142"/>
      <c r="AG77" s="142"/>
      <c r="AH77" s="142"/>
    </row>
    <row r="78" customFormat="false" ht="12.75" hidden="false" customHeight="true" outlineLevel="0" collapsed="false">
      <c r="B78" s="154" t="s">
        <v>190</v>
      </c>
      <c r="C78" s="155" t="n">
        <v>1</v>
      </c>
      <c r="D78" s="153" t="s">
        <v>29</v>
      </c>
      <c r="E78" s="156" t="n">
        <v>0</v>
      </c>
      <c r="F78" s="168" t="s">
        <v>191</v>
      </c>
      <c r="G78" s="139"/>
      <c r="H78" s="158" t="n">
        <v>46190</v>
      </c>
      <c r="I78" s="159" t="n">
        <v>0.0416666666666667</v>
      </c>
      <c r="J78" s="160"/>
      <c r="K78" s="183" t="s">
        <v>188</v>
      </c>
      <c r="L78" s="153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53" t="n">
        <f aca="false">N78-O78</f>
        <v>8</v>
      </c>
      <c r="N78" s="153" t="n">
        <f aca="true">SUM(INDIRECT($AC78),INDIRECT($AD78),INDIRECT($AE78))</f>
        <v>8</v>
      </c>
      <c r="O78" s="153" t="n">
        <f aca="true">SUM(INDIRECT($AF78),INDIRECT($AG78),INDIRECT($AH78))</f>
        <v>0</v>
      </c>
      <c r="P78" s="153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53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70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64"/>
      <c r="T78" s="165" t="str">
        <f aca="false">IF(NOT(AND(ISNUMBER(C78),ISNUMBER(E78))),"XXX","")</f>
        <v/>
      </c>
      <c r="U78" s="166" t="n">
        <f aca="false">SUM(Y78,Z78,AA78)</f>
        <v>0</v>
      </c>
      <c r="V78" s="166"/>
      <c r="W78" s="166"/>
      <c r="X78" s="166"/>
      <c r="Y78" s="167" t="n">
        <f aca="false">IF(AND(ISNUMBER(RESULTADOS!C78),ISNUMBER(RESULTADOS!E78),ISNUMBER(C78),ISNUMBER(E78),C78=RESULTADOS!C78,E78=RESULTADOS!E78),2,0)</f>
        <v>0</v>
      </c>
      <c r="Z78" s="167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67" t="n">
        <f aca="false">IF(AND(ISNUMBER(RESULTADOS!C78),ISNUMBER(RESULTADOS!E78),ISNUMBER(C78),ISNUMBER(E78),AND(Z78=1,OR(C78=RESULTADOS!C78,E78=RESULTADOS!E78))),1,0)</f>
        <v>0</v>
      </c>
      <c r="AB78" s="142"/>
      <c r="AC78" s="142" t="s">
        <v>192</v>
      </c>
      <c r="AD78" s="142" t="s">
        <v>193</v>
      </c>
      <c r="AE78" s="142" t="s">
        <v>194</v>
      </c>
      <c r="AF78" s="142" t="str">
        <f aca="false">IF(ISNUMBER(FIND("C", AC78, 1)), SUBSTITUTE(AC78, "C", "E"), SUBSTITUTE(AC78, "E", "C"))</f>
        <v>E77</v>
      </c>
      <c r="AG78" s="142" t="str">
        <f aca="false">IF(ISNUMBER(FIND("C", AD78, 1)), SUBSTITUTE(AD78, "C", "E"), SUBSTITUTE(AD78, "E", "C"))</f>
        <v>E79</v>
      </c>
      <c r="AH78" s="14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54" t="s">
        <v>188</v>
      </c>
      <c r="C79" s="155" t="n">
        <v>2</v>
      </c>
      <c r="D79" s="153" t="s">
        <v>29</v>
      </c>
      <c r="E79" s="156" t="n">
        <v>0</v>
      </c>
      <c r="F79" s="168" t="s">
        <v>190</v>
      </c>
      <c r="G79" s="139"/>
      <c r="H79" s="158" t="n">
        <v>46195</v>
      </c>
      <c r="I79" s="159" t="n">
        <v>0.583333333333333</v>
      </c>
      <c r="J79" s="160"/>
      <c r="K79" s="183" t="s">
        <v>189</v>
      </c>
      <c r="L79" s="153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53" t="n">
        <f aca="false">N79-O79</f>
        <v>-6</v>
      </c>
      <c r="N79" s="153" t="n">
        <f aca="true">SUM(INDIRECT($AC79),INDIRECT($AD79),INDIRECT($AE79))</f>
        <v>0</v>
      </c>
      <c r="O79" s="153" t="n">
        <f aca="true">SUM(INDIRECT($AF79),INDIRECT($AG79),INDIRECT($AH79))</f>
        <v>6</v>
      </c>
      <c r="P79" s="153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53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70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139"/>
      <c r="T79" s="165" t="str">
        <f aca="false">IF(NOT(AND(ISNUMBER(C79),ISNUMBER(E79))),"XXX","")</f>
        <v/>
      </c>
      <c r="U79" s="166" t="n">
        <f aca="false">SUM(Y79,Z79,AA79)</f>
        <v>0</v>
      </c>
      <c r="V79" s="166"/>
      <c r="W79" s="166"/>
      <c r="X79" s="166"/>
      <c r="Y79" s="167" t="n">
        <f aca="false">IF(AND(ISNUMBER(RESULTADOS!C79),ISNUMBER(RESULTADOS!E79),ISNUMBER(C79),ISNUMBER(E79),C79=RESULTADOS!C79,E79=RESULTADOS!E79),2,0)</f>
        <v>0</v>
      </c>
      <c r="Z79" s="167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67" t="n">
        <f aca="false">IF(AND(ISNUMBER(RESULTADOS!C79),ISNUMBER(RESULTADOS!E79),ISNUMBER(C79),ISNUMBER(E79),AND(Z79=1,OR(C79=RESULTADOS!C79,E79=RESULTADOS!E79))),1,0)</f>
        <v>0</v>
      </c>
      <c r="AB79" s="142"/>
      <c r="AC79" s="142" t="s">
        <v>195</v>
      </c>
      <c r="AD79" s="142" t="s">
        <v>196</v>
      </c>
      <c r="AE79" s="142" t="s">
        <v>197</v>
      </c>
      <c r="AF79" s="142" t="str">
        <f aca="false">IF(ISNUMBER(FIND("C", AC79, 1)), SUBSTITUTE(AC79, "C", "E"), SUBSTITUTE(AC79, "E", "C"))</f>
        <v>C77</v>
      </c>
      <c r="AG79" s="142" t="str">
        <f aca="false">IF(ISNUMBER(FIND("C", AD79, 1)), SUBSTITUTE(AD79, "C", "E"), SUBSTITUTE(AD79, "E", "C"))</f>
        <v>C80</v>
      </c>
      <c r="AH79" s="14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54" t="s">
        <v>191</v>
      </c>
      <c r="C80" s="155" t="n">
        <v>0</v>
      </c>
      <c r="D80" s="153" t="s">
        <v>29</v>
      </c>
      <c r="E80" s="156" t="n">
        <v>0</v>
      </c>
      <c r="F80" s="168" t="s">
        <v>189</v>
      </c>
      <c r="G80" s="139"/>
      <c r="H80" s="158" t="n">
        <v>46196</v>
      </c>
      <c r="I80" s="159" t="n">
        <v>0</v>
      </c>
      <c r="J80" s="160"/>
      <c r="K80" s="183" t="s">
        <v>191</v>
      </c>
      <c r="L80" s="153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53" t="n">
        <f aca="false">N80-O80</f>
        <v>-4</v>
      </c>
      <c r="N80" s="153" t="n">
        <f aca="true">SUM(INDIRECT($AC80),INDIRECT($AD80),INDIRECT($AE80))</f>
        <v>0</v>
      </c>
      <c r="O80" s="153" t="n">
        <f aca="true">SUM(INDIRECT($AF80),INDIRECT($AG80),INDIRECT($AH80))</f>
        <v>4</v>
      </c>
      <c r="P80" s="153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53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170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139"/>
      <c r="T80" s="165" t="str">
        <f aca="false">IF(NOT(AND(ISNUMBER(C80),ISNUMBER(E80))),"XXX","")</f>
        <v/>
      </c>
      <c r="U80" s="166" t="n">
        <f aca="false">SUM(Y80,Z80,AA80)</f>
        <v>0</v>
      </c>
      <c r="V80" s="166"/>
      <c r="W80" s="166"/>
      <c r="X80" s="166"/>
      <c r="Y80" s="167" t="n">
        <f aca="false">IF(AND(ISNUMBER(RESULTADOS!C80),ISNUMBER(RESULTADOS!E80),ISNUMBER(C80),ISNUMBER(E80),C80=RESULTADOS!C80,E80=RESULTADOS!E80),2,0)</f>
        <v>0</v>
      </c>
      <c r="Z80" s="167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67" t="n">
        <f aca="false">IF(AND(ISNUMBER(RESULTADOS!C80),ISNUMBER(RESULTADOS!E80),ISNUMBER(C80),ISNUMBER(E80),AND(Z80=1,OR(C80=RESULTADOS!C80,E80=RESULTADOS!E80))),1,0)</f>
        <v>0</v>
      </c>
      <c r="AB80" s="142"/>
      <c r="AC80" s="142" t="s">
        <v>198</v>
      </c>
      <c r="AD80" s="142" t="s">
        <v>199</v>
      </c>
      <c r="AE80" s="142" t="s">
        <v>200</v>
      </c>
      <c r="AF80" s="142" t="str">
        <f aca="false">IF(ISNUMBER(FIND("C", AC80, 1)), SUBSTITUTE(AC80, "C", "E"), SUBSTITUTE(AC80, "E", "C"))</f>
        <v>C78</v>
      </c>
      <c r="AG80" s="142" t="str">
        <f aca="false">IF(ISNUMBER(FIND("C", AD80, 1)), SUBSTITUTE(AD80, "C", "E"), SUBSTITUTE(AD80, "E", "C"))</f>
        <v>E80</v>
      </c>
      <c r="AH80" s="14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54" t="s">
        <v>191</v>
      </c>
      <c r="C81" s="155" t="n">
        <v>0</v>
      </c>
      <c r="D81" s="153" t="s">
        <v>29</v>
      </c>
      <c r="E81" s="156" t="n">
        <v>3</v>
      </c>
      <c r="F81" s="168" t="s">
        <v>188</v>
      </c>
      <c r="G81" s="139"/>
      <c r="H81" s="158" t="n">
        <v>46200</v>
      </c>
      <c r="I81" s="159" t="n">
        <v>0.958333333333333</v>
      </c>
      <c r="J81" s="160"/>
      <c r="K81" s="184" t="s">
        <v>190</v>
      </c>
      <c r="L81" s="172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172" t="n">
        <f aca="false">N81-O81</f>
        <v>2</v>
      </c>
      <c r="N81" s="172" t="n">
        <f aca="true">SUM(INDIRECT($AC81),INDIRECT($AD81),INDIRECT($AE81))</f>
        <v>4</v>
      </c>
      <c r="O81" s="172" t="n">
        <f aca="true">SUM(INDIRECT($AF81),INDIRECT($AG81),INDIRECT($AH81))</f>
        <v>2</v>
      </c>
      <c r="P81" s="172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72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173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139"/>
      <c r="T81" s="165" t="str">
        <f aca="false">IF(NOT(AND(ISNUMBER(C81),ISNUMBER(E81))),"XXX","")</f>
        <v/>
      </c>
      <c r="U81" s="166" t="n">
        <f aca="false">SUM(Y81,Z81,AA81)</f>
        <v>0</v>
      </c>
      <c r="V81" s="166"/>
      <c r="W81" s="166"/>
      <c r="X81" s="166"/>
      <c r="Y81" s="167" t="n">
        <f aca="false">IF(AND(ISNUMBER(RESULTADOS!C81),ISNUMBER(RESULTADOS!E81),ISNUMBER(C81),ISNUMBER(E81),C81=RESULTADOS!C81,E81=RESULTADOS!E81),2,0)</f>
        <v>0</v>
      </c>
      <c r="Z81" s="167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67" t="n">
        <f aca="false">IF(AND(ISNUMBER(RESULTADOS!C81),ISNUMBER(RESULTADOS!E81),ISNUMBER(C81),ISNUMBER(E81),AND(Z81=1,OR(C81=RESULTADOS!C81,E81=RESULTADOS!E81))),1,0)</f>
        <v>0</v>
      </c>
      <c r="AB81" s="142"/>
      <c r="AC81" s="142" t="s">
        <v>201</v>
      </c>
      <c r="AD81" s="142" t="s">
        <v>202</v>
      </c>
      <c r="AE81" s="142" t="s">
        <v>203</v>
      </c>
      <c r="AF81" s="142" t="str">
        <f aca="false">IF(ISNUMBER(FIND("C", AC81, 1)), SUBSTITUTE(AC81, "C", "E"), SUBSTITUTE(AC81, "E", "C"))</f>
        <v>E78</v>
      </c>
      <c r="AG81" s="142" t="str">
        <f aca="false">IF(ISNUMBER(FIND("C", AD81, 1)), SUBSTITUTE(AD81, "C", "E"), SUBSTITUTE(AD81, "E", "C"))</f>
        <v>C79</v>
      </c>
      <c r="AH81" s="14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174" t="s">
        <v>189</v>
      </c>
      <c r="C82" s="175" t="n">
        <v>0</v>
      </c>
      <c r="D82" s="172" t="s">
        <v>29</v>
      </c>
      <c r="E82" s="176" t="n">
        <v>3</v>
      </c>
      <c r="F82" s="177" t="s">
        <v>190</v>
      </c>
      <c r="G82" s="139"/>
      <c r="H82" s="178" t="n">
        <v>46200</v>
      </c>
      <c r="I82" s="179" t="n">
        <v>0.958333333333333</v>
      </c>
      <c r="J82" s="160"/>
      <c r="K82" s="180"/>
      <c r="S82" s="139"/>
      <c r="T82" s="165" t="str">
        <f aca="false">IF(NOT(AND(ISNUMBER(C82),ISNUMBER(E82))),"XXX","")</f>
        <v/>
      </c>
      <c r="U82" s="166" t="n">
        <f aca="false">SUM(Y82,Z82,AA82)</f>
        <v>0</v>
      </c>
      <c r="V82" s="166"/>
      <c r="W82" s="166"/>
      <c r="X82" s="166"/>
      <c r="Y82" s="167" t="n">
        <f aca="false">IF(AND(ISNUMBER(RESULTADOS!C82),ISNUMBER(RESULTADOS!E82),ISNUMBER(C82),ISNUMBER(E82),C82=RESULTADOS!C82,E82=RESULTADOS!E82),2,0)</f>
        <v>0</v>
      </c>
      <c r="Z82" s="167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67" t="n">
        <f aca="false">IF(AND(ISNUMBER(RESULTADOS!C82),ISNUMBER(RESULTADOS!E82),ISNUMBER(C82),ISNUMBER(E82),AND(Z82=1,OR(C82=RESULTADOS!C82,E82=RESULTADOS!E82))),1,0)</f>
        <v>0</v>
      </c>
      <c r="AB82" s="142"/>
      <c r="AC82" s="142"/>
      <c r="AD82" s="142"/>
      <c r="AE82" s="142"/>
      <c r="AF82" s="142"/>
      <c r="AG82" s="142"/>
      <c r="AH82" s="142"/>
    </row>
    <row r="83" customFormat="false" ht="12.75" hidden="false" customHeight="true" outlineLevel="0" collapsed="false">
      <c r="B83" s="180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U83" s="139"/>
      <c r="V83" s="139"/>
      <c r="W83" s="139"/>
      <c r="X83" s="139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</row>
    <row r="84" customFormat="false" ht="12.75" hidden="false" customHeight="true" outlineLevel="0" collapsed="false">
      <c r="B84" s="149" t="s">
        <v>204</v>
      </c>
      <c r="C84" s="149"/>
      <c r="D84" s="149"/>
      <c r="E84" s="149"/>
      <c r="F84" s="149"/>
      <c r="G84" s="139"/>
      <c r="H84" s="150" t="s">
        <v>26</v>
      </c>
      <c r="I84" s="151" t="s">
        <v>27</v>
      </c>
      <c r="J84" s="152"/>
      <c r="K84" s="139"/>
      <c r="L84" s="139"/>
      <c r="M84" s="139"/>
      <c r="N84" s="139"/>
      <c r="O84" s="139"/>
      <c r="P84" s="139"/>
      <c r="Q84" s="139"/>
      <c r="R84" s="139"/>
      <c r="S84" s="139"/>
      <c r="U84" s="153"/>
      <c r="V84" s="153"/>
      <c r="W84" s="153"/>
      <c r="X84" s="153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</row>
    <row r="85" customFormat="false" ht="12.75" hidden="false" customHeight="true" outlineLevel="0" collapsed="false">
      <c r="B85" s="154" t="s">
        <v>205</v>
      </c>
      <c r="C85" s="155" t="n">
        <v>2</v>
      </c>
      <c r="D85" s="153" t="s">
        <v>29</v>
      </c>
      <c r="E85" s="156" t="n">
        <v>0</v>
      </c>
      <c r="F85" s="168" t="s">
        <v>206</v>
      </c>
      <c r="G85" s="139"/>
      <c r="H85" s="158" t="n">
        <v>46190</v>
      </c>
      <c r="I85" s="159" t="n">
        <v>0.583333333333333</v>
      </c>
      <c r="J85" s="160"/>
      <c r="K85" s="161"/>
      <c r="L85" s="162" t="s">
        <v>31</v>
      </c>
      <c r="M85" s="162" t="s">
        <v>32</v>
      </c>
      <c r="N85" s="162" t="s">
        <v>33</v>
      </c>
      <c r="O85" s="162" t="s">
        <v>34</v>
      </c>
      <c r="P85" s="162" t="s">
        <v>35</v>
      </c>
      <c r="Q85" s="162" t="s">
        <v>36</v>
      </c>
      <c r="R85" s="163" t="s">
        <v>37</v>
      </c>
      <c r="S85" s="164"/>
      <c r="T85" s="165" t="str">
        <f aca="false">IF(NOT(AND(ISNUMBER(C85),ISNUMBER(E85))),"XXX","")</f>
        <v/>
      </c>
      <c r="U85" s="166" t="n">
        <f aca="false">SUM(Y85,Z85,AA85)</f>
        <v>0</v>
      </c>
      <c r="V85" s="166"/>
      <c r="W85" s="166"/>
      <c r="X85" s="166"/>
      <c r="Y85" s="167" t="n">
        <f aca="false">IF(AND(ISNUMBER(RESULTADOS!C85),ISNUMBER(RESULTADOS!E85),ISNUMBER(C85),ISNUMBER(E85),C85=RESULTADOS!C85,E85=RESULTADOS!E85),2,0)</f>
        <v>0</v>
      </c>
      <c r="Z85" s="167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67" t="n">
        <f aca="false">IF(AND(ISNUMBER(RESULTADOS!C85),ISNUMBER(RESULTADOS!E85),ISNUMBER(C85),ISNUMBER(E85),AND(Z85=1,OR(C85=RESULTADOS!C85,E85=RESULTADOS!E85))),1,0)</f>
        <v>0</v>
      </c>
      <c r="AB85" s="142"/>
      <c r="AC85" s="142"/>
      <c r="AD85" s="142"/>
      <c r="AE85" s="142"/>
      <c r="AF85" s="142"/>
      <c r="AG85" s="142"/>
      <c r="AH85" s="142"/>
    </row>
    <row r="86" customFormat="false" ht="12.75" hidden="false" customHeight="true" outlineLevel="0" collapsed="false">
      <c r="B86" s="154" t="s">
        <v>207</v>
      </c>
      <c r="C86" s="155" t="n">
        <v>0</v>
      </c>
      <c r="D86" s="153" t="s">
        <v>29</v>
      </c>
      <c r="E86" s="156" t="n">
        <v>3</v>
      </c>
      <c r="F86" s="168" t="s">
        <v>208</v>
      </c>
      <c r="G86" s="139"/>
      <c r="H86" s="158" t="n">
        <v>46190</v>
      </c>
      <c r="I86" s="159" t="n">
        <v>0.958333333333333</v>
      </c>
      <c r="J86" s="160"/>
      <c r="K86" s="183" t="s">
        <v>208</v>
      </c>
      <c r="L86" s="153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53" t="n">
        <f aca="false">N86-O86</f>
        <v>5</v>
      </c>
      <c r="N86" s="153" t="n">
        <f aca="true">SUM(INDIRECT($AC86),INDIRECT($AD86),INDIRECT($AE86))</f>
        <v>7</v>
      </c>
      <c r="O86" s="153" t="n">
        <f aca="true">SUM(INDIRECT($AF86),INDIRECT($AG86),INDIRECT($AH86))</f>
        <v>2</v>
      </c>
      <c r="P86" s="153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53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170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64"/>
      <c r="T86" s="165" t="str">
        <f aca="false">IF(NOT(AND(ISNUMBER(C86),ISNUMBER(E86))),"XXX","")</f>
        <v/>
      </c>
      <c r="U86" s="166" t="n">
        <f aca="false">SUM(Y86,Z86,AA86)</f>
        <v>0</v>
      </c>
      <c r="V86" s="166"/>
      <c r="W86" s="166"/>
      <c r="X86" s="166"/>
      <c r="Y86" s="167" t="n">
        <f aca="false">IF(AND(ISNUMBER(RESULTADOS!C86),ISNUMBER(RESULTADOS!E86),ISNUMBER(C86),ISNUMBER(E86),C86=RESULTADOS!C86,E86=RESULTADOS!E86),2,0)</f>
        <v>0</v>
      </c>
      <c r="Z86" s="167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67" t="n">
        <f aca="false">IF(AND(ISNUMBER(RESULTADOS!C86),ISNUMBER(RESULTADOS!E86),ISNUMBER(C86),ISNUMBER(E86),AND(Z86=1,OR(C86=RESULTADOS!C86,E86=RESULTADOS!E86))),1,0)</f>
        <v>0</v>
      </c>
      <c r="AB86" s="142"/>
      <c r="AC86" s="142" t="s">
        <v>209</v>
      </c>
      <c r="AD86" s="142" t="s">
        <v>210</v>
      </c>
      <c r="AE86" s="142" t="s">
        <v>211</v>
      </c>
      <c r="AF86" s="142" t="str">
        <f aca="false">IF(ISNUMBER(FIND("C", AC86, 1)), SUBSTITUTE(AC86, "C", "E"), SUBSTITUTE(AC86, "E", "C"))</f>
        <v>C86</v>
      </c>
      <c r="AG86" s="142" t="str">
        <f aca="false">IF(ISNUMBER(FIND("C", AD86, 1)), SUBSTITUTE(AD86, "C", "E"), SUBSTITUTE(AD86, "E", "C"))</f>
        <v>E88</v>
      </c>
      <c r="AH86" s="14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54" t="s">
        <v>205</v>
      </c>
      <c r="C87" s="155" t="n">
        <v>3</v>
      </c>
      <c r="D87" s="153" t="s">
        <v>29</v>
      </c>
      <c r="E87" s="156" t="n">
        <v>0</v>
      </c>
      <c r="F87" s="168" t="s">
        <v>207</v>
      </c>
      <c r="G87" s="139"/>
      <c r="H87" s="158" t="n">
        <v>46196</v>
      </c>
      <c r="I87" s="159" t="n">
        <v>0.583333333333333</v>
      </c>
      <c r="J87" s="160"/>
      <c r="K87" s="183" t="s">
        <v>205</v>
      </c>
      <c r="L87" s="153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53" t="n">
        <f aca="false">N87-O87</f>
        <v>5</v>
      </c>
      <c r="N87" s="153" t="n">
        <f aca="true">SUM(INDIRECT($AC87),INDIRECT($AD87),INDIRECT($AE87))</f>
        <v>7</v>
      </c>
      <c r="O87" s="153" t="n">
        <f aca="true">SUM(INDIRECT($AF87),INDIRECT($AG87),INDIRECT($AH87))</f>
        <v>2</v>
      </c>
      <c r="P87" s="153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53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170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39"/>
      <c r="T87" s="165" t="str">
        <f aca="false">IF(NOT(AND(ISNUMBER(C87),ISNUMBER(E87))),"XXX","")</f>
        <v/>
      </c>
      <c r="U87" s="166" t="n">
        <f aca="false">SUM(Y87,Z87,AA87)</f>
        <v>0</v>
      </c>
      <c r="V87" s="166"/>
      <c r="W87" s="166"/>
      <c r="X87" s="166"/>
      <c r="Y87" s="167" t="n">
        <f aca="false">IF(AND(ISNUMBER(RESULTADOS!C87),ISNUMBER(RESULTADOS!E87),ISNUMBER(C87),ISNUMBER(E87),C87=RESULTADOS!C87,E87=RESULTADOS!E87),2,0)</f>
        <v>0</v>
      </c>
      <c r="Z87" s="167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67" t="n">
        <f aca="false">IF(AND(ISNUMBER(RESULTADOS!C87),ISNUMBER(RESULTADOS!E87),ISNUMBER(C87),ISNUMBER(E87),AND(Z87=1,OR(C87=RESULTADOS!C87,E87=RESULTADOS!E87))),1,0)</f>
        <v>0</v>
      </c>
      <c r="AB87" s="142"/>
      <c r="AC87" s="142" t="s">
        <v>212</v>
      </c>
      <c r="AD87" s="142" t="s">
        <v>213</v>
      </c>
      <c r="AE87" s="142" t="s">
        <v>214</v>
      </c>
      <c r="AF87" s="142" t="str">
        <f aca="false">IF(ISNUMBER(FIND("C", AC87, 1)), SUBSTITUTE(AC87, "C", "E"), SUBSTITUTE(AC87, "E", "C"))</f>
        <v>E85</v>
      </c>
      <c r="AG87" s="142" t="str">
        <f aca="false">IF(ISNUMBER(FIND("C", AD87, 1)), SUBSTITUTE(AD87, "C", "E"), SUBSTITUTE(AD87, "E", "C"))</f>
        <v>E87</v>
      </c>
      <c r="AH87" s="14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54" t="s">
        <v>208</v>
      </c>
      <c r="C88" s="155" t="n">
        <v>2</v>
      </c>
      <c r="D88" s="153" t="s">
        <v>29</v>
      </c>
      <c r="E88" s="156" t="n">
        <v>0</v>
      </c>
      <c r="F88" s="168" t="s">
        <v>206</v>
      </c>
      <c r="G88" s="139"/>
      <c r="H88" s="158" t="n">
        <v>46196</v>
      </c>
      <c r="I88" s="159" t="n">
        <v>0.958333333333333</v>
      </c>
      <c r="J88" s="160"/>
      <c r="K88" s="183" t="s">
        <v>206</v>
      </c>
      <c r="L88" s="153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53" t="n">
        <f aca="false">N88-O88</f>
        <v>-4</v>
      </c>
      <c r="N88" s="153" t="n">
        <f aca="true">SUM(INDIRECT($AC88),INDIRECT($AD88),INDIRECT($AE88))</f>
        <v>0</v>
      </c>
      <c r="O88" s="153" t="n">
        <f aca="true">SUM(INDIRECT($AF88),INDIRECT($AG88),INDIRECT($AH88))</f>
        <v>4</v>
      </c>
      <c r="P88" s="153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53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170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139"/>
      <c r="T88" s="165" t="str">
        <f aca="false">IF(NOT(AND(ISNUMBER(C88),ISNUMBER(E88))),"XXX","")</f>
        <v/>
      </c>
      <c r="U88" s="166" t="n">
        <f aca="false">SUM(Y88,Z88,AA88)</f>
        <v>0</v>
      </c>
      <c r="V88" s="166"/>
      <c r="W88" s="166"/>
      <c r="X88" s="166"/>
      <c r="Y88" s="167" t="n">
        <f aca="false">IF(AND(ISNUMBER(RESULTADOS!C88),ISNUMBER(RESULTADOS!E88),ISNUMBER(C88),ISNUMBER(E88),C88=RESULTADOS!C88,E88=RESULTADOS!E88),2,0)</f>
        <v>0</v>
      </c>
      <c r="Z88" s="167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67" t="n">
        <f aca="false">IF(AND(ISNUMBER(RESULTADOS!C88),ISNUMBER(RESULTADOS!E88),ISNUMBER(C88),ISNUMBER(E88),AND(Z88=1,OR(C88=RESULTADOS!C88,E88=RESULTADOS!E88))),1,0)</f>
        <v>0</v>
      </c>
      <c r="AB88" s="142"/>
      <c r="AC88" s="142" t="s">
        <v>215</v>
      </c>
      <c r="AD88" s="142" t="s">
        <v>216</v>
      </c>
      <c r="AE88" s="142" t="s">
        <v>217</v>
      </c>
      <c r="AF88" s="142" t="str">
        <f aca="false">IF(ISNUMBER(FIND("C", AC88, 1)), SUBSTITUTE(AC88, "C", "E"), SUBSTITUTE(AC88, "E", "C"))</f>
        <v>C85</v>
      </c>
      <c r="AG88" s="142" t="str">
        <f aca="false">IF(ISNUMBER(FIND("C", AD88, 1)), SUBSTITUTE(AD88, "C", "E"), SUBSTITUTE(AD88, "E", "C"))</f>
        <v>C88</v>
      </c>
      <c r="AH88" s="14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54" t="s">
        <v>206</v>
      </c>
      <c r="C89" s="155" t="n">
        <v>0</v>
      </c>
      <c r="D89" s="153" t="s">
        <v>29</v>
      </c>
      <c r="E89" s="156" t="n">
        <v>0</v>
      </c>
      <c r="F89" s="168" t="s">
        <v>207</v>
      </c>
      <c r="G89" s="139"/>
      <c r="H89" s="158" t="n">
        <v>46200</v>
      </c>
      <c r="I89" s="159" t="n">
        <v>0.854166666666667</v>
      </c>
      <c r="J89" s="160"/>
      <c r="K89" s="184" t="s">
        <v>207</v>
      </c>
      <c r="L89" s="172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172" t="n">
        <f aca="false">N89-O89</f>
        <v>-6</v>
      </c>
      <c r="N89" s="172" t="n">
        <f aca="true">SUM(INDIRECT($AC89),INDIRECT($AD89),INDIRECT($AE89))</f>
        <v>0</v>
      </c>
      <c r="O89" s="172" t="n">
        <f aca="true">SUM(INDIRECT($AF89),INDIRECT($AG89),INDIRECT($AH89))</f>
        <v>6</v>
      </c>
      <c r="P89" s="172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72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173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39"/>
      <c r="T89" s="165" t="str">
        <f aca="false">IF(NOT(AND(ISNUMBER(C89),ISNUMBER(E89))),"XXX","")</f>
        <v/>
      </c>
      <c r="U89" s="166" t="n">
        <f aca="false">SUM(Y89,Z89,AA89)</f>
        <v>0</v>
      </c>
      <c r="V89" s="166"/>
      <c r="W89" s="166"/>
      <c r="X89" s="166"/>
      <c r="Y89" s="167" t="n">
        <f aca="false">IF(AND(ISNUMBER(RESULTADOS!C89),ISNUMBER(RESULTADOS!E89),ISNUMBER(C89),ISNUMBER(E89),C89=RESULTADOS!C89,E89=RESULTADOS!E89),2,0)</f>
        <v>0</v>
      </c>
      <c r="Z89" s="167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67" t="n">
        <f aca="false">IF(AND(ISNUMBER(RESULTADOS!C89),ISNUMBER(RESULTADOS!E89),ISNUMBER(C89),ISNUMBER(E89),AND(Z89=1,OR(C89=RESULTADOS!C89,E89=RESULTADOS!E89))),1,0)</f>
        <v>0</v>
      </c>
      <c r="AB89" s="142"/>
      <c r="AC89" s="142" t="s">
        <v>218</v>
      </c>
      <c r="AD89" s="142" t="s">
        <v>219</v>
      </c>
      <c r="AE89" s="142" t="s">
        <v>220</v>
      </c>
      <c r="AF89" s="142" t="str">
        <f aca="false">IF(ISNUMBER(FIND("C", AC89, 1)), SUBSTITUTE(AC89, "C", "E"), SUBSTITUTE(AC89, "E", "C"))</f>
        <v>E86</v>
      </c>
      <c r="AG89" s="142" t="str">
        <f aca="false">IF(ISNUMBER(FIND("C", AD89, 1)), SUBSTITUTE(AD89, "C", "E"), SUBSTITUTE(AD89, "E", "C"))</f>
        <v>C87</v>
      </c>
      <c r="AH89" s="14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174" t="s">
        <v>208</v>
      </c>
      <c r="C90" s="175" t="n">
        <v>2</v>
      </c>
      <c r="D90" s="172" t="s">
        <v>29</v>
      </c>
      <c r="E90" s="176" t="n">
        <v>2</v>
      </c>
      <c r="F90" s="177" t="s">
        <v>205</v>
      </c>
      <c r="G90" s="139"/>
      <c r="H90" s="178" t="n">
        <v>46200</v>
      </c>
      <c r="I90" s="179" t="n">
        <v>0.854166666666667</v>
      </c>
      <c r="J90" s="160"/>
      <c r="K90" s="180"/>
      <c r="S90" s="139"/>
      <c r="T90" s="165" t="str">
        <f aca="false">IF(NOT(AND(ISNUMBER(C90),ISNUMBER(E90))),"XXX","")</f>
        <v/>
      </c>
      <c r="U90" s="166" t="n">
        <f aca="false">SUM(Y90,Z90,AA90)</f>
        <v>0</v>
      </c>
      <c r="V90" s="166"/>
      <c r="W90" s="166"/>
      <c r="X90" s="166"/>
      <c r="Y90" s="167" t="n">
        <f aca="false">IF(AND(ISNUMBER(RESULTADOS!C90),ISNUMBER(RESULTADOS!E90),ISNUMBER(C90),ISNUMBER(E90),C90=RESULTADOS!C90,E90=RESULTADOS!E90),2,0)</f>
        <v>0</v>
      </c>
      <c r="Z90" s="167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67" t="n">
        <f aca="false">IF(AND(ISNUMBER(RESULTADOS!C90),ISNUMBER(RESULTADOS!E90),ISNUMBER(C90),ISNUMBER(E90),AND(Z90=1,OR(C90=RESULTADOS!C90,E90=RESULTADOS!E90))),1,0)</f>
        <v>0</v>
      </c>
      <c r="AB90" s="142"/>
      <c r="AC90" s="142"/>
      <c r="AD90" s="142"/>
      <c r="AE90" s="142"/>
      <c r="AF90" s="142"/>
      <c r="AG90" s="142"/>
      <c r="AH90" s="142"/>
    </row>
    <row r="91" customFormat="false" ht="12.75" hidden="false" customHeight="true" outlineLevel="0" collapsed="false">
      <c r="B91" s="180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U91" s="139"/>
      <c r="V91" s="139"/>
      <c r="W91" s="139"/>
      <c r="X91" s="139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</row>
    <row r="92" customFormat="false" ht="12.75" hidden="false" customHeight="true" outlineLevel="0" collapsed="false">
      <c r="B92" s="149" t="s">
        <v>221</v>
      </c>
      <c r="C92" s="149"/>
      <c r="D92" s="149"/>
      <c r="E92" s="149"/>
      <c r="F92" s="149"/>
      <c r="G92" s="139"/>
      <c r="H92" s="150" t="s">
        <v>26</v>
      </c>
      <c r="I92" s="151" t="s">
        <v>27</v>
      </c>
      <c r="J92" s="152"/>
      <c r="K92" s="139"/>
      <c r="L92" s="139"/>
      <c r="M92" s="139"/>
      <c r="N92" s="139"/>
      <c r="O92" s="139"/>
      <c r="P92" s="139"/>
      <c r="Q92" s="139"/>
      <c r="R92" s="139"/>
      <c r="S92" s="139"/>
      <c r="U92" s="153"/>
      <c r="V92" s="153"/>
      <c r="W92" s="153"/>
      <c r="X92" s="153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</row>
    <row r="93" customFormat="false" ht="12.75" hidden="false" customHeight="true" outlineLevel="0" collapsed="false">
      <c r="B93" s="154" t="s">
        <v>222</v>
      </c>
      <c r="C93" s="155" t="n">
        <v>1</v>
      </c>
      <c r="D93" s="153" t="s">
        <v>29</v>
      </c>
      <c r="E93" s="156" t="n">
        <v>1</v>
      </c>
      <c r="F93" s="168" t="s">
        <v>223</v>
      </c>
      <c r="G93" s="139"/>
      <c r="H93" s="158" t="n">
        <v>46190</v>
      </c>
      <c r="I93" s="159" t="n">
        <v>0.708333333333333</v>
      </c>
      <c r="J93" s="160"/>
      <c r="K93" s="161"/>
      <c r="L93" s="162" t="s">
        <v>31</v>
      </c>
      <c r="M93" s="162" t="s">
        <v>32</v>
      </c>
      <c r="N93" s="162" t="s">
        <v>33</v>
      </c>
      <c r="O93" s="162" t="s">
        <v>34</v>
      </c>
      <c r="P93" s="162" t="s">
        <v>35</v>
      </c>
      <c r="Q93" s="162" t="s">
        <v>36</v>
      </c>
      <c r="R93" s="163" t="s">
        <v>37</v>
      </c>
      <c r="S93" s="164"/>
      <c r="T93" s="165" t="str">
        <f aca="false">IF(NOT(AND(ISNUMBER(C93),ISNUMBER(E93))),"XXX","")</f>
        <v/>
      </c>
      <c r="U93" s="166" t="n">
        <f aca="false">SUM(Y93,Z93,AA93)</f>
        <v>0</v>
      </c>
      <c r="V93" s="166"/>
      <c r="W93" s="166"/>
      <c r="X93" s="166"/>
      <c r="Y93" s="167" t="n">
        <f aca="false">IF(AND(ISNUMBER(RESULTADOS!C93),ISNUMBER(RESULTADOS!E93),ISNUMBER(C93),ISNUMBER(E93),C93=RESULTADOS!C93,E93=RESULTADOS!E93),2,0)</f>
        <v>0</v>
      </c>
      <c r="Z93" s="167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67" t="n">
        <f aca="false">IF(AND(ISNUMBER(RESULTADOS!C93),ISNUMBER(RESULTADOS!E93),ISNUMBER(C93),ISNUMBER(E93),AND(Z93=1,OR(C93=RESULTADOS!C93,E93=RESULTADOS!E93))),1,0)</f>
        <v>0</v>
      </c>
      <c r="AB93" s="142"/>
      <c r="AC93" s="142"/>
      <c r="AD93" s="142"/>
      <c r="AE93" s="142"/>
      <c r="AF93" s="142"/>
      <c r="AG93" s="142"/>
      <c r="AH93" s="142"/>
    </row>
    <row r="94" customFormat="false" ht="12.75" hidden="false" customHeight="true" outlineLevel="0" collapsed="false">
      <c r="B94" s="154" t="s">
        <v>224</v>
      </c>
      <c r="C94" s="155" t="n">
        <v>1</v>
      </c>
      <c r="D94" s="153" t="s">
        <v>29</v>
      </c>
      <c r="E94" s="156" t="n">
        <v>0</v>
      </c>
      <c r="F94" s="168" t="s">
        <v>225</v>
      </c>
      <c r="G94" s="139"/>
      <c r="H94" s="158" t="n">
        <v>46190</v>
      </c>
      <c r="I94" s="159" t="n">
        <v>0.833333333333333</v>
      </c>
      <c r="J94" s="160"/>
      <c r="K94" s="183" t="s">
        <v>223</v>
      </c>
      <c r="L94" s="153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53" t="n">
        <f aca="false">N94-O94</f>
        <v>3</v>
      </c>
      <c r="N94" s="153" t="n">
        <f aca="true">SUM(INDIRECT($AC94),INDIRECT($AD94),INDIRECT($AE94))</f>
        <v>5</v>
      </c>
      <c r="O94" s="153" t="n">
        <f aca="true">SUM(INDIRECT($AF94),INDIRECT($AG94),INDIRECT($AH94))</f>
        <v>2</v>
      </c>
      <c r="P94" s="153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53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170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164"/>
      <c r="T94" s="165" t="str">
        <f aca="false">IF(NOT(AND(ISNUMBER(C94),ISNUMBER(E94))),"XXX","")</f>
        <v/>
      </c>
      <c r="U94" s="166" t="n">
        <f aca="false">SUM(Y94,Z94,AA94)</f>
        <v>0</v>
      </c>
      <c r="V94" s="166"/>
      <c r="W94" s="166"/>
      <c r="X94" s="166"/>
      <c r="Y94" s="167" t="n">
        <f aca="false">IF(AND(ISNUMBER(RESULTADOS!C94),ISNUMBER(RESULTADOS!E94),ISNUMBER(C94),ISNUMBER(E94),C94=RESULTADOS!C94,E94=RESULTADOS!E94),2,0)</f>
        <v>0</v>
      </c>
      <c r="Z94" s="167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67" t="n">
        <f aca="false">IF(AND(ISNUMBER(RESULTADOS!C94),ISNUMBER(RESULTADOS!E94),ISNUMBER(C94),ISNUMBER(E94),AND(Z94=1,OR(C94=RESULTADOS!C94,E94=RESULTADOS!E94))),1,0)</f>
        <v>0</v>
      </c>
      <c r="AB94" s="142"/>
      <c r="AC94" s="142" t="s">
        <v>226</v>
      </c>
      <c r="AD94" s="142" t="s">
        <v>227</v>
      </c>
      <c r="AE94" s="142" t="s">
        <v>228</v>
      </c>
      <c r="AF94" s="142" t="str">
        <f aca="false">IF(ISNUMBER(FIND("C", AC94, 1)), SUBSTITUTE(AC94, "C", "E"), SUBSTITUTE(AC94, "E", "C"))</f>
        <v>C93</v>
      </c>
      <c r="AG94" s="142" t="str">
        <f aca="false">IF(ISNUMBER(FIND("C", AD94, 1)), SUBSTITUTE(AD94, "C", "E"), SUBSTITUTE(AD94, "E", "C"))</f>
        <v>C96</v>
      </c>
      <c r="AH94" s="14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54" t="s">
        <v>222</v>
      </c>
      <c r="C95" s="155" t="n">
        <v>3</v>
      </c>
      <c r="D95" s="153" t="s">
        <v>29</v>
      </c>
      <c r="E95" s="156" t="n">
        <v>0</v>
      </c>
      <c r="F95" s="168" t="s">
        <v>224</v>
      </c>
      <c r="G95" s="139"/>
      <c r="H95" s="158" t="n">
        <v>46196</v>
      </c>
      <c r="I95" s="159" t="n">
        <v>0.708333333333333</v>
      </c>
      <c r="J95" s="160"/>
      <c r="K95" s="183" t="s">
        <v>224</v>
      </c>
      <c r="L95" s="153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53" t="n">
        <f aca="false">N95-O95</f>
        <v>-3</v>
      </c>
      <c r="N95" s="153" t="n">
        <f aca="true">SUM(INDIRECT($AC95),INDIRECT($AD95),INDIRECT($AE95))</f>
        <v>2</v>
      </c>
      <c r="O95" s="153" t="n">
        <f aca="true">SUM(INDIRECT($AF95),INDIRECT($AG95),INDIRECT($AH95))</f>
        <v>5</v>
      </c>
      <c r="P95" s="153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53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70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139"/>
      <c r="T95" s="165" t="str">
        <f aca="false">IF(NOT(AND(ISNUMBER(C95),ISNUMBER(E95))),"XXX","")</f>
        <v/>
      </c>
      <c r="U95" s="166" t="n">
        <f aca="false">SUM(Y95,Z95,AA95)</f>
        <v>0</v>
      </c>
      <c r="V95" s="166"/>
      <c r="W95" s="166"/>
      <c r="X95" s="166"/>
      <c r="Y95" s="167" t="n">
        <f aca="false">IF(AND(ISNUMBER(RESULTADOS!C95),ISNUMBER(RESULTADOS!E95),ISNUMBER(C95),ISNUMBER(E95),C95=RESULTADOS!C95,E95=RESULTADOS!E95),2,0)</f>
        <v>0</v>
      </c>
      <c r="Z95" s="167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67" t="n">
        <f aca="false">IF(AND(ISNUMBER(RESULTADOS!C95),ISNUMBER(RESULTADOS!E95),ISNUMBER(C95),ISNUMBER(E95),AND(Z95=1,OR(C95=RESULTADOS!C95,E95=RESULTADOS!E95))),1,0)</f>
        <v>0</v>
      </c>
      <c r="AB95" s="142"/>
      <c r="AC95" s="142" t="s">
        <v>229</v>
      </c>
      <c r="AD95" s="142" t="s">
        <v>230</v>
      </c>
      <c r="AE95" s="142" t="s">
        <v>231</v>
      </c>
      <c r="AF95" s="142" t="str">
        <f aca="false">IF(ISNUMBER(FIND("C", AC95, 1)), SUBSTITUTE(AC95, "C", "E"), SUBSTITUTE(AC95, "E", "C"))</f>
        <v>E94</v>
      </c>
      <c r="AG95" s="142" t="str">
        <f aca="false">IF(ISNUMBER(FIND("C", AD95, 1)), SUBSTITUTE(AD95, "C", "E"), SUBSTITUTE(AD95, "E", "C"))</f>
        <v>C95</v>
      </c>
      <c r="AH95" s="14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54" t="s">
        <v>225</v>
      </c>
      <c r="C96" s="155" t="n">
        <v>0</v>
      </c>
      <c r="D96" s="153" t="s">
        <v>29</v>
      </c>
      <c r="E96" s="156" t="n">
        <v>2</v>
      </c>
      <c r="F96" s="168" t="s">
        <v>223</v>
      </c>
      <c r="G96" s="139"/>
      <c r="H96" s="158" t="n">
        <v>46196</v>
      </c>
      <c r="I96" s="159" t="n">
        <v>0.833333333333333</v>
      </c>
      <c r="J96" s="160"/>
      <c r="K96" s="183" t="s">
        <v>222</v>
      </c>
      <c r="L96" s="153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53" t="n">
        <f aca="false">N96-O96</f>
        <v>7</v>
      </c>
      <c r="N96" s="153" t="n">
        <f aca="true">SUM(INDIRECT($AC96),INDIRECT($AD96),INDIRECT($AE96))</f>
        <v>8</v>
      </c>
      <c r="O96" s="153" t="n">
        <f aca="true">SUM(INDIRECT($AF96),INDIRECT($AG96),INDIRECT($AH96))</f>
        <v>1</v>
      </c>
      <c r="P96" s="153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53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170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39"/>
      <c r="T96" s="165" t="str">
        <f aca="false">IF(NOT(AND(ISNUMBER(C96),ISNUMBER(E96))),"XXX","")</f>
        <v/>
      </c>
      <c r="U96" s="166" t="n">
        <f aca="false">SUM(Y96,Z96,AA96)</f>
        <v>0</v>
      </c>
      <c r="V96" s="166"/>
      <c r="W96" s="166"/>
      <c r="X96" s="166"/>
      <c r="Y96" s="167" t="n">
        <f aca="false">IF(AND(ISNUMBER(RESULTADOS!C96),ISNUMBER(RESULTADOS!E96),ISNUMBER(C96),ISNUMBER(E96),C96=RESULTADOS!C96,E96=RESULTADOS!E96),2,0)</f>
        <v>0</v>
      </c>
      <c r="Z96" s="167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67" t="n">
        <f aca="false">IF(AND(ISNUMBER(RESULTADOS!C96),ISNUMBER(RESULTADOS!E96),ISNUMBER(C96),ISNUMBER(E96),AND(Z96=1,OR(C96=RESULTADOS!C96,E96=RESULTADOS!E96))),1,0)</f>
        <v>0</v>
      </c>
      <c r="AB96" s="142"/>
      <c r="AC96" s="142" t="s">
        <v>232</v>
      </c>
      <c r="AD96" s="142" t="s">
        <v>233</v>
      </c>
      <c r="AE96" s="142" t="s">
        <v>234</v>
      </c>
      <c r="AF96" s="142" t="str">
        <f aca="false">IF(ISNUMBER(FIND("C", AC96, 1)), SUBSTITUTE(AC96, "C", "E"), SUBSTITUTE(AC96, "E", "C"))</f>
        <v>E93</v>
      </c>
      <c r="AG96" s="142" t="str">
        <f aca="false">IF(ISNUMBER(FIND("C", AD96, 1)), SUBSTITUTE(AD96, "C", "E"), SUBSTITUTE(AD96, "E", "C"))</f>
        <v>E95</v>
      </c>
      <c r="AH96" s="14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54" t="s">
        <v>223</v>
      </c>
      <c r="C97" s="155" t="n">
        <v>2</v>
      </c>
      <c r="D97" s="153" t="s">
        <v>29</v>
      </c>
      <c r="E97" s="156" t="n">
        <v>1</v>
      </c>
      <c r="F97" s="168" t="s">
        <v>224</v>
      </c>
      <c r="G97" s="139"/>
      <c r="H97" s="158" t="n">
        <v>46200</v>
      </c>
      <c r="I97" s="159" t="n">
        <v>0.75</v>
      </c>
      <c r="J97" s="160"/>
      <c r="K97" s="184" t="s">
        <v>225</v>
      </c>
      <c r="L97" s="172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72" t="n">
        <f aca="false">N97-O97</f>
        <v>-7</v>
      </c>
      <c r="N97" s="172" t="n">
        <f aca="true">SUM(INDIRECT($AC97),INDIRECT($AD97),INDIRECT($AE97))</f>
        <v>0</v>
      </c>
      <c r="O97" s="172" t="n">
        <f aca="true">SUM(INDIRECT($AF97),INDIRECT($AG97),INDIRECT($AH97))</f>
        <v>7</v>
      </c>
      <c r="P97" s="172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72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73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139"/>
      <c r="T97" s="165" t="str">
        <f aca="false">IF(NOT(AND(ISNUMBER(C97),ISNUMBER(E97))),"XXX","")</f>
        <v/>
      </c>
      <c r="U97" s="166" t="n">
        <f aca="false">SUM(Y97,Z97,AA97)</f>
        <v>0</v>
      </c>
      <c r="V97" s="166"/>
      <c r="W97" s="166"/>
      <c r="X97" s="166"/>
      <c r="Y97" s="167" t="n">
        <f aca="false">IF(AND(ISNUMBER(RESULTADOS!C97),ISNUMBER(RESULTADOS!E97),ISNUMBER(C97),ISNUMBER(E97),C97=RESULTADOS!C97,E97=RESULTADOS!E97),2,0)</f>
        <v>0</v>
      </c>
      <c r="Z97" s="167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67" t="n">
        <f aca="false">IF(AND(ISNUMBER(RESULTADOS!C97),ISNUMBER(RESULTADOS!E97),ISNUMBER(C97),ISNUMBER(E97),AND(Z97=1,OR(C97=RESULTADOS!C97,E97=RESULTADOS!E97))),1,0)</f>
        <v>0</v>
      </c>
      <c r="AB97" s="142"/>
      <c r="AC97" s="142" t="s">
        <v>235</v>
      </c>
      <c r="AD97" s="142" t="s">
        <v>236</v>
      </c>
      <c r="AE97" s="142" t="s">
        <v>237</v>
      </c>
      <c r="AF97" s="142" t="str">
        <f aca="false">IF(ISNUMBER(FIND("C", AC97, 1)), SUBSTITUTE(AC97, "C", "E"), SUBSTITUTE(AC97, "E", "C"))</f>
        <v>C94</v>
      </c>
      <c r="AG97" s="142" t="str">
        <f aca="false">IF(ISNUMBER(FIND("C", AD97, 1)), SUBSTITUTE(AD97, "C", "E"), SUBSTITUTE(AD97, "E", "C"))</f>
        <v>E96</v>
      </c>
      <c r="AH97" s="14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174" t="s">
        <v>225</v>
      </c>
      <c r="C98" s="175" t="n">
        <v>0</v>
      </c>
      <c r="D98" s="172" t="s">
        <v>29</v>
      </c>
      <c r="E98" s="176" t="n">
        <v>4</v>
      </c>
      <c r="F98" s="177" t="s">
        <v>222</v>
      </c>
      <c r="G98" s="139"/>
      <c r="H98" s="178" t="n">
        <v>46200</v>
      </c>
      <c r="I98" s="179" t="n">
        <v>0.75</v>
      </c>
      <c r="J98" s="160"/>
      <c r="K98" s="180"/>
      <c r="S98" s="139"/>
      <c r="T98" s="165" t="str">
        <f aca="false">IF(NOT(AND(ISNUMBER(C98),ISNUMBER(E98))),"XXX","")</f>
        <v/>
      </c>
      <c r="U98" s="166" t="n">
        <f aca="false">SUM(Y98,Z98,AA98)</f>
        <v>0</v>
      </c>
      <c r="V98" s="166"/>
      <c r="W98" s="166"/>
      <c r="X98" s="166"/>
      <c r="Y98" s="167" t="n">
        <f aca="false">IF(AND(ISNUMBER(RESULTADOS!C98),ISNUMBER(RESULTADOS!E98),ISNUMBER(C98),ISNUMBER(E98),C98=RESULTADOS!C98,E98=RESULTADOS!E98),2,0)</f>
        <v>0</v>
      </c>
      <c r="Z98" s="167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67" t="n">
        <f aca="false">IF(AND(ISNUMBER(RESULTADOS!C98),ISNUMBER(RESULTADOS!E98),ISNUMBER(C98),ISNUMBER(E98),AND(Z98=1,OR(C98=RESULTADOS!C98,E98=RESULTADOS!E98))),1,0)</f>
        <v>0</v>
      </c>
      <c r="AB98" s="142"/>
      <c r="AC98" s="142"/>
      <c r="AD98" s="142"/>
      <c r="AE98" s="142"/>
      <c r="AF98" s="142"/>
      <c r="AG98" s="142"/>
      <c r="AH98" s="142"/>
    </row>
    <row r="99" customFormat="false" ht="12.75" hidden="false" customHeight="true" outlineLevel="0" collapsed="false"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</row>
    <row r="100" customFormat="false" ht="12.75" hidden="false" customHeight="true" outlineLevel="0" collapsed="false"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</row>
    <row r="101" customFormat="false" ht="13.5" hidden="false" customHeight="true" outlineLevel="0" collapsed="false"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39"/>
      <c r="AJ101" s="139"/>
      <c r="AK101" s="139"/>
      <c r="AL101" s="139"/>
      <c r="AM101" s="139"/>
      <c r="AN101" s="139"/>
      <c r="AO101" s="139"/>
      <c r="AP101" s="139"/>
      <c r="AQ101" s="139"/>
      <c r="AR101" s="139"/>
    </row>
    <row r="102" customFormat="false" ht="12.75" hidden="false" customHeight="true" outlineLevel="0" collapsed="false">
      <c r="H102" s="185"/>
      <c r="I102" s="185"/>
      <c r="J102" s="185"/>
      <c r="U102" s="153"/>
      <c r="V102" s="153"/>
      <c r="W102" s="153"/>
      <c r="X102" s="153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</row>
    <row r="103" customFormat="false" ht="12.75" hidden="false" customHeight="true" outlineLevel="0" collapsed="false">
      <c r="H103" s="185"/>
      <c r="I103" s="185"/>
      <c r="J103" s="185"/>
      <c r="L103" s="186"/>
      <c r="M103" s="186"/>
      <c r="N103" s="186"/>
      <c r="O103" s="186"/>
      <c r="P103" s="186"/>
      <c r="Q103" s="186"/>
      <c r="R103" s="186"/>
      <c r="U103" s="153"/>
      <c r="V103" s="153"/>
      <c r="W103" s="153"/>
      <c r="X103" s="153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</row>
    <row r="104" customFormat="false" ht="12.75" hidden="false" customHeight="true" outlineLevel="0" collapsed="false">
      <c r="H104" s="185"/>
      <c r="I104" s="185"/>
      <c r="J104" s="185"/>
      <c r="L104" s="186"/>
      <c r="M104" s="186"/>
      <c r="N104" s="186"/>
      <c r="O104" s="186"/>
      <c r="P104" s="186"/>
      <c r="Q104" s="186"/>
      <c r="R104" s="186"/>
      <c r="U104" s="153"/>
      <c r="V104" s="153"/>
      <c r="W104" s="153"/>
      <c r="X104" s="153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</row>
    <row r="105" customFormat="false" ht="12.75" hidden="false" customHeight="true" outlineLevel="0" collapsed="false">
      <c r="H105" s="185"/>
      <c r="I105" s="185"/>
      <c r="J105" s="185"/>
      <c r="L105" s="186"/>
      <c r="M105" s="186"/>
      <c r="N105" s="186"/>
      <c r="O105" s="186"/>
      <c r="P105" s="186"/>
      <c r="Q105" s="186"/>
      <c r="R105" s="186"/>
      <c r="U105" s="153"/>
      <c r="V105" s="153"/>
      <c r="W105" s="153"/>
      <c r="X105" s="153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</row>
    <row r="106" customFormat="false" ht="12.75" hidden="false" customHeight="true" outlineLevel="0" collapsed="false">
      <c r="H106" s="185"/>
      <c r="I106" s="185"/>
      <c r="J106" s="185"/>
      <c r="L106" s="186"/>
      <c r="M106" s="186"/>
      <c r="N106" s="186"/>
      <c r="O106" s="186"/>
      <c r="P106" s="186"/>
      <c r="Q106" s="186"/>
      <c r="R106" s="186"/>
      <c r="U106" s="153"/>
      <c r="V106" s="153"/>
      <c r="W106" s="153"/>
      <c r="X106" s="153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</row>
    <row r="107" customFormat="false" ht="12.75" hidden="false" customHeight="true" outlineLevel="0" collapsed="false">
      <c r="H107" s="185"/>
      <c r="I107" s="185"/>
      <c r="J107" s="185"/>
      <c r="L107" s="186"/>
      <c r="M107" s="186"/>
      <c r="N107" s="186"/>
      <c r="O107" s="186"/>
      <c r="P107" s="186"/>
      <c r="Q107" s="186"/>
      <c r="R107" s="186"/>
      <c r="U107" s="153"/>
      <c r="V107" s="153"/>
      <c r="W107" s="153"/>
      <c r="X107" s="153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</row>
    <row r="108" customFormat="false" ht="12.75" hidden="false" customHeight="true" outlineLevel="0" collapsed="false">
      <c r="H108" s="185"/>
      <c r="I108" s="185"/>
      <c r="J108" s="185"/>
      <c r="L108" s="186"/>
      <c r="M108" s="186"/>
      <c r="N108" s="186"/>
      <c r="O108" s="186"/>
      <c r="P108" s="186"/>
      <c r="Q108" s="186"/>
      <c r="R108" s="186"/>
      <c r="U108" s="153"/>
      <c r="V108" s="153"/>
      <c r="W108" s="153"/>
      <c r="X108" s="153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</row>
    <row r="109" customFormat="false" ht="12.75" hidden="false" customHeight="true" outlineLevel="0" collapsed="false">
      <c r="H109" s="185"/>
      <c r="I109" s="185"/>
      <c r="J109" s="185"/>
      <c r="L109" s="186"/>
      <c r="M109" s="186"/>
      <c r="N109" s="186"/>
      <c r="O109" s="186"/>
      <c r="P109" s="186"/>
      <c r="Q109" s="186"/>
      <c r="R109" s="186"/>
      <c r="U109" s="153"/>
      <c r="V109" s="153"/>
      <c r="W109" s="153"/>
      <c r="X109" s="153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</row>
    <row r="110" customFormat="false" ht="12.75" hidden="false" customHeight="true" outlineLevel="0" collapsed="false">
      <c r="H110" s="185"/>
      <c r="I110" s="185"/>
      <c r="J110" s="185"/>
      <c r="L110" s="186"/>
      <c r="M110" s="186"/>
      <c r="N110" s="186"/>
      <c r="O110" s="186"/>
      <c r="P110" s="186"/>
      <c r="Q110" s="186"/>
      <c r="R110" s="186"/>
      <c r="U110" s="153"/>
      <c r="V110" s="153"/>
      <c r="W110" s="153"/>
      <c r="X110" s="153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</row>
    <row r="111" customFormat="false" ht="12.75" hidden="false" customHeight="true" outlineLevel="0" collapsed="false">
      <c r="H111" s="185"/>
      <c r="I111" s="185"/>
      <c r="J111" s="185"/>
      <c r="L111" s="186"/>
      <c r="M111" s="186"/>
      <c r="N111" s="186"/>
      <c r="O111" s="186"/>
      <c r="P111" s="186"/>
      <c r="Q111" s="186"/>
      <c r="R111" s="186"/>
      <c r="U111" s="153"/>
      <c r="V111" s="153"/>
      <c r="W111" s="153"/>
      <c r="X111" s="153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</row>
    <row r="112" customFormat="false" ht="12.75" hidden="false" customHeight="true" outlineLevel="0" collapsed="false">
      <c r="H112" s="185"/>
      <c r="I112" s="185"/>
      <c r="J112" s="185"/>
      <c r="L112" s="186"/>
      <c r="M112" s="186"/>
      <c r="N112" s="186"/>
      <c r="O112" s="186"/>
      <c r="P112" s="186"/>
      <c r="Q112" s="186"/>
      <c r="R112" s="186"/>
      <c r="U112" s="153"/>
      <c r="V112" s="153"/>
      <c r="W112" s="153"/>
      <c r="X112" s="153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</row>
    <row r="113" customFormat="false" ht="12.75" hidden="false" customHeight="true" outlineLevel="0" collapsed="false">
      <c r="H113" s="185"/>
      <c r="I113" s="185"/>
      <c r="J113" s="185"/>
      <c r="L113" s="186"/>
      <c r="M113" s="186"/>
      <c r="N113" s="186"/>
      <c r="O113" s="186"/>
      <c r="P113" s="186"/>
      <c r="Q113" s="186"/>
      <c r="R113" s="186"/>
      <c r="U113" s="153"/>
      <c r="V113" s="153"/>
      <c r="W113" s="153"/>
      <c r="X113" s="153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</row>
    <row r="114" customFormat="false" ht="12.75" hidden="false" customHeight="true" outlineLevel="0" collapsed="false">
      <c r="H114" s="185"/>
      <c r="I114" s="185"/>
      <c r="J114" s="185"/>
      <c r="L114" s="186"/>
      <c r="M114" s="186"/>
      <c r="N114" s="186"/>
      <c r="O114" s="186"/>
      <c r="P114" s="186"/>
      <c r="Q114" s="186"/>
      <c r="R114" s="186"/>
      <c r="U114" s="153"/>
      <c r="V114" s="153"/>
      <c r="W114" s="153"/>
      <c r="X114" s="153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</row>
    <row r="115" customFormat="false" ht="12.75" hidden="false" customHeight="true" outlineLevel="0" collapsed="false">
      <c r="H115" s="185"/>
      <c r="I115" s="185"/>
      <c r="J115" s="185"/>
      <c r="L115" s="186"/>
      <c r="M115" s="186"/>
      <c r="N115" s="186"/>
      <c r="O115" s="186"/>
      <c r="P115" s="186"/>
      <c r="Q115" s="186"/>
      <c r="R115" s="186"/>
      <c r="U115" s="153"/>
      <c r="V115" s="153"/>
      <c r="W115" s="153"/>
      <c r="X115" s="153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</row>
    <row r="116" customFormat="false" ht="12.75" hidden="false" customHeight="true" outlineLevel="0" collapsed="false">
      <c r="H116" s="185"/>
      <c r="I116" s="185"/>
      <c r="J116" s="185"/>
      <c r="L116" s="186"/>
      <c r="M116" s="186"/>
      <c r="N116" s="186"/>
      <c r="O116" s="186"/>
      <c r="P116" s="186"/>
      <c r="Q116" s="186"/>
      <c r="R116" s="186"/>
      <c r="U116" s="153"/>
      <c r="V116" s="153"/>
      <c r="W116" s="153"/>
      <c r="X116" s="153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</row>
    <row r="117" customFormat="false" ht="12.75" hidden="false" customHeight="true" outlineLevel="0" collapsed="false">
      <c r="H117" s="185"/>
      <c r="I117" s="185"/>
      <c r="J117" s="185"/>
      <c r="L117" s="186"/>
      <c r="M117" s="186"/>
      <c r="N117" s="186"/>
      <c r="O117" s="186"/>
      <c r="P117" s="186"/>
      <c r="Q117" s="186"/>
      <c r="R117" s="186"/>
      <c r="U117" s="153"/>
      <c r="V117" s="153"/>
      <c r="W117" s="153"/>
      <c r="X117" s="153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</row>
    <row r="118" customFormat="false" ht="12.75" hidden="false" customHeight="true" outlineLevel="0" collapsed="false">
      <c r="H118" s="185"/>
      <c r="I118" s="185"/>
      <c r="J118" s="185"/>
      <c r="L118" s="186"/>
      <c r="M118" s="186"/>
      <c r="N118" s="186"/>
      <c r="O118" s="186"/>
      <c r="P118" s="186"/>
      <c r="Q118" s="186"/>
      <c r="R118" s="186"/>
      <c r="U118" s="153"/>
      <c r="V118" s="153"/>
      <c r="W118" s="153"/>
      <c r="X118" s="153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</row>
    <row r="119" customFormat="false" ht="12.75" hidden="false" customHeight="true" outlineLevel="0" collapsed="false">
      <c r="H119" s="185"/>
      <c r="I119" s="185"/>
      <c r="J119" s="185"/>
      <c r="L119" s="186"/>
      <c r="M119" s="186"/>
      <c r="N119" s="186"/>
      <c r="O119" s="186"/>
      <c r="P119" s="186"/>
      <c r="Q119" s="186"/>
      <c r="R119" s="186"/>
      <c r="U119" s="153"/>
      <c r="V119" s="153"/>
      <c r="W119" s="153"/>
      <c r="X119" s="153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</row>
    <row r="120" customFormat="false" ht="12.75" hidden="false" customHeight="true" outlineLevel="0" collapsed="false">
      <c r="H120" s="185"/>
      <c r="I120" s="185"/>
      <c r="J120" s="185"/>
      <c r="L120" s="186"/>
      <c r="M120" s="186"/>
      <c r="N120" s="186"/>
      <c r="O120" s="186"/>
      <c r="P120" s="186"/>
      <c r="Q120" s="186"/>
      <c r="R120" s="186"/>
      <c r="U120" s="153"/>
      <c r="V120" s="153"/>
      <c r="W120" s="153"/>
      <c r="X120" s="153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</row>
    <row r="121" customFormat="false" ht="12.75" hidden="false" customHeight="true" outlineLevel="0" collapsed="false">
      <c r="H121" s="185"/>
      <c r="I121" s="185"/>
      <c r="J121" s="185"/>
      <c r="L121" s="186"/>
      <c r="M121" s="186"/>
      <c r="N121" s="186"/>
      <c r="O121" s="186"/>
      <c r="P121" s="186"/>
      <c r="Q121" s="186"/>
      <c r="R121" s="186"/>
      <c r="U121" s="153"/>
      <c r="V121" s="153"/>
      <c r="W121" s="153"/>
      <c r="X121" s="153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</row>
    <row r="122" customFormat="false" ht="12.75" hidden="false" customHeight="true" outlineLevel="0" collapsed="false">
      <c r="H122" s="185"/>
      <c r="I122" s="185"/>
      <c r="J122" s="185"/>
      <c r="L122" s="186"/>
      <c r="M122" s="186"/>
      <c r="N122" s="186"/>
      <c r="O122" s="186"/>
      <c r="P122" s="186"/>
      <c r="Q122" s="186"/>
      <c r="R122" s="186"/>
      <c r="U122" s="153"/>
      <c r="V122" s="153"/>
      <c r="W122" s="153"/>
      <c r="X122" s="153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</row>
    <row r="123" customFormat="false" ht="12.75" hidden="false" customHeight="true" outlineLevel="0" collapsed="false">
      <c r="H123" s="185"/>
      <c r="I123" s="185"/>
      <c r="J123" s="185"/>
      <c r="L123" s="186"/>
      <c r="M123" s="186"/>
      <c r="N123" s="186"/>
      <c r="O123" s="186"/>
      <c r="P123" s="186"/>
      <c r="Q123" s="186"/>
      <c r="R123" s="186"/>
      <c r="U123" s="153"/>
      <c r="V123" s="153"/>
      <c r="W123" s="153"/>
      <c r="X123" s="153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</row>
    <row r="124" customFormat="false" ht="12.75" hidden="false" customHeight="true" outlineLevel="0" collapsed="false">
      <c r="H124" s="185"/>
      <c r="I124" s="185"/>
      <c r="J124" s="185"/>
      <c r="L124" s="186"/>
      <c r="M124" s="186"/>
      <c r="N124" s="186"/>
      <c r="O124" s="186"/>
      <c r="P124" s="186"/>
      <c r="Q124" s="186"/>
      <c r="R124" s="186"/>
      <c r="U124" s="153"/>
      <c r="V124" s="153"/>
      <c r="W124" s="153"/>
      <c r="X124" s="153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</row>
    <row r="125" customFormat="false" ht="12.75" hidden="false" customHeight="true" outlineLevel="0" collapsed="false">
      <c r="H125" s="185"/>
      <c r="I125" s="185"/>
      <c r="J125" s="185"/>
      <c r="L125" s="186"/>
      <c r="M125" s="186"/>
      <c r="N125" s="186"/>
      <c r="O125" s="186"/>
      <c r="P125" s="186"/>
      <c r="Q125" s="186"/>
      <c r="R125" s="186"/>
      <c r="U125" s="153"/>
      <c r="V125" s="153"/>
      <c r="W125" s="153"/>
      <c r="X125" s="153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</row>
    <row r="126" customFormat="false" ht="12.75" hidden="false" customHeight="true" outlineLevel="0" collapsed="false">
      <c r="H126" s="185"/>
      <c r="I126" s="185"/>
      <c r="J126" s="185"/>
      <c r="L126" s="186"/>
      <c r="M126" s="186"/>
      <c r="N126" s="186"/>
      <c r="O126" s="186"/>
      <c r="P126" s="186"/>
      <c r="Q126" s="186"/>
      <c r="R126" s="186"/>
      <c r="U126" s="153"/>
      <c r="V126" s="153"/>
      <c r="W126" s="153"/>
      <c r="X126" s="153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</row>
    <row r="127" customFormat="false" ht="12.75" hidden="false" customHeight="true" outlineLevel="0" collapsed="false">
      <c r="H127" s="185"/>
      <c r="I127" s="185"/>
      <c r="J127" s="185"/>
      <c r="L127" s="186"/>
      <c r="M127" s="186"/>
      <c r="N127" s="186"/>
      <c r="O127" s="186"/>
      <c r="P127" s="186"/>
      <c r="Q127" s="186"/>
      <c r="R127" s="186"/>
      <c r="U127" s="153"/>
      <c r="V127" s="153"/>
      <c r="W127" s="153"/>
      <c r="X127" s="153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</row>
    <row r="128" customFormat="false" ht="12.75" hidden="false" customHeight="true" outlineLevel="0" collapsed="false">
      <c r="H128" s="185"/>
      <c r="I128" s="185"/>
      <c r="J128" s="185"/>
      <c r="L128" s="186"/>
      <c r="M128" s="186"/>
      <c r="N128" s="186"/>
      <c r="O128" s="186"/>
      <c r="P128" s="186"/>
      <c r="Q128" s="186"/>
      <c r="R128" s="186"/>
      <c r="U128" s="153"/>
      <c r="V128" s="153"/>
      <c r="W128" s="153"/>
      <c r="X128" s="153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</row>
    <row r="129" customFormat="false" ht="12.75" hidden="false" customHeight="true" outlineLevel="0" collapsed="false">
      <c r="H129" s="185"/>
      <c r="I129" s="185"/>
      <c r="J129" s="185"/>
      <c r="L129" s="186"/>
      <c r="M129" s="186"/>
      <c r="N129" s="186"/>
      <c r="O129" s="186"/>
      <c r="P129" s="186"/>
      <c r="Q129" s="186"/>
      <c r="R129" s="186"/>
      <c r="U129" s="153"/>
      <c r="V129" s="153"/>
      <c r="W129" s="153"/>
      <c r="X129" s="153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</row>
    <row r="130" customFormat="false" ht="12.75" hidden="false" customHeight="true" outlineLevel="0" collapsed="false">
      <c r="H130" s="185"/>
      <c r="I130" s="185"/>
      <c r="J130" s="185"/>
      <c r="L130" s="186"/>
      <c r="M130" s="186"/>
      <c r="N130" s="186"/>
      <c r="O130" s="186"/>
      <c r="P130" s="186"/>
      <c r="Q130" s="186"/>
      <c r="R130" s="186"/>
      <c r="U130" s="153"/>
      <c r="V130" s="153"/>
      <c r="W130" s="153"/>
      <c r="X130" s="153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</row>
    <row r="131" customFormat="false" ht="12.75" hidden="false" customHeight="true" outlineLevel="0" collapsed="false">
      <c r="H131" s="185"/>
      <c r="I131" s="185"/>
      <c r="J131" s="185"/>
      <c r="L131" s="186"/>
      <c r="M131" s="186"/>
      <c r="N131" s="186"/>
      <c r="O131" s="186"/>
      <c r="P131" s="186"/>
      <c r="Q131" s="186"/>
      <c r="R131" s="186"/>
      <c r="U131" s="153"/>
      <c r="V131" s="153"/>
      <c r="W131" s="153"/>
      <c r="X131" s="153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</row>
    <row r="132" customFormat="false" ht="12.75" hidden="false" customHeight="true" outlineLevel="0" collapsed="false">
      <c r="H132" s="185"/>
      <c r="I132" s="185"/>
      <c r="J132" s="185"/>
      <c r="L132" s="186"/>
      <c r="M132" s="186"/>
      <c r="N132" s="186"/>
      <c r="O132" s="186"/>
      <c r="P132" s="186"/>
      <c r="Q132" s="186"/>
      <c r="R132" s="186"/>
      <c r="U132" s="153"/>
      <c r="V132" s="153"/>
      <c r="W132" s="153"/>
      <c r="X132" s="153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</row>
    <row r="133" customFormat="false" ht="12.75" hidden="false" customHeight="true" outlineLevel="0" collapsed="false">
      <c r="H133" s="185"/>
      <c r="I133" s="185"/>
      <c r="J133" s="185"/>
      <c r="L133" s="186"/>
      <c r="M133" s="186"/>
      <c r="N133" s="186"/>
      <c r="O133" s="186"/>
      <c r="P133" s="186"/>
      <c r="Q133" s="186"/>
      <c r="R133" s="186"/>
      <c r="U133" s="153"/>
      <c r="V133" s="153"/>
      <c r="W133" s="153"/>
      <c r="X133" s="153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</row>
    <row r="134" customFormat="false" ht="12.75" hidden="false" customHeight="true" outlineLevel="0" collapsed="false">
      <c r="H134" s="185"/>
      <c r="I134" s="185"/>
      <c r="J134" s="185"/>
      <c r="L134" s="186"/>
      <c r="M134" s="186"/>
      <c r="N134" s="186"/>
      <c r="O134" s="186"/>
      <c r="P134" s="186"/>
      <c r="Q134" s="186"/>
      <c r="R134" s="186"/>
      <c r="U134" s="153"/>
      <c r="V134" s="153"/>
      <c r="W134" s="153"/>
      <c r="X134" s="153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</row>
    <row r="135" customFormat="false" ht="12.75" hidden="false" customHeight="true" outlineLevel="0" collapsed="false">
      <c r="H135" s="185"/>
      <c r="I135" s="185"/>
      <c r="J135" s="185"/>
      <c r="L135" s="186"/>
      <c r="M135" s="186"/>
      <c r="N135" s="186"/>
      <c r="O135" s="186"/>
      <c r="P135" s="186"/>
      <c r="Q135" s="186"/>
      <c r="R135" s="186"/>
      <c r="U135" s="153"/>
      <c r="V135" s="153"/>
      <c r="W135" s="153"/>
      <c r="X135" s="153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</row>
    <row r="136" customFormat="false" ht="12.75" hidden="false" customHeight="true" outlineLevel="0" collapsed="false">
      <c r="H136" s="185"/>
      <c r="I136" s="185"/>
      <c r="J136" s="185"/>
      <c r="L136" s="186"/>
      <c r="M136" s="186"/>
      <c r="N136" s="186"/>
      <c r="O136" s="186"/>
      <c r="P136" s="186"/>
      <c r="Q136" s="186"/>
      <c r="R136" s="186"/>
      <c r="U136" s="153"/>
      <c r="V136" s="153"/>
      <c r="W136" s="153"/>
      <c r="X136" s="153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</row>
    <row r="137" customFormat="false" ht="12.75" hidden="false" customHeight="true" outlineLevel="0" collapsed="false">
      <c r="H137" s="185"/>
      <c r="I137" s="185"/>
      <c r="J137" s="185"/>
      <c r="L137" s="186"/>
      <c r="M137" s="186"/>
      <c r="N137" s="186"/>
      <c r="O137" s="186"/>
      <c r="P137" s="186"/>
      <c r="Q137" s="186"/>
      <c r="R137" s="186"/>
      <c r="U137" s="153"/>
      <c r="V137" s="153"/>
      <c r="W137" s="153"/>
      <c r="X137" s="153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</row>
    <row r="138" customFormat="false" ht="12.75" hidden="false" customHeight="true" outlineLevel="0" collapsed="false">
      <c r="H138" s="185"/>
      <c r="I138" s="185"/>
      <c r="J138" s="185"/>
      <c r="L138" s="186"/>
      <c r="M138" s="186"/>
      <c r="N138" s="186"/>
      <c r="O138" s="186"/>
      <c r="P138" s="186"/>
      <c r="Q138" s="186"/>
      <c r="R138" s="186"/>
      <c r="U138" s="153"/>
      <c r="V138" s="153"/>
      <c r="W138" s="153"/>
      <c r="X138" s="153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</row>
    <row r="139" customFormat="false" ht="12.75" hidden="false" customHeight="true" outlineLevel="0" collapsed="false">
      <c r="H139" s="185"/>
      <c r="I139" s="185"/>
      <c r="J139" s="185"/>
      <c r="L139" s="186"/>
      <c r="M139" s="186"/>
      <c r="N139" s="186"/>
      <c r="O139" s="186"/>
      <c r="P139" s="186"/>
      <c r="Q139" s="186"/>
      <c r="R139" s="186"/>
      <c r="U139" s="153"/>
      <c r="V139" s="153"/>
      <c r="W139" s="153"/>
      <c r="X139" s="153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</row>
    <row r="140" customFormat="false" ht="12.75" hidden="false" customHeight="true" outlineLevel="0" collapsed="false">
      <c r="H140" s="185"/>
      <c r="I140" s="185"/>
      <c r="J140" s="185"/>
      <c r="L140" s="186"/>
      <c r="M140" s="186"/>
      <c r="N140" s="186"/>
      <c r="O140" s="186"/>
      <c r="P140" s="186"/>
      <c r="Q140" s="186"/>
      <c r="R140" s="186"/>
      <c r="U140" s="153"/>
      <c r="V140" s="153"/>
      <c r="W140" s="153"/>
      <c r="X140" s="153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</row>
    <row r="141" customFormat="false" ht="12.75" hidden="false" customHeight="true" outlineLevel="0" collapsed="false">
      <c r="H141" s="185"/>
      <c r="I141" s="185"/>
      <c r="J141" s="185"/>
      <c r="L141" s="186"/>
      <c r="M141" s="186"/>
      <c r="N141" s="186"/>
      <c r="O141" s="186"/>
      <c r="P141" s="186"/>
      <c r="Q141" s="186"/>
      <c r="R141" s="186"/>
      <c r="U141" s="153"/>
      <c r="V141" s="153"/>
      <c r="W141" s="153"/>
      <c r="X141" s="153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</row>
    <row r="142" customFormat="false" ht="12.75" hidden="false" customHeight="true" outlineLevel="0" collapsed="false">
      <c r="H142" s="185"/>
      <c r="I142" s="185"/>
      <c r="J142" s="185"/>
      <c r="L142" s="186"/>
      <c r="M142" s="186"/>
      <c r="N142" s="186"/>
      <c r="O142" s="186"/>
      <c r="P142" s="186"/>
      <c r="Q142" s="186"/>
      <c r="R142" s="186"/>
      <c r="U142" s="153"/>
      <c r="V142" s="153"/>
      <c r="W142" s="153"/>
      <c r="X142" s="153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</row>
    <row r="143" customFormat="false" ht="12.75" hidden="false" customHeight="true" outlineLevel="0" collapsed="false">
      <c r="H143" s="185"/>
      <c r="I143" s="185"/>
      <c r="J143" s="185"/>
      <c r="L143" s="186"/>
      <c r="M143" s="186"/>
      <c r="N143" s="186"/>
      <c r="O143" s="186"/>
      <c r="P143" s="186"/>
      <c r="Q143" s="186"/>
      <c r="R143" s="186"/>
      <c r="U143" s="153"/>
      <c r="V143" s="153"/>
      <c r="W143" s="153"/>
      <c r="X143" s="153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</row>
    <row r="144" customFormat="false" ht="12.75" hidden="false" customHeight="true" outlineLevel="0" collapsed="false">
      <c r="H144" s="185"/>
      <c r="I144" s="185"/>
      <c r="J144" s="185"/>
      <c r="L144" s="186"/>
      <c r="M144" s="186"/>
      <c r="N144" s="186"/>
      <c r="O144" s="186"/>
      <c r="P144" s="186"/>
      <c r="Q144" s="186"/>
      <c r="R144" s="186"/>
      <c r="U144" s="153"/>
      <c r="V144" s="153"/>
      <c r="W144" s="153"/>
      <c r="X144" s="153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</row>
    <row r="145" customFormat="false" ht="12.75" hidden="false" customHeight="true" outlineLevel="0" collapsed="false">
      <c r="H145" s="185"/>
      <c r="I145" s="185"/>
      <c r="J145" s="185"/>
      <c r="L145" s="186"/>
      <c r="M145" s="186"/>
      <c r="N145" s="186"/>
      <c r="O145" s="186"/>
      <c r="P145" s="186"/>
      <c r="Q145" s="186"/>
      <c r="R145" s="186"/>
      <c r="U145" s="153"/>
      <c r="V145" s="153"/>
      <c r="W145" s="153"/>
      <c r="X145" s="153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</row>
    <row r="146" customFormat="false" ht="12.75" hidden="false" customHeight="true" outlineLevel="0" collapsed="false">
      <c r="H146" s="185"/>
      <c r="I146" s="185"/>
      <c r="J146" s="185"/>
      <c r="L146" s="186"/>
      <c r="M146" s="186"/>
      <c r="N146" s="186"/>
      <c r="O146" s="186"/>
      <c r="P146" s="186"/>
      <c r="Q146" s="186"/>
      <c r="R146" s="186"/>
      <c r="U146" s="153"/>
      <c r="V146" s="153"/>
      <c r="W146" s="153"/>
      <c r="X146" s="153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</row>
    <row r="147" customFormat="false" ht="12.75" hidden="false" customHeight="true" outlineLevel="0" collapsed="false">
      <c r="H147" s="185"/>
      <c r="I147" s="185"/>
      <c r="J147" s="185"/>
      <c r="L147" s="186"/>
      <c r="M147" s="186"/>
      <c r="N147" s="186"/>
      <c r="O147" s="186"/>
      <c r="P147" s="186"/>
      <c r="Q147" s="186"/>
      <c r="R147" s="186"/>
      <c r="U147" s="153"/>
      <c r="V147" s="153"/>
      <c r="W147" s="153"/>
      <c r="X147" s="153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</row>
    <row r="148" customFormat="false" ht="12.75" hidden="false" customHeight="true" outlineLevel="0" collapsed="false">
      <c r="H148" s="185"/>
      <c r="I148" s="185"/>
      <c r="J148" s="185"/>
      <c r="L148" s="186"/>
      <c r="M148" s="186"/>
      <c r="N148" s="186"/>
      <c r="O148" s="186"/>
      <c r="P148" s="186"/>
      <c r="Q148" s="186"/>
      <c r="R148" s="186"/>
      <c r="U148" s="153"/>
      <c r="V148" s="153"/>
      <c r="W148" s="153"/>
      <c r="X148" s="153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</row>
    <row r="149" customFormat="false" ht="12.75" hidden="false" customHeight="true" outlineLevel="0" collapsed="false">
      <c r="H149" s="185"/>
      <c r="I149" s="185"/>
      <c r="J149" s="185"/>
      <c r="L149" s="186"/>
      <c r="M149" s="186"/>
      <c r="N149" s="186"/>
      <c r="O149" s="186"/>
      <c r="P149" s="186"/>
      <c r="Q149" s="186"/>
      <c r="R149" s="186"/>
      <c r="U149" s="153"/>
      <c r="V149" s="153"/>
      <c r="W149" s="153"/>
      <c r="X149" s="153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</row>
    <row r="150" customFormat="false" ht="12.75" hidden="false" customHeight="true" outlineLevel="0" collapsed="false">
      <c r="H150" s="185"/>
      <c r="I150" s="185"/>
      <c r="J150" s="185"/>
      <c r="L150" s="186"/>
      <c r="M150" s="186"/>
      <c r="N150" s="186"/>
      <c r="O150" s="186"/>
      <c r="P150" s="186"/>
      <c r="Q150" s="186"/>
      <c r="R150" s="186"/>
      <c r="U150" s="153"/>
      <c r="V150" s="153"/>
      <c r="W150" s="153"/>
      <c r="X150" s="153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</row>
    <row r="151" customFormat="false" ht="12.75" hidden="false" customHeight="true" outlineLevel="0" collapsed="false">
      <c r="H151" s="185"/>
      <c r="I151" s="185"/>
      <c r="J151" s="185"/>
      <c r="L151" s="186"/>
      <c r="M151" s="186"/>
      <c r="N151" s="186"/>
      <c r="O151" s="186"/>
      <c r="P151" s="186"/>
      <c r="Q151" s="186"/>
      <c r="R151" s="186"/>
      <c r="U151" s="153"/>
      <c r="V151" s="153"/>
      <c r="W151" s="153"/>
      <c r="X151" s="153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</row>
    <row r="152" customFormat="false" ht="12.75" hidden="false" customHeight="true" outlineLevel="0" collapsed="false">
      <c r="H152" s="185"/>
      <c r="I152" s="185"/>
      <c r="J152" s="185"/>
      <c r="L152" s="186"/>
      <c r="M152" s="186"/>
      <c r="N152" s="186"/>
      <c r="O152" s="186"/>
      <c r="P152" s="186"/>
      <c r="Q152" s="186"/>
      <c r="R152" s="186"/>
      <c r="U152" s="153"/>
      <c r="V152" s="153"/>
      <c r="W152" s="153"/>
      <c r="X152" s="153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</row>
    <row r="153" customFormat="false" ht="12.75" hidden="false" customHeight="true" outlineLevel="0" collapsed="false">
      <c r="H153" s="185"/>
      <c r="I153" s="185"/>
      <c r="J153" s="185"/>
      <c r="L153" s="186"/>
      <c r="M153" s="186"/>
      <c r="N153" s="186"/>
      <c r="O153" s="186"/>
      <c r="P153" s="186"/>
      <c r="Q153" s="186"/>
      <c r="R153" s="186"/>
      <c r="U153" s="153"/>
      <c r="V153" s="153"/>
      <c r="W153" s="153"/>
      <c r="X153" s="153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</row>
    <row r="154" customFormat="false" ht="12.75" hidden="false" customHeight="true" outlineLevel="0" collapsed="false">
      <c r="H154" s="185"/>
      <c r="I154" s="185"/>
      <c r="J154" s="185"/>
      <c r="L154" s="186"/>
      <c r="M154" s="186"/>
      <c r="N154" s="186"/>
      <c r="O154" s="186"/>
      <c r="P154" s="186"/>
      <c r="Q154" s="186"/>
      <c r="R154" s="186"/>
      <c r="U154" s="153"/>
      <c r="V154" s="153"/>
      <c r="W154" s="153"/>
      <c r="X154" s="153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</row>
    <row r="155" customFormat="false" ht="12.75" hidden="false" customHeight="true" outlineLevel="0" collapsed="false">
      <c r="H155" s="185"/>
      <c r="I155" s="185"/>
      <c r="J155" s="185"/>
      <c r="L155" s="186"/>
      <c r="M155" s="186"/>
      <c r="N155" s="186"/>
      <c r="O155" s="186"/>
      <c r="P155" s="186"/>
      <c r="Q155" s="186"/>
      <c r="R155" s="186"/>
      <c r="U155" s="153"/>
      <c r="V155" s="153"/>
      <c r="W155" s="153"/>
      <c r="X155" s="153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</row>
    <row r="156" customFormat="false" ht="12.75" hidden="false" customHeight="true" outlineLevel="0" collapsed="false">
      <c r="H156" s="185"/>
      <c r="I156" s="185"/>
      <c r="J156" s="185"/>
      <c r="L156" s="186"/>
      <c r="M156" s="186"/>
      <c r="N156" s="186"/>
      <c r="O156" s="186"/>
      <c r="P156" s="186"/>
      <c r="Q156" s="186"/>
      <c r="R156" s="186"/>
      <c r="U156" s="153"/>
      <c r="V156" s="153"/>
      <c r="W156" s="153"/>
      <c r="X156" s="153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</row>
    <row r="157" customFormat="false" ht="12.75" hidden="false" customHeight="true" outlineLevel="0" collapsed="false">
      <c r="H157" s="185"/>
      <c r="I157" s="185"/>
      <c r="J157" s="185"/>
      <c r="L157" s="186"/>
      <c r="M157" s="186"/>
      <c r="N157" s="186"/>
      <c r="O157" s="186"/>
      <c r="P157" s="186"/>
      <c r="Q157" s="186"/>
      <c r="R157" s="186"/>
      <c r="U157" s="153"/>
      <c r="V157" s="153"/>
      <c r="W157" s="153"/>
      <c r="X157" s="153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</row>
    <row r="158" customFormat="false" ht="12.75" hidden="false" customHeight="true" outlineLevel="0" collapsed="false">
      <c r="H158" s="185"/>
      <c r="I158" s="185"/>
      <c r="J158" s="185"/>
      <c r="L158" s="186"/>
      <c r="M158" s="186"/>
      <c r="N158" s="186"/>
      <c r="O158" s="186"/>
      <c r="P158" s="186"/>
      <c r="Q158" s="186"/>
      <c r="R158" s="186"/>
      <c r="U158" s="153"/>
      <c r="V158" s="153"/>
      <c r="W158" s="153"/>
      <c r="X158" s="153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</row>
    <row r="159" customFormat="false" ht="12.75" hidden="false" customHeight="true" outlineLevel="0" collapsed="false">
      <c r="H159" s="185"/>
      <c r="I159" s="185"/>
      <c r="J159" s="185"/>
      <c r="L159" s="186"/>
      <c r="M159" s="186"/>
      <c r="N159" s="186"/>
      <c r="O159" s="186"/>
      <c r="P159" s="186"/>
      <c r="Q159" s="186"/>
      <c r="R159" s="186"/>
      <c r="U159" s="153"/>
      <c r="V159" s="153"/>
      <c r="W159" s="153"/>
      <c r="X159" s="153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</row>
    <row r="160" customFormat="false" ht="12.75" hidden="false" customHeight="true" outlineLevel="0" collapsed="false">
      <c r="H160" s="185"/>
      <c r="I160" s="185"/>
      <c r="J160" s="185"/>
      <c r="L160" s="186"/>
      <c r="M160" s="186"/>
      <c r="N160" s="186"/>
      <c r="O160" s="186"/>
      <c r="P160" s="186"/>
      <c r="Q160" s="186"/>
      <c r="R160" s="186"/>
      <c r="U160" s="153"/>
      <c r="V160" s="153"/>
      <c r="W160" s="153"/>
      <c r="X160" s="153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</row>
    <row r="161" customFormat="false" ht="12.75" hidden="false" customHeight="true" outlineLevel="0" collapsed="false">
      <c r="H161" s="185"/>
      <c r="I161" s="185"/>
      <c r="J161" s="185"/>
      <c r="L161" s="186"/>
      <c r="M161" s="186"/>
      <c r="N161" s="186"/>
      <c r="O161" s="186"/>
      <c r="P161" s="186"/>
      <c r="Q161" s="186"/>
      <c r="R161" s="186"/>
      <c r="U161" s="153"/>
      <c r="V161" s="153"/>
      <c r="W161" s="153"/>
      <c r="X161" s="153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</row>
    <row r="162" customFormat="false" ht="12.75" hidden="false" customHeight="true" outlineLevel="0" collapsed="false">
      <c r="H162" s="185"/>
      <c r="I162" s="185"/>
      <c r="J162" s="185"/>
      <c r="L162" s="186"/>
      <c r="M162" s="186"/>
      <c r="N162" s="186"/>
      <c r="O162" s="186"/>
      <c r="P162" s="186"/>
      <c r="Q162" s="186"/>
      <c r="R162" s="186"/>
      <c r="U162" s="153"/>
      <c r="V162" s="153"/>
      <c r="W162" s="153"/>
      <c r="X162" s="153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</row>
    <row r="163" customFormat="false" ht="12.75" hidden="false" customHeight="true" outlineLevel="0" collapsed="false">
      <c r="H163" s="185"/>
      <c r="I163" s="185"/>
      <c r="J163" s="185"/>
      <c r="L163" s="186"/>
      <c r="M163" s="186"/>
      <c r="N163" s="186"/>
      <c r="O163" s="186"/>
      <c r="P163" s="186"/>
      <c r="Q163" s="186"/>
      <c r="R163" s="186"/>
      <c r="U163" s="153"/>
      <c r="V163" s="153"/>
      <c r="W163" s="153"/>
      <c r="X163" s="153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</row>
    <row r="164" customFormat="false" ht="12.75" hidden="false" customHeight="true" outlineLevel="0" collapsed="false">
      <c r="H164" s="185"/>
      <c r="I164" s="185"/>
      <c r="J164" s="185"/>
      <c r="L164" s="186"/>
      <c r="M164" s="186"/>
      <c r="N164" s="186"/>
      <c r="O164" s="186"/>
      <c r="P164" s="186"/>
      <c r="Q164" s="186"/>
      <c r="R164" s="186"/>
      <c r="U164" s="153"/>
      <c r="V164" s="153"/>
      <c r="W164" s="153"/>
      <c r="X164" s="153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</row>
    <row r="165" customFormat="false" ht="12.75" hidden="false" customHeight="true" outlineLevel="0" collapsed="false">
      <c r="H165" s="185"/>
      <c r="I165" s="185"/>
      <c r="J165" s="185"/>
      <c r="L165" s="186"/>
      <c r="M165" s="186"/>
      <c r="N165" s="186"/>
      <c r="O165" s="186"/>
      <c r="P165" s="186"/>
      <c r="Q165" s="186"/>
      <c r="R165" s="186"/>
      <c r="U165" s="153"/>
      <c r="V165" s="153"/>
      <c r="W165" s="153"/>
      <c r="X165" s="153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</row>
    <row r="166" customFormat="false" ht="12.75" hidden="false" customHeight="true" outlineLevel="0" collapsed="false">
      <c r="H166" s="185"/>
      <c r="I166" s="185"/>
      <c r="J166" s="185"/>
      <c r="L166" s="186"/>
      <c r="M166" s="186"/>
      <c r="N166" s="186"/>
      <c r="O166" s="186"/>
      <c r="P166" s="186"/>
      <c r="Q166" s="186"/>
      <c r="R166" s="186"/>
      <c r="U166" s="153"/>
      <c r="V166" s="153"/>
      <c r="W166" s="153"/>
      <c r="X166" s="153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</row>
    <row r="167" customFormat="false" ht="12.75" hidden="false" customHeight="true" outlineLevel="0" collapsed="false">
      <c r="H167" s="185"/>
      <c r="I167" s="185"/>
      <c r="J167" s="185"/>
      <c r="L167" s="186"/>
      <c r="M167" s="186"/>
      <c r="N167" s="186"/>
      <c r="O167" s="186"/>
      <c r="P167" s="186"/>
      <c r="Q167" s="186"/>
      <c r="R167" s="186"/>
      <c r="U167" s="153"/>
      <c r="V167" s="153"/>
      <c r="W167" s="153"/>
      <c r="X167" s="153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</row>
    <row r="168" customFormat="false" ht="12.75" hidden="false" customHeight="true" outlineLevel="0" collapsed="false">
      <c r="H168" s="185"/>
      <c r="I168" s="185"/>
      <c r="J168" s="185"/>
      <c r="L168" s="186"/>
      <c r="M168" s="186"/>
      <c r="N168" s="186"/>
      <c r="O168" s="186"/>
      <c r="P168" s="186"/>
      <c r="Q168" s="186"/>
      <c r="R168" s="186"/>
      <c r="U168" s="153"/>
      <c r="V168" s="153"/>
      <c r="W168" s="153"/>
      <c r="X168" s="153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</row>
    <row r="169" customFormat="false" ht="12.75" hidden="false" customHeight="true" outlineLevel="0" collapsed="false">
      <c r="H169" s="185"/>
      <c r="I169" s="185"/>
      <c r="J169" s="185"/>
      <c r="L169" s="186"/>
      <c r="M169" s="186"/>
      <c r="N169" s="186"/>
      <c r="O169" s="186"/>
      <c r="P169" s="186"/>
      <c r="Q169" s="186"/>
      <c r="R169" s="186"/>
      <c r="U169" s="153"/>
      <c r="V169" s="153"/>
      <c r="W169" s="153"/>
      <c r="X169" s="153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</row>
    <row r="170" customFormat="false" ht="12.75" hidden="false" customHeight="true" outlineLevel="0" collapsed="false">
      <c r="H170" s="185"/>
      <c r="I170" s="185"/>
      <c r="J170" s="185"/>
      <c r="L170" s="186"/>
      <c r="M170" s="186"/>
      <c r="N170" s="186"/>
      <c r="O170" s="186"/>
      <c r="P170" s="186"/>
      <c r="Q170" s="186"/>
      <c r="R170" s="186"/>
      <c r="U170" s="153"/>
      <c r="V170" s="153"/>
      <c r="W170" s="153"/>
      <c r="X170" s="153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</row>
    <row r="171" customFormat="false" ht="12.75" hidden="false" customHeight="true" outlineLevel="0" collapsed="false">
      <c r="H171" s="185"/>
      <c r="I171" s="185"/>
      <c r="J171" s="185"/>
      <c r="L171" s="186"/>
      <c r="M171" s="186"/>
      <c r="N171" s="186"/>
      <c r="O171" s="186"/>
      <c r="P171" s="186"/>
      <c r="Q171" s="186"/>
      <c r="R171" s="186"/>
      <c r="U171" s="153"/>
      <c r="V171" s="153"/>
      <c r="W171" s="153"/>
      <c r="X171" s="153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</row>
    <row r="172" customFormat="false" ht="12.75" hidden="false" customHeight="true" outlineLevel="0" collapsed="false">
      <c r="H172" s="185"/>
      <c r="I172" s="185"/>
      <c r="J172" s="185"/>
      <c r="L172" s="186"/>
      <c r="M172" s="186"/>
      <c r="N172" s="186"/>
      <c r="O172" s="186"/>
      <c r="P172" s="186"/>
      <c r="Q172" s="186"/>
      <c r="R172" s="186"/>
      <c r="U172" s="153"/>
      <c r="V172" s="153"/>
      <c r="W172" s="153"/>
      <c r="X172" s="153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</row>
    <row r="173" customFormat="false" ht="12.75" hidden="false" customHeight="true" outlineLevel="0" collapsed="false">
      <c r="H173" s="185"/>
      <c r="I173" s="185"/>
      <c r="J173" s="185"/>
      <c r="L173" s="186"/>
      <c r="M173" s="186"/>
      <c r="N173" s="186"/>
      <c r="O173" s="186"/>
      <c r="P173" s="186"/>
      <c r="Q173" s="186"/>
      <c r="R173" s="186"/>
      <c r="U173" s="153"/>
      <c r="V173" s="153"/>
      <c r="W173" s="153"/>
      <c r="X173" s="153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</row>
    <row r="174" customFormat="false" ht="12.75" hidden="false" customHeight="true" outlineLevel="0" collapsed="false">
      <c r="H174" s="185"/>
      <c r="I174" s="185"/>
      <c r="J174" s="185"/>
      <c r="L174" s="186"/>
      <c r="M174" s="186"/>
      <c r="N174" s="186"/>
      <c r="O174" s="186"/>
      <c r="P174" s="186"/>
      <c r="Q174" s="186"/>
      <c r="R174" s="186"/>
      <c r="U174" s="153"/>
      <c r="V174" s="153"/>
      <c r="W174" s="153"/>
      <c r="X174" s="153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</row>
    <row r="175" customFormat="false" ht="12.75" hidden="false" customHeight="true" outlineLevel="0" collapsed="false">
      <c r="H175" s="185"/>
      <c r="I175" s="185"/>
      <c r="J175" s="185"/>
      <c r="L175" s="186"/>
      <c r="M175" s="186"/>
      <c r="N175" s="186"/>
      <c r="O175" s="186"/>
      <c r="P175" s="186"/>
      <c r="Q175" s="186"/>
      <c r="R175" s="186"/>
      <c r="U175" s="153"/>
      <c r="V175" s="153"/>
      <c r="W175" s="153"/>
      <c r="X175" s="153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</row>
    <row r="176" customFormat="false" ht="12.75" hidden="false" customHeight="true" outlineLevel="0" collapsed="false">
      <c r="H176" s="185"/>
      <c r="I176" s="185"/>
      <c r="J176" s="185"/>
      <c r="L176" s="186"/>
      <c r="M176" s="186"/>
      <c r="N176" s="186"/>
      <c r="O176" s="186"/>
      <c r="P176" s="186"/>
      <c r="Q176" s="186"/>
      <c r="R176" s="186"/>
      <c r="U176" s="153"/>
      <c r="V176" s="153"/>
      <c r="W176" s="153"/>
      <c r="X176" s="153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</row>
    <row r="177" customFormat="false" ht="12.75" hidden="false" customHeight="true" outlineLevel="0" collapsed="false">
      <c r="H177" s="185"/>
      <c r="I177" s="185"/>
      <c r="J177" s="185"/>
      <c r="L177" s="186"/>
      <c r="M177" s="186"/>
      <c r="N177" s="186"/>
      <c r="O177" s="186"/>
      <c r="P177" s="186"/>
      <c r="Q177" s="186"/>
      <c r="R177" s="186"/>
      <c r="U177" s="153"/>
      <c r="V177" s="153"/>
      <c r="W177" s="153"/>
      <c r="X177" s="153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</row>
    <row r="178" customFormat="false" ht="12.75" hidden="false" customHeight="true" outlineLevel="0" collapsed="false">
      <c r="H178" s="185"/>
      <c r="I178" s="185"/>
      <c r="J178" s="185"/>
      <c r="L178" s="186"/>
      <c r="M178" s="186"/>
      <c r="N178" s="186"/>
      <c r="O178" s="186"/>
      <c r="P178" s="186"/>
      <c r="Q178" s="186"/>
      <c r="R178" s="186"/>
      <c r="U178" s="153"/>
      <c r="V178" s="153"/>
      <c r="W178" s="153"/>
      <c r="X178" s="153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</row>
    <row r="179" customFormat="false" ht="12.75" hidden="false" customHeight="true" outlineLevel="0" collapsed="false">
      <c r="H179" s="185"/>
      <c r="I179" s="185"/>
      <c r="J179" s="185"/>
      <c r="L179" s="186"/>
      <c r="M179" s="186"/>
      <c r="N179" s="186"/>
      <c r="O179" s="186"/>
      <c r="P179" s="186"/>
      <c r="Q179" s="186"/>
      <c r="R179" s="186"/>
      <c r="U179" s="153"/>
      <c r="V179" s="153"/>
      <c r="W179" s="153"/>
      <c r="X179" s="153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</row>
    <row r="180" customFormat="false" ht="12.75" hidden="false" customHeight="true" outlineLevel="0" collapsed="false">
      <c r="H180" s="185"/>
      <c r="I180" s="185"/>
      <c r="J180" s="185"/>
      <c r="L180" s="186"/>
      <c r="M180" s="186"/>
      <c r="N180" s="186"/>
      <c r="O180" s="186"/>
      <c r="P180" s="186"/>
      <c r="Q180" s="186"/>
      <c r="R180" s="186"/>
      <c r="U180" s="153"/>
      <c r="V180" s="153"/>
      <c r="W180" s="153"/>
      <c r="X180" s="153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</row>
    <row r="181" customFormat="false" ht="12.75" hidden="false" customHeight="true" outlineLevel="0" collapsed="false">
      <c r="H181" s="185"/>
      <c r="I181" s="185"/>
      <c r="J181" s="185"/>
      <c r="L181" s="186"/>
      <c r="M181" s="186"/>
      <c r="N181" s="186"/>
      <c r="O181" s="186"/>
      <c r="P181" s="186"/>
      <c r="Q181" s="186"/>
      <c r="R181" s="186"/>
      <c r="U181" s="153"/>
      <c r="V181" s="153"/>
      <c r="W181" s="153"/>
      <c r="X181" s="153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</row>
    <row r="182" customFormat="false" ht="12.75" hidden="false" customHeight="true" outlineLevel="0" collapsed="false">
      <c r="H182" s="185"/>
      <c r="I182" s="185"/>
      <c r="J182" s="185"/>
      <c r="L182" s="186"/>
      <c r="M182" s="186"/>
      <c r="N182" s="186"/>
      <c r="O182" s="186"/>
      <c r="P182" s="186"/>
      <c r="Q182" s="186"/>
      <c r="R182" s="186"/>
      <c r="U182" s="153"/>
      <c r="V182" s="153"/>
      <c r="W182" s="153"/>
      <c r="X182" s="153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</row>
    <row r="183" customFormat="false" ht="12.75" hidden="false" customHeight="true" outlineLevel="0" collapsed="false">
      <c r="H183" s="185"/>
      <c r="I183" s="185"/>
      <c r="J183" s="185"/>
      <c r="L183" s="186"/>
      <c r="M183" s="186"/>
      <c r="N183" s="186"/>
      <c r="O183" s="186"/>
      <c r="P183" s="186"/>
      <c r="Q183" s="186"/>
      <c r="R183" s="186"/>
      <c r="U183" s="153"/>
      <c r="V183" s="153"/>
      <c r="W183" s="153"/>
      <c r="X183" s="153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</row>
    <row r="184" customFormat="false" ht="12.75" hidden="false" customHeight="true" outlineLevel="0" collapsed="false">
      <c r="H184" s="185"/>
      <c r="I184" s="185"/>
      <c r="J184" s="185"/>
      <c r="L184" s="186"/>
      <c r="M184" s="186"/>
      <c r="N184" s="186"/>
      <c r="O184" s="186"/>
      <c r="P184" s="186"/>
      <c r="Q184" s="186"/>
      <c r="R184" s="186"/>
      <c r="U184" s="153"/>
      <c r="V184" s="153"/>
      <c r="W184" s="153"/>
      <c r="X184" s="153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</row>
    <row r="185" customFormat="false" ht="12.75" hidden="false" customHeight="true" outlineLevel="0" collapsed="false">
      <c r="H185" s="185"/>
      <c r="I185" s="185"/>
      <c r="J185" s="185"/>
      <c r="L185" s="186"/>
      <c r="M185" s="186"/>
      <c r="N185" s="186"/>
      <c r="O185" s="186"/>
      <c r="P185" s="186"/>
      <c r="Q185" s="186"/>
      <c r="R185" s="186"/>
      <c r="U185" s="153"/>
      <c r="V185" s="153"/>
      <c r="W185" s="153"/>
      <c r="X185" s="153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</row>
    <row r="186" customFormat="false" ht="12.75" hidden="false" customHeight="true" outlineLevel="0" collapsed="false">
      <c r="H186" s="185"/>
      <c r="I186" s="185"/>
      <c r="J186" s="185"/>
      <c r="L186" s="186"/>
      <c r="M186" s="186"/>
      <c r="N186" s="186"/>
      <c r="O186" s="186"/>
      <c r="P186" s="186"/>
      <c r="Q186" s="186"/>
      <c r="R186" s="186"/>
      <c r="U186" s="153"/>
      <c r="V186" s="153"/>
      <c r="W186" s="153"/>
      <c r="X186" s="153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</row>
    <row r="187" customFormat="false" ht="12.75" hidden="false" customHeight="true" outlineLevel="0" collapsed="false">
      <c r="H187" s="185"/>
      <c r="I187" s="185"/>
      <c r="J187" s="185"/>
      <c r="L187" s="186"/>
      <c r="M187" s="186"/>
      <c r="N187" s="186"/>
      <c r="O187" s="186"/>
      <c r="P187" s="186"/>
      <c r="Q187" s="186"/>
      <c r="R187" s="186"/>
      <c r="U187" s="153"/>
      <c r="V187" s="153"/>
      <c r="W187" s="153"/>
      <c r="X187" s="153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</row>
    <row r="188" customFormat="false" ht="12.75" hidden="false" customHeight="true" outlineLevel="0" collapsed="false">
      <c r="H188" s="185"/>
      <c r="I188" s="185"/>
      <c r="J188" s="185"/>
      <c r="L188" s="186"/>
      <c r="M188" s="186"/>
      <c r="N188" s="186"/>
      <c r="O188" s="186"/>
      <c r="P188" s="186"/>
      <c r="Q188" s="186"/>
      <c r="R188" s="186"/>
      <c r="U188" s="153"/>
      <c r="V188" s="153"/>
      <c r="W188" s="153"/>
      <c r="X188" s="153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</row>
    <row r="189" customFormat="false" ht="12.75" hidden="false" customHeight="true" outlineLevel="0" collapsed="false">
      <c r="H189" s="185"/>
      <c r="I189" s="185"/>
      <c r="J189" s="185"/>
      <c r="L189" s="186"/>
      <c r="M189" s="186"/>
      <c r="N189" s="186"/>
      <c r="O189" s="186"/>
      <c r="P189" s="186"/>
      <c r="Q189" s="186"/>
      <c r="R189" s="186"/>
      <c r="U189" s="153"/>
      <c r="V189" s="153"/>
      <c r="W189" s="153"/>
      <c r="X189" s="153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</row>
    <row r="190" customFormat="false" ht="12.75" hidden="false" customHeight="true" outlineLevel="0" collapsed="false">
      <c r="H190" s="185"/>
      <c r="I190" s="185"/>
      <c r="J190" s="185"/>
      <c r="L190" s="186"/>
      <c r="M190" s="186"/>
      <c r="N190" s="186"/>
      <c r="O190" s="186"/>
      <c r="P190" s="186"/>
      <c r="Q190" s="186"/>
      <c r="R190" s="186"/>
      <c r="U190" s="153"/>
      <c r="V190" s="153"/>
      <c r="W190" s="153"/>
      <c r="X190" s="153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</row>
    <row r="191" customFormat="false" ht="12.75" hidden="false" customHeight="true" outlineLevel="0" collapsed="false">
      <c r="H191" s="185"/>
      <c r="I191" s="185"/>
      <c r="J191" s="185"/>
      <c r="L191" s="186"/>
      <c r="M191" s="186"/>
      <c r="N191" s="186"/>
      <c r="O191" s="186"/>
      <c r="P191" s="186"/>
      <c r="Q191" s="186"/>
      <c r="R191" s="186"/>
      <c r="U191" s="153"/>
      <c r="V191" s="153"/>
      <c r="W191" s="153"/>
      <c r="X191" s="153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</row>
    <row r="192" customFormat="false" ht="12.75" hidden="false" customHeight="true" outlineLevel="0" collapsed="false">
      <c r="H192" s="185"/>
      <c r="I192" s="185"/>
      <c r="J192" s="185"/>
      <c r="L192" s="186"/>
      <c r="M192" s="186"/>
      <c r="N192" s="186"/>
      <c r="O192" s="186"/>
      <c r="P192" s="186"/>
      <c r="Q192" s="186"/>
      <c r="R192" s="186"/>
      <c r="U192" s="153"/>
      <c r="V192" s="153"/>
      <c r="W192" s="153"/>
      <c r="X192" s="153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</row>
    <row r="193" customFormat="false" ht="12.75" hidden="false" customHeight="true" outlineLevel="0" collapsed="false">
      <c r="H193" s="185"/>
      <c r="I193" s="185"/>
      <c r="J193" s="185"/>
      <c r="L193" s="186"/>
      <c r="M193" s="186"/>
      <c r="N193" s="186"/>
      <c r="O193" s="186"/>
      <c r="P193" s="186"/>
      <c r="Q193" s="186"/>
      <c r="R193" s="186"/>
      <c r="U193" s="153"/>
      <c r="V193" s="153"/>
      <c r="W193" s="153"/>
      <c r="X193" s="153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</row>
    <row r="194" customFormat="false" ht="12.75" hidden="false" customHeight="true" outlineLevel="0" collapsed="false">
      <c r="H194" s="185"/>
      <c r="I194" s="185"/>
      <c r="J194" s="185"/>
      <c r="L194" s="186"/>
      <c r="M194" s="186"/>
      <c r="N194" s="186"/>
      <c r="O194" s="186"/>
      <c r="P194" s="186"/>
      <c r="Q194" s="186"/>
      <c r="R194" s="186"/>
      <c r="U194" s="153"/>
      <c r="V194" s="153"/>
      <c r="W194" s="153"/>
      <c r="X194" s="153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</row>
    <row r="195" customFormat="false" ht="12.75" hidden="false" customHeight="true" outlineLevel="0" collapsed="false">
      <c r="H195" s="185"/>
      <c r="I195" s="185"/>
      <c r="J195" s="185"/>
      <c r="L195" s="186"/>
      <c r="M195" s="186"/>
      <c r="N195" s="186"/>
      <c r="O195" s="186"/>
      <c r="P195" s="186"/>
      <c r="Q195" s="186"/>
      <c r="R195" s="186"/>
      <c r="U195" s="153"/>
      <c r="V195" s="153"/>
      <c r="W195" s="153"/>
      <c r="X195" s="153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</row>
    <row r="196" customFormat="false" ht="12.75" hidden="false" customHeight="true" outlineLevel="0" collapsed="false">
      <c r="H196" s="185"/>
      <c r="I196" s="185"/>
      <c r="J196" s="185"/>
      <c r="L196" s="186"/>
      <c r="M196" s="186"/>
      <c r="N196" s="186"/>
      <c r="O196" s="186"/>
      <c r="P196" s="186"/>
      <c r="Q196" s="186"/>
      <c r="R196" s="186"/>
      <c r="U196" s="153"/>
      <c r="V196" s="153"/>
      <c r="W196" s="153"/>
      <c r="X196" s="153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</row>
    <row r="197" customFormat="false" ht="12.75" hidden="false" customHeight="true" outlineLevel="0" collapsed="false">
      <c r="H197" s="185"/>
      <c r="I197" s="185"/>
      <c r="J197" s="185"/>
      <c r="L197" s="186"/>
      <c r="M197" s="186"/>
      <c r="N197" s="186"/>
      <c r="O197" s="186"/>
      <c r="P197" s="186"/>
      <c r="Q197" s="186"/>
      <c r="R197" s="186"/>
      <c r="U197" s="153"/>
      <c r="V197" s="153"/>
      <c r="W197" s="153"/>
      <c r="X197" s="153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</row>
    <row r="198" customFormat="false" ht="12.75" hidden="false" customHeight="true" outlineLevel="0" collapsed="false">
      <c r="H198" s="185"/>
      <c r="I198" s="185"/>
      <c r="J198" s="185"/>
      <c r="L198" s="186"/>
      <c r="M198" s="186"/>
      <c r="N198" s="186"/>
      <c r="O198" s="186"/>
      <c r="P198" s="186"/>
      <c r="Q198" s="186"/>
      <c r="R198" s="186"/>
      <c r="U198" s="153"/>
      <c r="V198" s="153"/>
      <c r="W198" s="153"/>
      <c r="X198" s="153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</row>
    <row r="199" customFormat="false" ht="12.75" hidden="false" customHeight="true" outlineLevel="0" collapsed="false">
      <c r="H199" s="185"/>
      <c r="I199" s="185"/>
      <c r="J199" s="185"/>
      <c r="L199" s="186"/>
      <c r="M199" s="186"/>
      <c r="N199" s="186"/>
      <c r="O199" s="186"/>
      <c r="P199" s="186"/>
      <c r="Q199" s="186"/>
      <c r="R199" s="186"/>
      <c r="U199" s="153"/>
      <c r="V199" s="153"/>
      <c r="W199" s="153"/>
      <c r="X199" s="153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</row>
    <row r="200" customFormat="false" ht="12.75" hidden="false" customHeight="true" outlineLevel="0" collapsed="false">
      <c r="H200" s="185"/>
      <c r="I200" s="185"/>
      <c r="J200" s="185"/>
      <c r="L200" s="186"/>
      <c r="M200" s="186"/>
      <c r="N200" s="186"/>
      <c r="O200" s="186"/>
      <c r="P200" s="186"/>
      <c r="Q200" s="186"/>
      <c r="R200" s="186"/>
      <c r="U200" s="153"/>
      <c r="V200" s="153"/>
      <c r="W200" s="153"/>
      <c r="X200" s="153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</row>
    <row r="201" customFormat="false" ht="12.75" hidden="false" customHeight="true" outlineLevel="0" collapsed="false">
      <c r="H201" s="185"/>
      <c r="I201" s="185"/>
      <c r="J201" s="185"/>
      <c r="L201" s="186"/>
      <c r="M201" s="186"/>
      <c r="N201" s="186"/>
      <c r="O201" s="186"/>
      <c r="P201" s="186"/>
      <c r="Q201" s="186"/>
      <c r="R201" s="186"/>
      <c r="U201" s="153"/>
      <c r="V201" s="153"/>
      <c r="W201" s="153"/>
      <c r="X201" s="153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</row>
    <row r="202" customFormat="false" ht="12.75" hidden="false" customHeight="true" outlineLevel="0" collapsed="false">
      <c r="H202" s="185"/>
      <c r="I202" s="185"/>
      <c r="J202" s="185"/>
      <c r="L202" s="186"/>
      <c r="M202" s="186"/>
      <c r="N202" s="186"/>
      <c r="O202" s="186"/>
      <c r="P202" s="186"/>
      <c r="Q202" s="186"/>
      <c r="R202" s="186"/>
      <c r="U202" s="153"/>
      <c r="V202" s="153"/>
      <c r="W202" s="153"/>
      <c r="X202" s="153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</row>
    <row r="203" customFormat="false" ht="12.75" hidden="false" customHeight="true" outlineLevel="0" collapsed="false">
      <c r="H203" s="185"/>
      <c r="I203" s="185"/>
      <c r="J203" s="185"/>
      <c r="L203" s="186"/>
      <c r="M203" s="186"/>
      <c r="N203" s="186"/>
      <c r="O203" s="186"/>
      <c r="P203" s="186"/>
      <c r="Q203" s="186"/>
      <c r="R203" s="186"/>
      <c r="U203" s="153"/>
      <c r="V203" s="153"/>
      <c r="W203" s="153"/>
      <c r="X203" s="153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</row>
    <row r="204" customFormat="false" ht="12.75" hidden="false" customHeight="true" outlineLevel="0" collapsed="false">
      <c r="H204" s="185"/>
      <c r="I204" s="185"/>
      <c r="J204" s="185"/>
      <c r="L204" s="186"/>
      <c r="M204" s="186"/>
      <c r="N204" s="186"/>
      <c r="O204" s="186"/>
      <c r="P204" s="186"/>
      <c r="Q204" s="186"/>
      <c r="R204" s="186"/>
      <c r="U204" s="153"/>
      <c r="V204" s="153"/>
      <c r="W204" s="153"/>
      <c r="X204" s="153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</row>
    <row r="205" customFormat="false" ht="12.75" hidden="false" customHeight="true" outlineLevel="0" collapsed="false">
      <c r="H205" s="185"/>
      <c r="I205" s="185"/>
      <c r="J205" s="185"/>
      <c r="L205" s="186"/>
      <c r="M205" s="186"/>
      <c r="N205" s="186"/>
      <c r="O205" s="186"/>
      <c r="P205" s="186"/>
      <c r="Q205" s="186"/>
      <c r="R205" s="186"/>
      <c r="U205" s="153"/>
      <c r="V205" s="153"/>
      <c r="W205" s="153"/>
      <c r="X205" s="153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</row>
    <row r="206" customFormat="false" ht="12.75" hidden="false" customHeight="true" outlineLevel="0" collapsed="false">
      <c r="H206" s="185"/>
      <c r="I206" s="185"/>
      <c r="J206" s="185"/>
      <c r="L206" s="186"/>
      <c r="M206" s="186"/>
      <c r="N206" s="186"/>
      <c r="O206" s="186"/>
      <c r="P206" s="186"/>
      <c r="Q206" s="186"/>
      <c r="R206" s="186"/>
      <c r="U206" s="153"/>
      <c r="V206" s="153"/>
      <c r="W206" s="153"/>
      <c r="X206" s="153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</row>
    <row r="207" customFormat="false" ht="12.75" hidden="false" customHeight="true" outlineLevel="0" collapsed="false">
      <c r="H207" s="185"/>
      <c r="I207" s="185"/>
      <c r="J207" s="185"/>
      <c r="L207" s="186"/>
      <c r="M207" s="186"/>
      <c r="N207" s="186"/>
      <c r="O207" s="186"/>
      <c r="P207" s="186"/>
      <c r="Q207" s="186"/>
      <c r="R207" s="186"/>
      <c r="U207" s="153"/>
      <c r="V207" s="153"/>
      <c r="W207" s="153"/>
      <c r="X207" s="153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</row>
    <row r="208" customFormat="false" ht="12.75" hidden="false" customHeight="true" outlineLevel="0" collapsed="false">
      <c r="H208" s="185"/>
      <c r="I208" s="185"/>
      <c r="J208" s="185"/>
      <c r="L208" s="186"/>
      <c r="M208" s="186"/>
      <c r="N208" s="186"/>
      <c r="O208" s="186"/>
      <c r="P208" s="186"/>
      <c r="Q208" s="186"/>
      <c r="R208" s="186"/>
      <c r="U208" s="153"/>
      <c r="V208" s="153"/>
      <c r="W208" s="153"/>
      <c r="X208" s="153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</row>
    <row r="209" customFormat="false" ht="12.75" hidden="false" customHeight="true" outlineLevel="0" collapsed="false">
      <c r="H209" s="185"/>
      <c r="I209" s="185"/>
      <c r="J209" s="185"/>
      <c r="L209" s="186"/>
      <c r="M209" s="186"/>
      <c r="N209" s="186"/>
      <c r="O209" s="186"/>
      <c r="P209" s="186"/>
      <c r="Q209" s="186"/>
      <c r="R209" s="186"/>
      <c r="U209" s="153"/>
      <c r="V209" s="153"/>
      <c r="W209" s="153"/>
      <c r="X209" s="153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</row>
    <row r="210" customFormat="false" ht="12.75" hidden="false" customHeight="true" outlineLevel="0" collapsed="false">
      <c r="H210" s="185"/>
      <c r="I210" s="185"/>
      <c r="J210" s="185"/>
      <c r="L210" s="186"/>
      <c r="M210" s="186"/>
      <c r="N210" s="186"/>
      <c r="O210" s="186"/>
      <c r="P210" s="186"/>
      <c r="Q210" s="186"/>
      <c r="R210" s="186"/>
      <c r="U210" s="153"/>
      <c r="V210" s="153"/>
      <c r="W210" s="153"/>
      <c r="X210" s="153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</row>
    <row r="211" customFormat="false" ht="12.75" hidden="false" customHeight="true" outlineLevel="0" collapsed="false">
      <c r="H211" s="185"/>
      <c r="I211" s="185"/>
      <c r="J211" s="185"/>
      <c r="L211" s="186"/>
      <c r="M211" s="186"/>
      <c r="N211" s="186"/>
      <c r="O211" s="186"/>
      <c r="P211" s="186"/>
      <c r="Q211" s="186"/>
      <c r="R211" s="186"/>
      <c r="U211" s="153"/>
      <c r="V211" s="153"/>
      <c r="W211" s="153"/>
      <c r="X211" s="153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</row>
    <row r="212" customFormat="false" ht="12.75" hidden="false" customHeight="true" outlineLevel="0" collapsed="false">
      <c r="H212" s="185"/>
      <c r="I212" s="185"/>
      <c r="J212" s="185"/>
      <c r="L212" s="186"/>
      <c r="M212" s="186"/>
      <c r="N212" s="186"/>
      <c r="O212" s="186"/>
      <c r="P212" s="186"/>
      <c r="Q212" s="186"/>
      <c r="R212" s="186"/>
      <c r="U212" s="153"/>
      <c r="V212" s="153"/>
      <c r="W212" s="153"/>
      <c r="X212" s="153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</row>
    <row r="213" customFormat="false" ht="12.75" hidden="false" customHeight="true" outlineLevel="0" collapsed="false">
      <c r="H213" s="185"/>
      <c r="I213" s="185"/>
      <c r="J213" s="185"/>
      <c r="L213" s="186"/>
      <c r="M213" s="186"/>
      <c r="N213" s="186"/>
      <c r="O213" s="186"/>
      <c r="P213" s="186"/>
      <c r="Q213" s="186"/>
      <c r="R213" s="186"/>
      <c r="U213" s="153"/>
      <c r="V213" s="153"/>
      <c r="W213" s="153"/>
      <c r="X213" s="153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</row>
    <row r="214" customFormat="false" ht="12.75" hidden="false" customHeight="true" outlineLevel="0" collapsed="false">
      <c r="H214" s="185"/>
      <c r="I214" s="185"/>
      <c r="J214" s="185"/>
      <c r="L214" s="186"/>
      <c r="M214" s="186"/>
      <c r="N214" s="186"/>
      <c r="O214" s="186"/>
      <c r="P214" s="186"/>
      <c r="Q214" s="186"/>
      <c r="R214" s="186"/>
      <c r="U214" s="153"/>
      <c r="V214" s="153"/>
      <c r="W214" s="153"/>
      <c r="X214" s="153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</row>
    <row r="215" customFormat="false" ht="12.75" hidden="false" customHeight="true" outlineLevel="0" collapsed="false">
      <c r="H215" s="185"/>
      <c r="I215" s="185"/>
      <c r="J215" s="185"/>
      <c r="L215" s="186"/>
      <c r="M215" s="186"/>
      <c r="N215" s="186"/>
      <c r="O215" s="186"/>
      <c r="P215" s="186"/>
      <c r="Q215" s="186"/>
      <c r="R215" s="186"/>
      <c r="U215" s="153"/>
      <c r="V215" s="153"/>
      <c r="W215" s="153"/>
      <c r="X215" s="153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</row>
    <row r="216" customFormat="false" ht="12.75" hidden="false" customHeight="true" outlineLevel="0" collapsed="false">
      <c r="H216" s="185"/>
      <c r="I216" s="185"/>
      <c r="J216" s="185"/>
      <c r="L216" s="186"/>
      <c r="M216" s="186"/>
      <c r="N216" s="186"/>
      <c r="O216" s="186"/>
      <c r="P216" s="186"/>
      <c r="Q216" s="186"/>
      <c r="R216" s="186"/>
      <c r="U216" s="153"/>
      <c r="V216" s="153"/>
      <c r="W216" s="153"/>
      <c r="X216" s="153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</row>
    <row r="217" customFormat="false" ht="12.75" hidden="false" customHeight="true" outlineLevel="0" collapsed="false">
      <c r="H217" s="185"/>
      <c r="I217" s="185"/>
      <c r="J217" s="185"/>
      <c r="L217" s="186"/>
      <c r="M217" s="186"/>
      <c r="N217" s="186"/>
      <c r="O217" s="186"/>
      <c r="P217" s="186"/>
      <c r="Q217" s="186"/>
      <c r="R217" s="186"/>
      <c r="U217" s="153"/>
      <c r="V217" s="153"/>
      <c r="W217" s="153"/>
      <c r="X217" s="153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</row>
    <row r="218" customFormat="false" ht="12.75" hidden="false" customHeight="true" outlineLevel="0" collapsed="false">
      <c r="H218" s="185"/>
      <c r="I218" s="185"/>
      <c r="J218" s="185"/>
      <c r="L218" s="186"/>
      <c r="M218" s="186"/>
      <c r="N218" s="186"/>
      <c r="O218" s="186"/>
      <c r="P218" s="186"/>
      <c r="Q218" s="186"/>
      <c r="R218" s="186"/>
      <c r="U218" s="153"/>
      <c r="V218" s="153"/>
      <c r="W218" s="153"/>
      <c r="X218" s="153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</row>
    <row r="219" customFormat="false" ht="12.75" hidden="false" customHeight="true" outlineLevel="0" collapsed="false">
      <c r="H219" s="185"/>
      <c r="I219" s="185"/>
      <c r="J219" s="185"/>
      <c r="L219" s="186"/>
      <c r="M219" s="186"/>
      <c r="N219" s="186"/>
      <c r="O219" s="186"/>
      <c r="P219" s="186"/>
      <c r="Q219" s="186"/>
      <c r="R219" s="186"/>
      <c r="U219" s="153"/>
      <c r="V219" s="153"/>
      <c r="W219" s="153"/>
      <c r="X219" s="153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</row>
    <row r="220" customFormat="false" ht="12.75" hidden="false" customHeight="true" outlineLevel="0" collapsed="false">
      <c r="H220" s="185"/>
      <c r="I220" s="185"/>
      <c r="J220" s="185"/>
      <c r="L220" s="186"/>
      <c r="M220" s="186"/>
      <c r="N220" s="186"/>
      <c r="O220" s="186"/>
      <c r="P220" s="186"/>
      <c r="Q220" s="186"/>
      <c r="R220" s="186"/>
      <c r="U220" s="153"/>
      <c r="V220" s="153"/>
      <c r="W220" s="153"/>
      <c r="X220" s="153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</row>
    <row r="221" customFormat="false" ht="12.75" hidden="false" customHeight="true" outlineLevel="0" collapsed="false">
      <c r="H221" s="185"/>
      <c r="I221" s="185"/>
      <c r="J221" s="185"/>
      <c r="L221" s="186"/>
      <c r="M221" s="186"/>
      <c r="N221" s="186"/>
      <c r="O221" s="186"/>
      <c r="P221" s="186"/>
      <c r="Q221" s="186"/>
      <c r="R221" s="186"/>
      <c r="U221" s="153"/>
      <c r="V221" s="153"/>
      <c r="W221" s="153"/>
      <c r="X221" s="153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</row>
    <row r="222" customFormat="false" ht="12.75" hidden="false" customHeight="true" outlineLevel="0" collapsed="false">
      <c r="H222" s="185"/>
      <c r="I222" s="185"/>
      <c r="J222" s="185"/>
      <c r="L222" s="186"/>
      <c r="M222" s="186"/>
      <c r="N222" s="186"/>
      <c r="O222" s="186"/>
      <c r="P222" s="186"/>
      <c r="Q222" s="186"/>
      <c r="R222" s="186"/>
      <c r="U222" s="153"/>
      <c r="V222" s="153"/>
      <c r="W222" s="153"/>
      <c r="X222" s="153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2"/>
    </row>
    <row r="223" customFormat="false" ht="12.75" hidden="false" customHeight="true" outlineLevel="0" collapsed="false">
      <c r="H223" s="185"/>
      <c r="I223" s="185"/>
      <c r="J223" s="185"/>
      <c r="L223" s="186"/>
      <c r="M223" s="186"/>
      <c r="N223" s="186"/>
      <c r="O223" s="186"/>
      <c r="P223" s="186"/>
      <c r="Q223" s="186"/>
      <c r="R223" s="186"/>
      <c r="U223" s="153"/>
      <c r="V223" s="153"/>
      <c r="W223" s="153"/>
      <c r="X223" s="153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2"/>
    </row>
    <row r="224" customFormat="false" ht="12.75" hidden="false" customHeight="true" outlineLevel="0" collapsed="false">
      <c r="H224" s="185"/>
      <c r="I224" s="185"/>
      <c r="J224" s="185"/>
      <c r="L224" s="186"/>
      <c r="M224" s="186"/>
      <c r="N224" s="186"/>
      <c r="O224" s="186"/>
      <c r="P224" s="186"/>
      <c r="Q224" s="186"/>
      <c r="R224" s="186"/>
      <c r="U224" s="153"/>
      <c r="V224" s="153"/>
      <c r="W224" s="153"/>
      <c r="X224" s="153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2"/>
    </row>
    <row r="225" customFormat="false" ht="12.75" hidden="false" customHeight="true" outlineLevel="0" collapsed="false">
      <c r="H225" s="185"/>
      <c r="I225" s="185"/>
      <c r="J225" s="185"/>
      <c r="L225" s="186"/>
      <c r="M225" s="186"/>
      <c r="N225" s="186"/>
      <c r="O225" s="186"/>
      <c r="P225" s="186"/>
      <c r="Q225" s="186"/>
      <c r="R225" s="186"/>
      <c r="U225" s="153"/>
      <c r="V225" s="153"/>
      <c r="W225" s="153"/>
      <c r="X225" s="153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2"/>
    </row>
    <row r="226" customFormat="false" ht="12.75" hidden="false" customHeight="true" outlineLevel="0" collapsed="false">
      <c r="H226" s="185"/>
      <c r="I226" s="185"/>
      <c r="J226" s="185"/>
      <c r="L226" s="186"/>
      <c r="M226" s="186"/>
      <c r="N226" s="186"/>
      <c r="O226" s="186"/>
      <c r="P226" s="186"/>
      <c r="Q226" s="186"/>
      <c r="R226" s="186"/>
      <c r="U226" s="153"/>
      <c r="V226" s="153"/>
      <c r="W226" s="153"/>
      <c r="X226" s="153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2"/>
    </row>
    <row r="227" customFormat="false" ht="12.75" hidden="false" customHeight="true" outlineLevel="0" collapsed="false">
      <c r="H227" s="185"/>
      <c r="I227" s="185"/>
      <c r="J227" s="185"/>
      <c r="L227" s="186"/>
      <c r="M227" s="186"/>
      <c r="N227" s="186"/>
      <c r="O227" s="186"/>
      <c r="P227" s="186"/>
      <c r="Q227" s="186"/>
      <c r="R227" s="186"/>
      <c r="U227" s="153"/>
      <c r="V227" s="153"/>
      <c r="W227" s="153"/>
      <c r="X227" s="153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2"/>
    </row>
    <row r="228" customFormat="false" ht="12.75" hidden="false" customHeight="true" outlineLevel="0" collapsed="false">
      <c r="H228" s="185"/>
      <c r="I228" s="185"/>
      <c r="J228" s="185"/>
      <c r="L228" s="186"/>
      <c r="M228" s="186"/>
      <c r="N228" s="186"/>
      <c r="O228" s="186"/>
      <c r="P228" s="186"/>
      <c r="Q228" s="186"/>
      <c r="R228" s="186"/>
      <c r="U228" s="153"/>
      <c r="V228" s="153"/>
      <c r="W228" s="153"/>
      <c r="X228" s="153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2"/>
    </row>
    <row r="229" customFormat="false" ht="12.75" hidden="false" customHeight="true" outlineLevel="0" collapsed="false">
      <c r="H229" s="185"/>
      <c r="I229" s="185"/>
      <c r="J229" s="185"/>
      <c r="L229" s="186"/>
      <c r="M229" s="186"/>
      <c r="N229" s="186"/>
      <c r="O229" s="186"/>
      <c r="P229" s="186"/>
      <c r="Q229" s="186"/>
      <c r="R229" s="186"/>
      <c r="U229" s="153"/>
      <c r="V229" s="153"/>
      <c r="W229" s="153"/>
      <c r="X229" s="153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2"/>
    </row>
    <row r="230" customFormat="false" ht="12.75" hidden="false" customHeight="true" outlineLevel="0" collapsed="false">
      <c r="H230" s="185"/>
      <c r="I230" s="185"/>
      <c r="J230" s="185"/>
      <c r="L230" s="186"/>
      <c r="M230" s="186"/>
      <c r="N230" s="186"/>
      <c r="O230" s="186"/>
      <c r="P230" s="186"/>
      <c r="Q230" s="186"/>
      <c r="R230" s="186"/>
      <c r="U230" s="153"/>
      <c r="V230" s="153"/>
      <c r="W230" s="153"/>
      <c r="X230" s="153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2"/>
    </row>
    <row r="231" customFormat="false" ht="12.75" hidden="false" customHeight="true" outlineLevel="0" collapsed="false">
      <c r="H231" s="185"/>
      <c r="I231" s="185"/>
      <c r="J231" s="185"/>
      <c r="L231" s="186"/>
      <c r="M231" s="186"/>
      <c r="N231" s="186"/>
      <c r="O231" s="186"/>
      <c r="P231" s="186"/>
      <c r="Q231" s="186"/>
      <c r="R231" s="186"/>
      <c r="U231" s="153"/>
      <c r="V231" s="153"/>
      <c r="W231" s="153"/>
      <c r="X231" s="153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2"/>
    </row>
    <row r="232" customFormat="false" ht="12.75" hidden="false" customHeight="true" outlineLevel="0" collapsed="false">
      <c r="H232" s="185"/>
      <c r="I232" s="185"/>
      <c r="J232" s="185"/>
      <c r="L232" s="186"/>
      <c r="M232" s="186"/>
      <c r="N232" s="186"/>
      <c r="O232" s="186"/>
      <c r="P232" s="186"/>
      <c r="Q232" s="186"/>
      <c r="R232" s="186"/>
      <c r="U232" s="153"/>
      <c r="V232" s="153"/>
      <c r="W232" s="153"/>
      <c r="X232" s="153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2"/>
    </row>
    <row r="233" customFormat="false" ht="12.75" hidden="false" customHeight="true" outlineLevel="0" collapsed="false">
      <c r="H233" s="185"/>
      <c r="I233" s="185"/>
      <c r="J233" s="185"/>
      <c r="L233" s="186"/>
      <c r="M233" s="186"/>
      <c r="N233" s="186"/>
      <c r="O233" s="186"/>
      <c r="P233" s="186"/>
      <c r="Q233" s="186"/>
      <c r="R233" s="186"/>
      <c r="U233" s="153"/>
      <c r="V233" s="153"/>
      <c r="W233" s="153"/>
      <c r="X233" s="153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2"/>
    </row>
    <row r="234" customFormat="false" ht="12.75" hidden="false" customHeight="true" outlineLevel="0" collapsed="false">
      <c r="H234" s="185"/>
      <c r="I234" s="185"/>
      <c r="J234" s="185"/>
      <c r="L234" s="186"/>
      <c r="M234" s="186"/>
      <c r="N234" s="186"/>
      <c r="O234" s="186"/>
      <c r="P234" s="186"/>
      <c r="Q234" s="186"/>
      <c r="R234" s="186"/>
      <c r="U234" s="153"/>
      <c r="V234" s="153"/>
      <c r="W234" s="153"/>
      <c r="X234" s="153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2"/>
    </row>
    <row r="235" customFormat="false" ht="12.75" hidden="false" customHeight="true" outlineLevel="0" collapsed="false">
      <c r="H235" s="185"/>
      <c r="I235" s="185"/>
      <c r="J235" s="185"/>
      <c r="L235" s="186"/>
      <c r="M235" s="186"/>
      <c r="N235" s="186"/>
      <c r="O235" s="186"/>
      <c r="P235" s="186"/>
      <c r="Q235" s="186"/>
      <c r="R235" s="186"/>
      <c r="U235" s="153"/>
      <c r="V235" s="153"/>
      <c r="W235" s="153"/>
      <c r="X235" s="153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2"/>
    </row>
    <row r="236" customFormat="false" ht="12.75" hidden="false" customHeight="true" outlineLevel="0" collapsed="false">
      <c r="H236" s="185"/>
      <c r="I236" s="185"/>
      <c r="J236" s="185"/>
      <c r="L236" s="186"/>
      <c r="M236" s="186"/>
      <c r="N236" s="186"/>
      <c r="O236" s="186"/>
      <c r="P236" s="186"/>
      <c r="Q236" s="186"/>
      <c r="R236" s="186"/>
      <c r="U236" s="153"/>
      <c r="V236" s="153"/>
      <c r="W236" s="153"/>
      <c r="X236" s="153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2"/>
    </row>
    <row r="237" customFormat="false" ht="12.75" hidden="false" customHeight="true" outlineLevel="0" collapsed="false">
      <c r="H237" s="185"/>
      <c r="I237" s="185"/>
      <c r="J237" s="185"/>
      <c r="L237" s="186"/>
      <c r="M237" s="186"/>
      <c r="N237" s="186"/>
      <c r="O237" s="186"/>
      <c r="P237" s="186"/>
      <c r="Q237" s="186"/>
      <c r="R237" s="186"/>
      <c r="U237" s="153"/>
      <c r="V237" s="153"/>
      <c r="W237" s="153"/>
      <c r="X237" s="153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2"/>
    </row>
    <row r="238" customFormat="false" ht="12.75" hidden="false" customHeight="true" outlineLevel="0" collapsed="false">
      <c r="H238" s="185"/>
      <c r="I238" s="185"/>
      <c r="J238" s="185"/>
      <c r="L238" s="186"/>
      <c r="M238" s="186"/>
      <c r="N238" s="186"/>
      <c r="O238" s="186"/>
      <c r="P238" s="186"/>
      <c r="Q238" s="186"/>
      <c r="R238" s="186"/>
      <c r="U238" s="153"/>
      <c r="V238" s="153"/>
      <c r="W238" s="153"/>
      <c r="X238" s="153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2"/>
    </row>
    <row r="239" customFormat="false" ht="12.75" hidden="false" customHeight="true" outlineLevel="0" collapsed="false">
      <c r="H239" s="185"/>
      <c r="I239" s="185"/>
      <c r="J239" s="185"/>
      <c r="L239" s="186"/>
      <c r="M239" s="186"/>
      <c r="N239" s="186"/>
      <c r="O239" s="186"/>
      <c r="P239" s="186"/>
      <c r="Q239" s="186"/>
      <c r="R239" s="186"/>
      <c r="U239" s="153"/>
      <c r="V239" s="153"/>
      <c r="W239" s="153"/>
      <c r="X239" s="153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2"/>
    </row>
    <row r="240" customFormat="false" ht="12.75" hidden="false" customHeight="true" outlineLevel="0" collapsed="false">
      <c r="H240" s="185"/>
      <c r="I240" s="185"/>
      <c r="J240" s="185"/>
      <c r="L240" s="186"/>
      <c r="M240" s="186"/>
      <c r="N240" s="186"/>
      <c r="O240" s="186"/>
      <c r="P240" s="186"/>
      <c r="Q240" s="186"/>
      <c r="R240" s="186"/>
      <c r="U240" s="153"/>
      <c r="V240" s="153"/>
      <c r="W240" s="153"/>
      <c r="X240" s="153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2"/>
    </row>
    <row r="241" customFormat="false" ht="12.75" hidden="false" customHeight="true" outlineLevel="0" collapsed="false">
      <c r="H241" s="185"/>
      <c r="I241" s="185"/>
      <c r="J241" s="185"/>
      <c r="L241" s="186"/>
      <c r="M241" s="186"/>
      <c r="N241" s="186"/>
      <c r="O241" s="186"/>
      <c r="P241" s="186"/>
      <c r="Q241" s="186"/>
      <c r="R241" s="186"/>
      <c r="U241" s="153"/>
      <c r="V241" s="153"/>
      <c r="W241" s="153"/>
      <c r="X241" s="153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2"/>
    </row>
    <row r="242" customFormat="false" ht="12.75" hidden="false" customHeight="true" outlineLevel="0" collapsed="false">
      <c r="H242" s="185"/>
      <c r="I242" s="185"/>
      <c r="J242" s="185"/>
      <c r="L242" s="186"/>
      <c r="M242" s="186"/>
      <c r="N242" s="186"/>
      <c r="O242" s="186"/>
      <c r="P242" s="186"/>
      <c r="Q242" s="186"/>
      <c r="R242" s="186"/>
      <c r="U242" s="153"/>
      <c r="V242" s="153"/>
      <c r="W242" s="153"/>
      <c r="X242" s="153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2"/>
    </row>
    <row r="243" customFormat="false" ht="12.75" hidden="false" customHeight="true" outlineLevel="0" collapsed="false">
      <c r="H243" s="185"/>
      <c r="I243" s="185"/>
      <c r="J243" s="185"/>
      <c r="L243" s="186"/>
      <c r="M243" s="186"/>
      <c r="N243" s="186"/>
      <c r="O243" s="186"/>
      <c r="P243" s="186"/>
      <c r="Q243" s="186"/>
      <c r="R243" s="186"/>
      <c r="U243" s="153"/>
      <c r="V243" s="153"/>
      <c r="W243" s="153"/>
      <c r="X243" s="153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2"/>
    </row>
    <row r="244" customFormat="false" ht="12.75" hidden="false" customHeight="true" outlineLevel="0" collapsed="false">
      <c r="H244" s="185"/>
      <c r="I244" s="185"/>
      <c r="J244" s="185"/>
      <c r="L244" s="186"/>
      <c r="M244" s="186"/>
      <c r="N244" s="186"/>
      <c r="O244" s="186"/>
      <c r="P244" s="186"/>
      <c r="Q244" s="186"/>
      <c r="R244" s="186"/>
      <c r="U244" s="153"/>
      <c r="V244" s="153"/>
      <c r="W244" s="153"/>
      <c r="X244" s="153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2"/>
    </row>
    <row r="245" customFormat="false" ht="12.75" hidden="false" customHeight="true" outlineLevel="0" collapsed="false">
      <c r="H245" s="185"/>
      <c r="I245" s="185"/>
      <c r="J245" s="185"/>
      <c r="L245" s="186"/>
      <c r="M245" s="186"/>
      <c r="N245" s="186"/>
      <c r="O245" s="186"/>
      <c r="P245" s="186"/>
      <c r="Q245" s="186"/>
      <c r="R245" s="186"/>
      <c r="U245" s="153"/>
      <c r="V245" s="153"/>
      <c r="W245" s="153"/>
      <c r="X245" s="153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2"/>
    </row>
    <row r="246" customFormat="false" ht="12.75" hidden="false" customHeight="true" outlineLevel="0" collapsed="false">
      <c r="H246" s="185"/>
      <c r="I246" s="185"/>
      <c r="J246" s="185"/>
      <c r="L246" s="186"/>
      <c r="M246" s="186"/>
      <c r="N246" s="186"/>
      <c r="O246" s="186"/>
      <c r="P246" s="186"/>
      <c r="Q246" s="186"/>
      <c r="R246" s="186"/>
      <c r="U246" s="153"/>
      <c r="V246" s="153"/>
      <c r="W246" s="153"/>
      <c r="X246" s="153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2"/>
    </row>
    <row r="247" customFormat="false" ht="12.75" hidden="false" customHeight="true" outlineLevel="0" collapsed="false">
      <c r="H247" s="185"/>
      <c r="I247" s="185"/>
      <c r="J247" s="185"/>
      <c r="L247" s="186"/>
      <c r="M247" s="186"/>
      <c r="N247" s="186"/>
      <c r="O247" s="186"/>
      <c r="P247" s="186"/>
      <c r="Q247" s="186"/>
      <c r="R247" s="186"/>
      <c r="U247" s="153"/>
      <c r="V247" s="153"/>
      <c r="W247" s="153"/>
      <c r="X247" s="153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2"/>
    </row>
    <row r="248" customFormat="false" ht="12.75" hidden="false" customHeight="true" outlineLevel="0" collapsed="false">
      <c r="H248" s="185"/>
      <c r="I248" s="185"/>
      <c r="J248" s="185"/>
      <c r="L248" s="186"/>
      <c r="M248" s="186"/>
      <c r="N248" s="186"/>
      <c r="O248" s="186"/>
      <c r="P248" s="186"/>
      <c r="Q248" s="186"/>
      <c r="R248" s="186"/>
      <c r="U248" s="153"/>
      <c r="V248" s="153"/>
      <c r="W248" s="153"/>
      <c r="X248" s="153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2"/>
    </row>
    <row r="249" customFormat="false" ht="12.75" hidden="false" customHeight="true" outlineLevel="0" collapsed="false">
      <c r="H249" s="185"/>
      <c r="I249" s="185"/>
      <c r="J249" s="185"/>
      <c r="L249" s="186"/>
      <c r="M249" s="186"/>
      <c r="N249" s="186"/>
      <c r="O249" s="186"/>
      <c r="P249" s="186"/>
      <c r="Q249" s="186"/>
      <c r="R249" s="186"/>
      <c r="U249" s="153"/>
      <c r="V249" s="153"/>
      <c r="W249" s="153"/>
      <c r="X249" s="153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2"/>
    </row>
    <row r="250" customFormat="false" ht="12.75" hidden="false" customHeight="true" outlineLevel="0" collapsed="false">
      <c r="H250" s="185"/>
      <c r="I250" s="185"/>
      <c r="J250" s="185"/>
      <c r="L250" s="186"/>
      <c r="M250" s="186"/>
      <c r="N250" s="186"/>
      <c r="O250" s="186"/>
      <c r="P250" s="186"/>
      <c r="Q250" s="186"/>
      <c r="R250" s="186"/>
      <c r="U250" s="153"/>
      <c r="V250" s="153"/>
      <c r="W250" s="153"/>
      <c r="X250" s="153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2"/>
    </row>
    <row r="251" customFormat="false" ht="12.75" hidden="false" customHeight="true" outlineLevel="0" collapsed="false">
      <c r="H251" s="185"/>
      <c r="I251" s="185"/>
      <c r="J251" s="185"/>
      <c r="L251" s="186"/>
      <c r="M251" s="186"/>
      <c r="N251" s="186"/>
      <c r="O251" s="186"/>
      <c r="P251" s="186"/>
      <c r="Q251" s="186"/>
      <c r="R251" s="186"/>
      <c r="U251" s="153"/>
      <c r="V251" s="153"/>
      <c r="W251" s="153"/>
      <c r="X251" s="153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2"/>
    </row>
    <row r="252" customFormat="false" ht="12.75" hidden="false" customHeight="true" outlineLevel="0" collapsed="false">
      <c r="H252" s="185"/>
      <c r="I252" s="185"/>
      <c r="J252" s="185"/>
      <c r="L252" s="186"/>
      <c r="M252" s="186"/>
      <c r="N252" s="186"/>
      <c r="O252" s="186"/>
      <c r="P252" s="186"/>
      <c r="Q252" s="186"/>
      <c r="R252" s="186"/>
      <c r="U252" s="153"/>
      <c r="V252" s="153"/>
      <c r="W252" s="153"/>
      <c r="X252" s="153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2"/>
    </row>
    <row r="253" customFormat="false" ht="12.75" hidden="false" customHeight="true" outlineLevel="0" collapsed="false">
      <c r="H253" s="185"/>
      <c r="I253" s="185"/>
      <c r="J253" s="185"/>
      <c r="L253" s="186"/>
      <c r="M253" s="186"/>
      <c r="N253" s="186"/>
      <c r="O253" s="186"/>
      <c r="P253" s="186"/>
      <c r="Q253" s="186"/>
      <c r="R253" s="186"/>
      <c r="U253" s="153"/>
      <c r="V253" s="153"/>
      <c r="W253" s="153"/>
      <c r="X253" s="153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2"/>
    </row>
    <row r="254" customFormat="false" ht="12.75" hidden="false" customHeight="true" outlineLevel="0" collapsed="false">
      <c r="H254" s="185"/>
      <c r="I254" s="185"/>
      <c r="J254" s="185"/>
      <c r="L254" s="186"/>
      <c r="M254" s="186"/>
      <c r="N254" s="186"/>
      <c r="O254" s="186"/>
      <c r="P254" s="186"/>
      <c r="Q254" s="186"/>
      <c r="R254" s="186"/>
      <c r="U254" s="153"/>
      <c r="V254" s="153"/>
      <c r="W254" s="153"/>
      <c r="X254" s="153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2"/>
    </row>
    <row r="255" customFormat="false" ht="12.75" hidden="false" customHeight="true" outlineLevel="0" collapsed="false">
      <c r="H255" s="185"/>
      <c r="I255" s="185"/>
      <c r="J255" s="185"/>
      <c r="L255" s="186"/>
      <c r="M255" s="186"/>
      <c r="N255" s="186"/>
      <c r="O255" s="186"/>
      <c r="P255" s="186"/>
      <c r="Q255" s="186"/>
      <c r="R255" s="186"/>
      <c r="U255" s="153"/>
      <c r="V255" s="153"/>
      <c r="W255" s="153"/>
      <c r="X255" s="153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2"/>
    </row>
    <row r="256" customFormat="false" ht="12.75" hidden="false" customHeight="true" outlineLevel="0" collapsed="false">
      <c r="H256" s="185"/>
      <c r="I256" s="185"/>
      <c r="J256" s="185"/>
      <c r="L256" s="186"/>
      <c r="M256" s="186"/>
      <c r="N256" s="186"/>
      <c r="O256" s="186"/>
      <c r="P256" s="186"/>
      <c r="Q256" s="186"/>
      <c r="R256" s="186"/>
      <c r="U256" s="153"/>
      <c r="V256" s="153"/>
      <c r="W256" s="153"/>
      <c r="X256" s="153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2"/>
    </row>
    <row r="257" customFormat="false" ht="12.75" hidden="false" customHeight="true" outlineLevel="0" collapsed="false">
      <c r="H257" s="185"/>
      <c r="I257" s="185"/>
      <c r="J257" s="185"/>
      <c r="L257" s="186"/>
      <c r="M257" s="186"/>
      <c r="N257" s="186"/>
      <c r="O257" s="186"/>
      <c r="P257" s="186"/>
      <c r="Q257" s="186"/>
      <c r="R257" s="186"/>
      <c r="U257" s="153"/>
      <c r="V257" s="153"/>
      <c r="W257" s="153"/>
      <c r="X257" s="153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2"/>
    </row>
    <row r="258" customFormat="false" ht="12.75" hidden="false" customHeight="true" outlineLevel="0" collapsed="false">
      <c r="H258" s="185"/>
      <c r="I258" s="185"/>
      <c r="J258" s="185"/>
      <c r="L258" s="186"/>
      <c r="M258" s="186"/>
      <c r="N258" s="186"/>
      <c r="O258" s="186"/>
      <c r="P258" s="186"/>
      <c r="Q258" s="186"/>
      <c r="R258" s="186"/>
      <c r="U258" s="153"/>
      <c r="V258" s="153"/>
      <c r="W258" s="153"/>
      <c r="X258" s="153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2"/>
    </row>
    <row r="259" customFormat="false" ht="12.75" hidden="false" customHeight="true" outlineLevel="0" collapsed="false">
      <c r="H259" s="185"/>
      <c r="I259" s="185"/>
      <c r="J259" s="185"/>
      <c r="L259" s="186"/>
      <c r="M259" s="186"/>
      <c r="N259" s="186"/>
      <c r="O259" s="186"/>
      <c r="P259" s="186"/>
      <c r="Q259" s="186"/>
      <c r="R259" s="186"/>
      <c r="U259" s="153"/>
      <c r="V259" s="153"/>
      <c r="W259" s="153"/>
      <c r="X259" s="153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2"/>
    </row>
    <row r="260" customFormat="false" ht="12.75" hidden="false" customHeight="true" outlineLevel="0" collapsed="false">
      <c r="H260" s="185"/>
      <c r="I260" s="185"/>
      <c r="J260" s="185"/>
      <c r="L260" s="186"/>
      <c r="M260" s="186"/>
      <c r="N260" s="186"/>
      <c r="O260" s="186"/>
      <c r="P260" s="186"/>
      <c r="Q260" s="186"/>
      <c r="R260" s="186"/>
      <c r="U260" s="153"/>
      <c r="V260" s="153"/>
      <c r="W260" s="153"/>
      <c r="X260" s="153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2"/>
    </row>
    <row r="261" customFormat="false" ht="12.75" hidden="false" customHeight="true" outlineLevel="0" collapsed="false">
      <c r="H261" s="185"/>
      <c r="I261" s="185"/>
      <c r="J261" s="185"/>
      <c r="L261" s="186"/>
      <c r="M261" s="186"/>
      <c r="N261" s="186"/>
      <c r="O261" s="186"/>
      <c r="P261" s="186"/>
      <c r="Q261" s="186"/>
      <c r="R261" s="186"/>
      <c r="U261" s="153"/>
      <c r="V261" s="153"/>
      <c r="W261" s="153"/>
      <c r="X261" s="153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2"/>
    </row>
    <row r="262" customFormat="false" ht="12.75" hidden="false" customHeight="true" outlineLevel="0" collapsed="false">
      <c r="H262" s="185"/>
      <c r="I262" s="185"/>
      <c r="J262" s="185"/>
      <c r="L262" s="186"/>
      <c r="M262" s="186"/>
      <c r="N262" s="186"/>
      <c r="O262" s="186"/>
      <c r="P262" s="186"/>
      <c r="Q262" s="186"/>
      <c r="R262" s="186"/>
      <c r="U262" s="153"/>
      <c r="V262" s="153"/>
      <c r="W262" s="153"/>
      <c r="X262" s="153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2"/>
    </row>
    <row r="263" customFormat="false" ht="12.75" hidden="false" customHeight="true" outlineLevel="0" collapsed="false">
      <c r="H263" s="185"/>
      <c r="I263" s="185"/>
      <c r="J263" s="185"/>
      <c r="L263" s="186"/>
      <c r="M263" s="186"/>
      <c r="N263" s="186"/>
      <c r="O263" s="186"/>
      <c r="P263" s="186"/>
      <c r="Q263" s="186"/>
      <c r="R263" s="186"/>
      <c r="U263" s="153"/>
      <c r="V263" s="153"/>
      <c r="W263" s="153"/>
      <c r="X263" s="153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2"/>
    </row>
    <row r="264" customFormat="false" ht="12.75" hidden="false" customHeight="true" outlineLevel="0" collapsed="false">
      <c r="H264" s="185"/>
      <c r="I264" s="185"/>
      <c r="J264" s="185"/>
      <c r="L264" s="186"/>
      <c r="M264" s="186"/>
      <c r="N264" s="186"/>
      <c r="O264" s="186"/>
      <c r="P264" s="186"/>
      <c r="Q264" s="186"/>
      <c r="R264" s="186"/>
      <c r="U264" s="153"/>
      <c r="V264" s="153"/>
      <c r="W264" s="153"/>
      <c r="X264" s="153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2"/>
    </row>
    <row r="265" customFormat="false" ht="12.75" hidden="false" customHeight="true" outlineLevel="0" collapsed="false">
      <c r="H265" s="185"/>
      <c r="I265" s="185"/>
      <c r="J265" s="185"/>
      <c r="L265" s="186"/>
      <c r="M265" s="186"/>
      <c r="N265" s="186"/>
      <c r="O265" s="186"/>
      <c r="P265" s="186"/>
      <c r="Q265" s="186"/>
      <c r="R265" s="186"/>
      <c r="U265" s="153"/>
      <c r="V265" s="153"/>
      <c r="W265" s="153"/>
      <c r="X265" s="153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2"/>
    </row>
    <row r="266" customFormat="false" ht="12.75" hidden="false" customHeight="true" outlineLevel="0" collapsed="false">
      <c r="H266" s="185"/>
      <c r="I266" s="185"/>
      <c r="J266" s="185"/>
      <c r="L266" s="186"/>
      <c r="M266" s="186"/>
      <c r="N266" s="186"/>
      <c r="O266" s="186"/>
      <c r="P266" s="186"/>
      <c r="Q266" s="186"/>
      <c r="R266" s="186"/>
      <c r="U266" s="153"/>
      <c r="V266" s="153"/>
      <c r="W266" s="153"/>
      <c r="X266" s="153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2"/>
    </row>
    <row r="267" customFormat="false" ht="12.75" hidden="false" customHeight="true" outlineLevel="0" collapsed="false">
      <c r="H267" s="185"/>
      <c r="I267" s="185"/>
      <c r="J267" s="185"/>
      <c r="L267" s="186"/>
      <c r="M267" s="186"/>
      <c r="N267" s="186"/>
      <c r="O267" s="186"/>
      <c r="P267" s="186"/>
      <c r="Q267" s="186"/>
      <c r="R267" s="186"/>
      <c r="U267" s="153"/>
      <c r="V267" s="153"/>
      <c r="W267" s="153"/>
      <c r="X267" s="153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2"/>
    </row>
    <row r="268" customFormat="false" ht="12.75" hidden="false" customHeight="true" outlineLevel="0" collapsed="false">
      <c r="H268" s="185"/>
      <c r="I268" s="185"/>
      <c r="J268" s="185"/>
      <c r="L268" s="186"/>
      <c r="M268" s="186"/>
      <c r="N268" s="186"/>
      <c r="O268" s="186"/>
      <c r="P268" s="186"/>
      <c r="Q268" s="186"/>
      <c r="R268" s="186"/>
      <c r="U268" s="153"/>
      <c r="V268" s="153"/>
      <c r="W268" s="153"/>
      <c r="X268" s="153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2"/>
    </row>
    <row r="269" customFormat="false" ht="12.75" hidden="false" customHeight="true" outlineLevel="0" collapsed="false">
      <c r="H269" s="185"/>
      <c r="I269" s="185"/>
      <c r="J269" s="185"/>
      <c r="L269" s="186"/>
      <c r="M269" s="186"/>
      <c r="N269" s="186"/>
      <c r="O269" s="186"/>
      <c r="P269" s="186"/>
      <c r="Q269" s="186"/>
      <c r="R269" s="186"/>
      <c r="U269" s="153"/>
      <c r="V269" s="153"/>
      <c r="W269" s="153"/>
      <c r="X269" s="153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2"/>
    </row>
    <row r="270" customFormat="false" ht="12.75" hidden="false" customHeight="true" outlineLevel="0" collapsed="false">
      <c r="H270" s="185"/>
      <c r="I270" s="185"/>
      <c r="J270" s="185"/>
      <c r="L270" s="186"/>
      <c r="M270" s="186"/>
      <c r="N270" s="186"/>
      <c r="O270" s="186"/>
      <c r="P270" s="186"/>
      <c r="Q270" s="186"/>
      <c r="R270" s="186"/>
      <c r="U270" s="153"/>
      <c r="V270" s="153"/>
      <c r="W270" s="153"/>
      <c r="X270" s="153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2"/>
    </row>
    <row r="271" customFormat="false" ht="12.75" hidden="false" customHeight="true" outlineLevel="0" collapsed="false">
      <c r="H271" s="185"/>
      <c r="I271" s="185"/>
      <c r="J271" s="185"/>
      <c r="L271" s="186"/>
      <c r="M271" s="186"/>
      <c r="N271" s="186"/>
      <c r="O271" s="186"/>
      <c r="P271" s="186"/>
      <c r="Q271" s="186"/>
      <c r="R271" s="186"/>
      <c r="U271" s="153"/>
      <c r="V271" s="153"/>
      <c r="W271" s="153"/>
      <c r="X271" s="153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2"/>
    </row>
    <row r="272" customFormat="false" ht="12.75" hidden="false" customHeight="true" outlineLevel="0" collapsed="false">
      <c r="H272" s="185"/>
      <c r="I272" s="185"/>
      <c r="J272" s="185"/>
      <c r="L272" s="186"/>
      <c r="M272" s="186"/>
      <c r="N272" s="186"/>
      <c r="O272" s="186"/>
      <c r="P272" s="186"/>
      <c r="Q272" s="186"/>
      <c r="R272" s="186"/>
      <c r="U272" s="153"/>
      <c r="V272" s="153"/>
      <c r="W272" s="153"/>
      <c r="X272" s="153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2"/>
    </row>
    <row r="273" customFormat="false" ht="12.75" hidden="false" customHeight="true" outlineLevel="0" collapsed="false">
      <c r="H273" s="185"/>
      <c r="I273" s="185"/>
      <c r="J273" s="185"/>
      <c r="L273" s="186"/>
      <c r="M273" s="186"/>
      <c r="N273" s="186"/>
      <c r="O273" s="186"/>
      <c r="P273" s="186"/>
      <c r="Q273" s="186"/>
      <c r="R273" s="186"/>
      <c r="U273" s="153"/>
      <c r="V273" s="153"/>
      <c r="W273" s="153"/>
      <c r="X273" s="153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2"/>
    </row>
    <row r="274" customFormat="false" ht="12.75" hidden="false" customHeight="true" outlineLevel="0" collapsed="false">
      <c r="H274" s="185"/>
      <c r="I274" s="185"/>
      <c r="J274" s="185"/>
      <c r="L274" s="186"/>
      <c r="M274" s="186"/>
      <c r="N274" s="186"/>
      <c r="O274" s="186"/>
      <c r="P274" s="186"/>
      <c r="Q274" s="186"/>
      <c r="R274" s="186"/>
      <c r="U274" s="153"/>
      <c r="V274" s="153"/>
      <c r="W274" s="153"/>
      <c r="X274" s="153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2"/>
    </row>
    <row r="275" customFormat="false" ht="12.75" hidden="false" customHeight="true" outlineLevel="0" collapsed="false">
      <c r="H275" s="185"/>
      <c r="I275" s="185"/>
      <c r="J275" s="185"/>
      <c r="L275" s="186"/>
      <c r="M275" s="186"/>
      <c r="N275" s="186"/>
      <c r="O275" s="186"/>
      <c r="P275" s="186"/>
      <c r="Q275" s="186"/>
      <c r="R275" s="186"/>
      <c r="U275" s="153"/>
      <c r="V275" s="153"/>
      <c r="W275" s="153"/>
      <c r="X275" s="153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2"/>
    </row>
    <row r="276" customFormat="false" ht="12.75" hidden="false" customHeight="true" outlineLevel="0" collapsed="false">
      <c r="H276" s="185"/>
      <c r="I276" s="185"/>
      <c r="J276" s="185"/>
      <c r="L276" s="186"/>
      <c r="M276" s="186"/>
      <c r="N276" s="186"/>
      <c r="O276" s="186"/>
      <c r="P276" s="186"/>
      <c r="Q276" s="186"/>
      <c r="R276" s="186"/>
      <c r="U276" s="153"/>
      <c r="V276" s="153"/>
      <c r="W276" s="153"/>
      <c r="X276" s="153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2"/>
    </row>
    <row r="277" customFormat="false" ht="12.75" hidden="false" customHeight="true" outlineLevel="0" collapsed="false">
      <c r="H277" s="185"/>
      <c r="I277" s="185"/>
      <c r="J277" s="185"/>
      <c r="L277" s="186"/>
      <c r="M277" s="186"/>
      <c r="N277" s="186"/>
      <c r="O277" s="186"/>
      <c r="P277" s="186"/>
      <c r="Q277" s="186"/>
      <c r="R277" s="186"/>
      <c r="U277" s="153"/>
      <c r="V277" s="153"/>
      <c r="W277" s="153"/>
      <c r="X277" s="153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2"/>
    </row>
    <row r="278" customFormat="false" ht="12.75" hidden="false" customHeight="true" outlineLevel="0" collapsed="false">
      <c r="H278" s="185"/>
      <c r="I278" s="185"/>
      <c r="J278" s="185"/>
      <c r="L278" s="186"/>
      <c r="M278" s="186"/>
      <c r="N278" s="186"/>
      <c r="O278" s="186"/>
      <c r="P278" s="186"/>
      <c r="Q278" s="186"/>
      <c r="R278" s="186"/>
      <c r="U278" s="153"/>
      <c r="V278" s="153"/>
      <c r="W278" s="153"/>
      <c r="X278" s="153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2"/>
    </row>
    <row r="279" customFormat="false" ht="12.75" hidden="false" customHeight="true" outlineLevel="0" collapsed="false">
      <c r="H279" s="185"/>
      <c r="I279" s="185"/>
      <c r="J279" s="185"/>
      <c r="L279" s="186"/>
      <c r="M279" s="186"/>
      <c r="N279" s="186"/>
      <c r="O279" s="186"/>
      <c r="P279" s="186"/>
      <c r="Q279" s="186"/>
      <c r="R279" s="186"/>
      <c r="U279" s="153"/>
      <c r="V279" s="153"/>
      <c r="W279" s="153"/>
      <c r="X279" s="153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2"/>
    </row>
    <row r="280" customFormat="false" ht="12.75" hidden="false" customHeight="true" outlineLevel="0" collapsed="false">
      <c r="H280" s="185"/>
      <c r="I280" s="185"/>
      <c r="J280" s="185"/>
      <c r="L280" s="186"/>
      <c r="M280" s="186"/>
      <c r="N280" s="186"/>
      <c r="O280" s="186"/>
      <c r="P280" s="186"/>
      <c r="Q280" s="186"/>
      <c r="R280" s="186"/>
      <c r="U280" s="153"/>
      <c r="V280" s="153"/>
      <c r="W280" s="153"/>
      <c r="X280" s="153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2"/>
    </row>
    <row r="281" customFormat="false" ht="12.75" hidden="false" customHeight="true" outlineLevel="0" collapsed="false">
      <c r="H281" s="185"/>
      <c r="I281" s="185"/>
      <c r="J281" s="185"/>
      <c r="L281" s="186"/>
      <c r="M281" s="186"/>
      <c r="N281" s="186"/>
      <c r="O281" s="186"/>
      <c r="P281" s="186"/>
      <c r="Q281" s="186"/>
      <c r="R281" s="186"/>
      <c r="U281" s="153"/>
      <c r="V281" s="153"/>
      <c r="W281" s="153"/>
      <c r="X281" s="153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2"/>
    </row>
    <row r="282" customFormat="false" ht="12.75" hidden="false" customHeight="true" outlineLevel="0" collapsed="false">
      <c r="H282" s="185"/>
      <c r="I282" s="185"/>
      <c r="J282" s="185"/>
      <c r="L282" s="186"/>
      <c r="M282" s="186"/>
      <c r="N282" s="186"/>
      <c r="O282" s="186"/>
      <c r="P282" s="186"/>
      <c r="Q282" s="186"/>
      <c r="R282" s="186"/>
      <c r="U282" s="153"/>
      <c r="V282" s="153"/>
      <c r="W282" s="153"/>
      <c r="X282" s="153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2"/>
    </row>
    <row r="283" customFormat="false" ht="12.75" hidden="false" customHeight="true" outlineLevel="0" collapsed="false">
      <c r="H283" s="185"/>
      <c r="I283" s="185"/>
      <c r="J283" s="185"/>
      <c r="L283" s="186"/>
      <c r="M283" s="186"/>
      <c r="N283" s="186"/>
      <c r="O283" s="186"/>
      <c r="P283" s="186"/>
      <c r="Q283" s="186"/>
      <c r="R283" s="186"/>
      <c r="U283" s="153"/>
      <c r="V283" s="153"/>
      <c r="W283" s="153"/>
      <c r="X283" s="153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2"/>
    </row>
    <row r="284" customFormat="false" ht="12.75" hidden="false" customHeight="true" outlineLevel="0" collapsed="false">
      <c r="H284" s="185"/>
      <c r="I284" s="185"/>
      <c r="J284" s="185"/>
      <c r="L284" s="186"/>
      <c r="M284" s="186"/>
      <c r="N284" s="186"/>
      <c r="O284" s="186"/>
      <c r="P284" s="186"/>
      <c r="Q284" s="186"/>
      <c r="R284" s="186"/>
      <c r="U284" s="153"/>
      <c r="V284" s="153"/>
      <c r="W284" s="153"/>
      <c r="X284" s="153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2"/>
    </row>
    <row r="285" customFormat="false" ht="12.75" hidden="false" customHeight="true" outlineLevel="0" collapsed="false">
      <c r="H285" s="185"/>
      <c r="I285" s="185"/>
      <c r="J285" s="185"/>
      <c r="L285" s="186"/>
      <c r="M285" s="186"/>
      <c r="N285" s="186"/>
      <c r="O285" s="186"/>
      <c r="P285" s="186"/>
      <c r="Q285" s="186"/>
      <c r="R285" s="186"/>
      <c r="U285" s="153"/>
      <c r="V285" s="153"/>
      <c r="W285" s="153"/>
      <c r="X285" s="153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2"/>
    </row>
    <row r="286" customFormat="false" ht="12.75" hidden="false" customHeight="true" outlineLevel="0" collapsed="false">
      <c r="H286" s="185"/>
      <c r="I286" s="185"/>
      <c r="J286" s="185"/>
      <c r="L286" s="186"/>
      <c r="M286" s="186"/>
      <c r="N286" s="186"/>
      <c r="O286" s="186"/>
      <c r="P286" s="186"/>
      <c r="Q286" s="186"/>
      <c r="R286" s="186"/>
      <c r="U286" s="153"/>
      <c r="V286" s="153"/>
      <c r="W286" s="153"/>
      <c r="X286" s="153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2"/>
    </row>
    <row r="287" customFormat="false" ht="12.75" hidden="false" customHeight="true" outlineLevel="0" collapsed="false">
      <c r="H287" s="185"/>
      <c r="I287" s="185"/>
      <c r="J287" s="185"/>
      <c r="L287" s="186"/>
      <c r="M287" s="186"/>
      <c r="N287" s="186"/>
      <c r="O287" s="186"/>
      <c r="P287" s="186"/>
      <c r="Q287" s="186"/>
      <c r="R287" s="186"/>
      <c r="U287" s="153"/>
      <c r="V287" s="153"/>
      <c r="W287" s="153"/>
      <c r="X287" s="153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2"/>
    </row>
    <row r="288" customFormat="false" ht="12.75" hidden="false" customHeight="true" outlineLevel="0" collapsed="false">
      <c r="H288" s="185"/>
      <c r="I288" s="185"/>
      <c r="J288" s="185"/>
      <c r="L288" s="186"/>
      <c r="M288" s="186"/>
      <c r="N288" s="186"/>
      <c r="O288" s="186"/>
      <c r="P288" s="186"/>
      <c r="Q288" s="186"/>
      <c r="R288" s="186"/>
      <c r="U288" s="153"/>
      <c r="V288" s="153"/>
      <c r="W288" s="153"/>
      <c r="X288" s="153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2"/>
    </row>
    <row r="289" customFormat="false" ht="12.75" hidden="false" customHeight="true" outlineLevel="0" collapsed="false">
      <c r="H289" s="185"/>
      <c r="I289" s="185"/>
      <c r="J289" s="185"/>
      <c r="L289" s="186"/>
      <c r="M289" s="186"/>
      <c r="N289" s="186"/>
      <c r="O289" s="186"/>
      <c r="P289" s="186"/>
      <c r="Q289" s="186"/>
      <c r="R289" s="186"/>
      <c r="U289" s="153"/>
      <c r="V289" s="153"/>
      <c r="W289" s="153"/>
      <c r="X289" s="153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2"/>
    </row>
    <row r="290" customFormat="false" ht="12.75" hidden="false" customHeight="true" outlineLevel="0" collapsed="false">
      <c r="H290" s="185"/>
      <c r="I290" s="185"/>
      <c r="J290" s="185"/>
      <c r="L290" s="186"/>
      <c r="M290" s="186"/>
      <c r="N290" s="186"/>
      <c r="O290" s="186"/>
      <c r="P290" s="186"/>
      <c r="Q290" s="186"/>
      <c r="R290" s="186"/>
      <c r="U290" s="153"/>
      <c r="V290" s="153"/>
      <c r="W290" s="153"/>
      <c r="X290" s="153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2"/>
    </row>
    <row r="291" customFormat="false" ht="12.75" hidden="false" customHeight="true" outlineLevel="0" collapsed="false">
      <c r="H291" s="185"/>
      <c r="I291" s="185"/>
      <c r="J291" s="185"/>
      <c r="L291" s="186"/>
      <c r="M291" s="186"/>
      <c r="N291" s="186"/>
      <c r="O291" s="186"/>
      <c r="P291" s="186"/>
      <c r="Q291" s="186"/>
      <c r="R291" s="186"/>
      <c r="U291" s="153"/>
      <c r="V291" s="153"/>
      <c r="W291" s="153"/>
      <c r="X291" s="153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2"/>
    </row>
    <row r="292" customFormat="false" ht="12.75" hidden="false" customHeight="true" outlineLevel="0" collapsed="false">
      <c r="H292" s="185"/>
      <c r="I292" s="185"/>
      <c r="J292" s="185"/>
      <c r="L292" s="186"/>
      <c r="M292" s="186"/>
      <c r="N292" s="186"/>
      <c r="O292" s="186"/>
      <c r="P292" s="186"/>
      <c r="Q292" s="186"/>
      <c r="R292" s="186"/>
      <c r="U292" s="153"/>
      <c r="V292" s="153"/>
      <c r="W292" s="153"/>
      <c r="X292" s="153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2"/>
    </row>
    <row r="293" customFormat="false" ht="12.75" hidden="false" customHeight="true" outlineLevel="0" collapsed="false">
      <c r="H293" s="185"/>
      <c r="I293" s="185"/>
      <c r="J293" s="185"/>
      <c r="L293" s="186"/>
      <c r="M293" s="186"/>
      <c r="N293" s="186"/>
      <c r="O293" s="186"/>
      <c r="P293" s="186"/>
      <c r="Q293" s="186"/>
      <c r="R293" s="186"/>
      <c r="U293" s="153"/>
      <c r="V293" s="153"/>
      <c r="W293" s="153"/>
      <c r="X293" s="153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2"/>
    </row>
    <row r="294" customFormat="false" ht="12.75" hidden="false" customHeight="true" outlineLevel="0" collapsed="false">
      <c r="H294" s="185"/>
      <c r="I294" s="185"/>
      <c r="J294" s="185"/>
      <c r="L294" s="186"/>
      <c r="M294" s="186"/>
      <c r="N294" s="186"/>
      <c r="O294" s="186"/>
      <c r="P294" s="186"/>
      <c r="Q294" s="186"/>
      <c r="R294" s="186"/>
      <c r="U294" s="153"/>
      <c r="V294" s="153"/>
      <c r="W294" s="153"/>
      <c r="X294" s="153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2"/>
    </row>
    <row r="295" customFormat="false" ht="12.75" hidden="false" customHeight="true" outlineLevel="0" collapsed="false">
      <c r="H295" s="185"/>
      <c r="I295" s="185"/>
      <c r="J295" s="185"/>
      <c r="L295" s="186"/>
      <c r="M295" s="186"/>
      <c r="N295" s="186"/>
      <c r="O295" s="186"/>
      <c r="P295" s="186"/>
      <c r="Q295" s="186"/>
      <c r="R295" s="186"/>
      <c r="U295" s="153"/>
      <c r="V295" s="153"/>
      <c r="W295" s="153"/>
      <c r="X295" s="153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2"/>
    </row>
    <row r="296" customFormat="false" ht="12.75" hidden="false" customHeight="true" outlineLevel="0" collapsed="false">
      <c r="H296" s="185"/>
      <c r="I296" s="185"/>
      <c r="J296" s="185"/>
      <c r="L296" s="186"/>
      <c r="M296" s="186"/>
      <c r="N296" s="186"/>
      <c r="O296" s="186"/>
      <c r="P296" s="186"/>
      <c r="Q296" s="186"/>
      <c r="R296" s="186"/>
      <c r="U296" s="153"/>
      <c r="V296" s="153"/>
      <c r="W296" s="153"/>
      <c r="X296" s="153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2"/>
    </row>
    <row r="297" customFormat="false" ht="12.75" hidden="false" customHeight="true" outlineLevel="0" collapsed="false">
      <c r="H297" s="185"/>
      <c r="I297" s="185"/>
      <c r="J297" s="185"/>
      <c r="L297" s="186"/>
      <c r="M297" s="186"/>
      <c r="N297" s="186"/>
      <c r="O297" s="186"/>
      <c r="P297" s="186"/>
      <c r="Q297" s="186"/>
      <c r="R297" s="186"/>
      <c r="U297" s="153"/>
      <c r="V297" s="153"/>
      <c r="W297" s="153"/>
      <c r="X297" s="153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2"/>
    </row>
    <row r="298" customFormat="false" ht="12.75" hidden="false" customHeight="true" outlineLevel="0" collapsed="false">
      <c r="H298" s="185"/>
      <c r="I298" s="185"/>
      <c r="J298" s="185"/>
      <c r="L298" s="186"/>
      <c r="M298" s="186"/>
      <c r="N298" s="186"/>
      <c r="O298" s="186"/>
      <c r="P298" s="186"/>
      <c r="Q298" s="186"/>
      <c r="R298" s="186"/>
      <c r="U298" s="153"/>
      <c r="V298" s="153"/>
      <c r="W298" s="153"/>
      <c r="X298" s="153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2"/>
    </row>
    <row r="299" customFormat="false" ht="12.75" hidden="false" customHeight="true" outlineLevel="0" collapsed="false"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2"/>
    </row>
    <row r="300" customFormat="false" ht="12.75" hidden="false" customHeight="true" outlineLevel="0" collapsed="false"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2"/>
    </row>
    <row r="301" customFormat="false" ht="12.75" hidden="false" customHeight="true" outlineLevel="0" collapsed="false"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2"/>
    </row>
    <row r="302" customFormat="false" ht="12.75" hidden="false" customHeight="true" outlineLevel="0" collapsed="false"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2"/>
    </row>
    <row r="303" customFormat="false" ht="12.75" hidden="false" customHeight="true" outlineLevel="0" collapsed="false"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2"/>
    </row>
    <row r="304" customFormat="false" ht="12.75" hidden="false" customHeight="true" outlineLevel="0" collapsed="false"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2"/>
    </row>
    <row r="305" customFormat="false" ht="12.75" hidden="false" customHeight="true" outlineLevel="0" collapsed="false"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2"/>
    </row>
    <row r="306" customFormat="false" ht="12.75" hidden="false" customHeight="true" outlineLevel="0" collapsed="false"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2"/>
    </row>
    <row r="307" customFormat="false" ht="12.75" hidden="false" customHeight="true" outlineLevel="0" collapsed="false"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2"/>
    </row>
    <row r="308" customFormat="false" ht="12.75" hidden="false" customHeight="true" outlineLevel="0" collapsed="false"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</row>
    <row r="309" customFormat="false" ht="12.75" hidden="false" customHeight="true" outlineLevel="0" collapsed="false"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2"/>
    </row>
    <row r="310" customFormat="false" ht="12.75" hidden="false" customHeight="true" outlineLevel="0" collapsed="false"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2"/>
    </row>
    <row r="311" customFormat="false" ht="12.75" hidden="false" customHeight="true" outlineLevel="0" collapsed="false"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2"/>
    </row>
    <row r="312" customFormat="false" ht="12.75" hidden="false" customHeight="true" outlineLevel="0" collapsed="false"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2"/>
    </row>
    <row r="313" customFormat="false" ht="12.75" hidden="false" customHeight="true" outlineLevel="0" collapsed="false"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2"/>
    </row>
    <row r="314" customFormat="false" ht="12.75" hidden="false" customHeight="true" outlineLevel="0" collapsed="false"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2"/>
    </row>
    <row r="315" customFormat="false" ht="12.75" hidden="false" customHeight="true" outlineLevel="0" collapsed="false"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2"/>
    </row>
    <row r="316" customFormat="false" ht="12.75" hidden="false" customHeight="true" outlineLevel="0" collapsed="false"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2"/>
    </row>
    <row r="317" customFormat="false" ht="12.75" hidden="false" customHeight="true" outlineLevel="0" collapsed="false"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2"/>
    </row>
    <row r="318" customFormat="false" ht="12.75" hidden="false" customHeight="true" outlineLevel="0" collapsed="false"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2"/>
    </row>
    <row r="319" customFormat="false" ht="12.75" hidden="false" customHeight="true" outlineLevel="0" collapsed="false"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2"/>
    </row>
    <row r="320" customFormat="false" ht="12.75" hidden="false" customHeight="true" outlineLevel="0" collapsed="false"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2"/>
    </row>
    <row r="321" customFormat="false" ht="12.75" hidden="false" customHeight="true" outlineLevel="0" collapsed="false"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2"/>
    </row>
    <row r="322" customFormat="false" ht="12.75" hidden="false" customHeight="true" outlineLevel="0" collapsed="false"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2"/>
    </row>
    <row r="323" customFormat="false" ht="12.75" hidden="false" customHeight="true" outlineLevel="0" collapsed="false"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2"/>
    </row>
    <row r="324" customFormat="false" ht="12.75" hidden="false" customHeight="true" outlineLevel="0" collapsed="false"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2"/>
    </row>
    <row r="325" customFormat="false" ht="12.75" hidden="false" customHeight="true" outlineLevel="0" collapsed="false"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2"/>
    </row>
    <row r="326" customFormat="false" ht="12.75" hidden="false" customHeight="true" outlineLevel="0" collapsed="false"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2"/>
    </row>
    <row r="327" customFormat="false" ht="12.75" hidden="false" customHeight="true" outlineLevel="0" collapsed="false"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2"/>
    </row>
    <row r="328" customFormat="false" ht="12.75" hidden="false" customHeight="true" outlineLevel="0" collapsed="false"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2"/>
    </row>
    <row r="329" customFormat="false" ht="12.75" hidden="false" customHeight="true" outlineLevel="0" collapsed="false"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2"/>
    </row>
    <row r="330" customFormat="false" ht="12.75" hidden="false" customHeight="true" outlineLevel="0" collapsed="false"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2"/>
    </row>
    <row r="331" customFormat="false" ht="12.75" hidden="false" customHeight="true" outlineLevel="0" collapsed="false"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2"/>
    </row>
    <row r="332" customFormat="false" ht="12.75" hidden="false" customHeight="true" outlineLevel="0" collapsed="false"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2"/>
    </row>
    <row r="333" customFormat="false" ht="12.75" hidden="false" customHeight="true" outlineLevel="0" collapsed="false"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2"/>
    </row>
    <row r="334" customFormat="false" ht="12.75" hidden="false" customHeight="true" outlineLevel="0" collapsed="false"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2"/>
    </row>
    <row r="335" customFormat="false" ht="12.75" hidden="false" customHeight="true" outlineLevel="0" collapsed="false"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2"/>
    </row>
    <row r="336" customFormat="false" ht="12.75" hidden="false" customHeight="true" outlineLevel="0" collapsed="false"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2"/>
    </row>
    <row r="337" customFormat="false" ht="12.75" hidden="false" customHeight="true" outlineLevel="0" collapsed="false"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2"/>
    </row>
    <row r="338" customFormat="false" ht="12.75" hidden="false" customHeight="true" outlineLevel="0" collapsed="false"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2"/>
    </row>
    <row r="339" customFormat="false" ht="12.75" hidden="false" customHeight="true" outlineLevel="0" collapsed="false"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2"/>
    </row>
    <row r="340" customFormat="false" ht="12.75" hidden="false" customHeight="true" outlineLevel="0" collapsed="false"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2"/>
    </row>
    <row r="341" customFormat="false" ht="12.75" hidden="false" customHeight="true" outlineLevel="0" collapsed="false"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2"/>
    </row>
    <row r="342" customFormat="false" ht="12.75" hidden="false" customHeight="true" outlineLevel="0" collapsed="false"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2"/>
    </row>
    <row r="343" customFormat="false" ht="12.75" hidden="false" customHeight="true" outlineLevel="0" collapsed="false"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2"/>
    </row>
    <row r="344" customFormat="false" ht="12.75" hidden="false" customHeight="true" outlineLevel="0" collapsed="false"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2"/>
    </row>
    <row r="345" customFormat="false" ht="12.75" hidden="false" customHeight="true" outlineLevel="0" collapsed="false"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2"/>
    </row>
    <row r="346" customFormat="false" ht="12.75" hidden="false" customHeight="true" outlineLevel="0" collapsed="false"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2"/>
    </row>
    <row r="347" customFormat="false" ht="12.75" hidden="false" customHeight="true" outlineLevel="0" collapsed="false"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2"/>
    </row>
    <row r="348" customFormat="false" ht="12.75" hidden="false" customHeight="true" outlineLevel="0" collapsed="false"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2"/>
    </row>
    <row r="349" customFormat="false" ht="12.75" hidden="false" customHeight="true" outlineLevel="0" collapsed="false"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2"/>
    </row>
    <row r="350" customFormat="false" ht="12.75" hidden="false" customHeight="true" outlineLevel="0" collapsed="false"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2"/>
    </row>
    <row r="351" customFormat="false" ht="12.75" hidden="false" customHeight="true" outlineLevel="0" collapsed="false"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2"/>
    </row>
    <row r="352" customFormat="false" ht="12.75" hidden="false" customHeight="true" outlineLevel="0" collapsed="false"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2"/>
    </row>
    <row r="353" customFormat="false" ht="12.75" hidden="false" customHeight="true" outlineLevel="0" collapsed="false"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2"/>
    </row>
    <row r="354" customFormat="false" ht="12.75" hidden="false" customHeight="true" outlineLevel="0" collapsed="false"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2"/>
    </row>
    <row r="355" customFormat="false" ht="12.75" hidden="false" customHeight="true" outlineLevel="0" collapsed="false"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2"/>
    </row>
    <row r="356" customFormat="false" ht="12.75" hidden="false" customHeight="true" outlineLevel="0" collapsed="false"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2"/>
    </row>
    <row r="357" customFormat="false" ht="12.75" hidden="false" customHeight="true" outlineLevel="0" collapsed="false"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2"/>
    </row>
    <row r="358" customFormat="false" ht="12.75" hidden="false" customHeight="true" outlineLevel="0" collapsed="false"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2"/>
    </row>
    <row r="359" customFormat="false" ht="12.75" hidden="false" customHeight="true" outlineLevel="0" collapsed="false"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2"/>
    </row>
    <row r="360" customFormat="false" ht="12.75" hidden="false" customHeight="true" outlineLevel="0" collapsed="false"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2"/>
    </row>
    <row r="361" customFormat="false" ht="12.75" hidden="false" customHeight="true" outlineLevel="0" collapsed="false"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2"/>
    </row>
    <row r="362" customFormat="false" ht="12.75" hidden="false" customHeight="true" outlineLevel="0" collapsed="false"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2"/>
    </row>
    <row r="363" customFormat="false" ht="12.75" hidden="false" customHeight="true" outlineLevel="0" collapsed="false"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2"/>
    </row>
    <row r="364" customFormat="false" ht="12.75" hidden="false" customHeight="true" outlineLevel="0" collapsed="false"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2"/>
    </row>
    <row r="365" customFormat="false" ht="12.75" hidden="false" customHeight="true" outlineLevel="0" collapsed="false"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2"/>
    </row>
    <row r="366" customFormat="false" ht="12.75" hidden="false" customHeight="true" outlineLevel="0" collapsed="false"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2"/>
    </row>
    <row r="367" customFormat="false" ht="12.75" hidden="false" customHeight="true" outlineLevel="0" collapsed="false"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2"/>
    </row>
    <row r="368" customFormat="false" ht="12.75" hidden="false" customHeight="true" outlineLevel="0" collapsed="false"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2"/>
    </row>
    <row r="369" customFormat="false" ht="12.75" hidden="false" customHeight="true" outlineLevel="0" collapsed="false"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2"/>
    </row>
    <row r="370" customFormat="false" ht="12.75" hidden="false" customHeight="true" outlineLevel="0" collapsed="false"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2"/>
    </row>
    <row r="371" customFormat="false" ht="12.75" hidden="false" customHeight="true" outlineLevel="0" collapsed="false"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2"/>
    </row>
    <row r="372" customFormat="false" ht="12.75" hidden="false" customHeight="true" outlineLevel="0" collapsed="false"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2"/>
    </row>
    <row r="373" customFormat="false" ht="12.75" hidden="false" customHeight="true" outlineLevel="0" collapsed="false"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2"/>
    </row>
    <row r="374" customFormat="false" ht="12.75" hidden="false" customHeight="true" outlineLevel="0" collapsed="false"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2"/>
    </row>
    <row r="375" customFormat="false" ht="12.75" hidden="false" customHeight="true" outlineLevel="0" collapsed="false"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2"/>
    </row>
    <row r="376" customFormat="false" ht="12.75" hidden="false" customHeight="true" outlineLevel="0" collapsed="false"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2"/>
    </row>
    <row r="377" customFormat="false" ht="12.75" hidden="false" customHeight="true" outlineLevel="0" collapsed="false"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2"/>
    </row>
    <row r="378" customFormat="false" ht="12.75" hidden="false" customHeight="true" outlineLevel="0" collapsed="false"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2"/>
    </row>
    <row r="379" customFormat="false" ht="12.75" hidden="false" customHeight="true" outlineLevel="0" collapsed="false"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2"/>
    </row>
    <row r="380" customFormat="false" ht="12.75" hidden="false" customHeight="true" outlineLevel="0" collapsed="false"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2"/>
    </row>
    <row r="381" customFormat="false" ht="12.75" hidden="false" customHeight="true" outlineLevel="0" collapsed="false"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2"/>
    </row>
    <row r="382" customFormat="false" ht="12.75" hidden="false" customHeight="true" outlineLevel="0" collapsed="false"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2"/>
    </row>
    <row r="383" customFormat="false" ht="12.75" hidden="false" customHeight="true" outlineLevel="0" collapsed="false"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2"/>
    </row>
    <row r="384" customFormat="false" ht="12.75" hidden="false" customHeight="true" outlineLevel="0" collapsed="false"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2"/>
    </row>
    <row r="385" customFormat="false" ht="12.75" hidden="false" customHeight="true" outlineLevel="0" collapsed="false"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2"/>
    </row>
    <row r="386" customFormat="false" ht="12.75" hidden="false" customHeight="true" outlineLevel="0" collapsed="false"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2"/>
    </row>
    <row r="387" customFormat="false" ht="12.75" hidden="false" customHeight="true" outlineLevel="0" collapsed="false"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2"/>
    </row>
    <row r="388" customFormat="false" ht="12.75" hidden="false" customHeight="true" outlineLevel="0" collapsed="false"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2"/>
    </row>
    <row r="389" customFormat="false" ht="12.75" hidden="false" customHeight="true" outlineLevel="0" collapsed="false"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2"/>
    </row>
    <row r="390" customFormat="false" ht="12.75" hidden="false" customHeight="true" outlineLevel="0" collapsed="false"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2"/>
    </row>
    <row r="391" customFormat="false" ht="12.75" hidden="false" customHeight="true" outlineLevel="0" collapsed="false"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2"/>
    </row>
    <row r="392" customFormat="false" ht="12.75" hidden="false" customHeight="true" outlineLevel="0" collapsed="false"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2"/>
    </row>
    <row r="393" customFormat="false" ht="12.75" hidden="false" customHeight="true" outlineLevel="0" collapsed="false"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2"/>
    </row>
    <row r="394" customFormat="false" ht="12.75" hidden="false" customHeight="true" outlineLevel="0" collapsed="false"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2"/>
    </row>
    <row r="395" customFormat="false" ht="12.75" hidden="false" customHeight="true" outlineLevel="0" collapsed="false"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2"/>
    </row>
    <row r="396" customFormat="false" ht="12.75" hidden="false" customHeight="true" outlineLevel="0" collapsed="false"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2"/>
    </row>
    <row r="397" customFormat="false" ht="12.75" hidden="false" customHeight="true" outlineLevel="0" collapsed="false"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2"/>
    </row>
    <row r="398" customFormat="false" ht="12.75" hidden="false" customHeight="true" outlineLevel="0" collapsed="false"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2"/>
    </row>
    <row r="399" customFormat="false" ht="12.75" hidden="false" customHeight="true" outlineLevel="0" collapsed="false"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2"/>
    </row>
    <row r="400" customFormat="false" ht="12.75" hidden="false" customHeight="true" outlineLevel="0" collapsed="false"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2"/>
    </row>
    <row r="401" customFormat="false" ht="12.75" hidden="false" customHeight="true" outlineLevel="0" collapsed="false"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2"/>
    </row>
    <row r="402" customFormat="false" ht="12.75" hidden="false" customHeight="true" outlineLevel="0" collapsed="false"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2"/>
    </row>
    <row r="403" customFormat="false" ht="12.75" hidden="false" customHeight="true" outlineLevel="0" collapsed="false"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2"/>
    </row>
    <row r="404" customFormat="false" ht="12.75" hidden="false" customHeight="true" outlineLevel="0" collapsed="false"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2"/>
    </row>
    <row r="405" customFormat="false" ht="12.75" hidden="false" customHeight="true" outlineLevel="0" collapsed="false"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2"/>
    </row>
    <row r="406" customFormat="false" ht="12.75" hidden="false" customHeight="true" outlineLevel="0" collapsed="false"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2"/>
    </row>
    <row r="407" customFormat="false" ht="12.75" hidden="false" customHeight="true" outlineLevel="0" collapsed="false"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2"/>
    </row>
    <row r="408" customFormat="false" ht="12.75" hidden="false" customHeight="true" outlineLevel="0" collapsed="false"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2"/>
    </row>
    <row r="409" customFormat="false" ht="12.75" hidden="false" customHeight="true" outlineLevel="0" collapsed="false"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2"/>
    </row>
    <row r="410" customFormat="false" ht="12.75" hidden="false" customHeight="true" outlineLevel="0" collapsed="false"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2"/>
    </row>
    <row r="411" customFormat="false" ht="12.75" hidden="false" customHeight="true" outlineLevel="0" collapsed="false"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2"/>
    </row>
    <row r="412" customFormat="false" ht="12.75" hidden="false" customHeight="true" outlineLevel="0" collapsed="false"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2"/>
    </row>
    <row r="413" customFormat="false" ht="12.75" hidden="false" customHeight="true" outlineLevel="0" collapsed="false"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2"/>
    </row>
    <row r="414" customFormat="false" ht="12.75" hidden="false" customHeight="true" outlineLevel="0" collapsed="false"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2"/>
    </row>
    <row r="415" customFormat="false" ht="12.75" hidden="false" customHeight="true" outlineLevel="0" collapsed="false"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2"/>
    </row>
    <row r="416" customFormat="false" ht="12.75" hidden="false" customHeight="true" outlineLevel="0" collapsed="false"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2"/>
    </row>
    <row r="417" customFormat="false" ht="12.75" hidden="false" customHeight="true" outlineLevel="0" collapsed="false"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2"/>
    </row>
    <row r="418" customFormat="false" ht="12.75" hidden="false" customHeight="true" outlineLevel="0" collapsed="false"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2"/>
    </row>
    <row r="419" customFormat="false" ht="12.75" hidden="false" customHeight="true" outlineLevel="0" collapsed="false"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2"/>
    </row>
    <row r="420" customFormat="false" ht="12.75" hidden="false" customHeight="true" outlineLevel="0" collapsed="false"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2"/>
    </row>
    <row r="421" customFormat="false" ht="12.75" hidden="false" customHeight="true" outlineLevel="0" collapsed="false"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2"/>
    </row>
    <row r="422" customFormat="false" ht="12.75" hidden="false" customHeight="true" outlineLevel="0" collapsed="false"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2"/>
    </row>
    <row r="423" customFormat="false" ht="12.75" hidden="false" customHeight="true" outlineLevel="0" collapsed="false"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2"/>
    </row>
    <row r="424" customFormat="false" ht="12.75" hidden="false" customHeight="true" outlineLevel="0" collapsed="false"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2"/>
    </row>
    <row r="425" customFormat="false" ht="12.75" hidden="false" customHeight="true" outlineLevel="0" collapsed="false"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2"/>
    </row>
    <row r="426" customFormat="false" ht="12.75" hidden="false" customHeight="true" outlineLevel="0" collapsed="false"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2"/>
    </row>
    <row r="427" customFormat="false" ht="12.75" hidden="false" customHeight="true" outlineLevel="0" collapsed="false"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2"/>
    </row>
    <row r="428" customFormat="false" ht="12.75" hidden="false" customHeight="true" outlineLevel="0" collapsed="false"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2"/>
    </row>
    <row r="429" customFormat="false" ht="12.75" hidden="false" customHeight="true" outlineLevel="0" collapsed="false"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2"/>
    </row>
    <row r="430" customFormat="false" ht="12.75" hidden="false" customHeight="true" outlineLevel="0" collapsed="false"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2"/>
    </row>
    <row r="431" customFormat="false" ht="12.75" hidden="false" customHeight="true" outlineLevel="0" collapsed="false"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2"/>
    </row>
    <row r="432" customFormat="false" ht="12.75" hidden="false" customHeight="true" outlineLevel="0" collapsed="false"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2"/>
    </row>
    <row r="433" customFormat="false" ht="12.75" hidden="false" customHeight="true" outlineLevel="0" collapsed="false"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2"/>
    </row>
    <row r="434" customFormat="false" ht="12.75" hidden="false" customHeight="true" outlineLevel="0" collapsed="false"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2"/>
    </row>
    <row r="435" customFormat="false" ht="12.75" hidden="false" customHeight="true" outlineLevel="0" collapsed="false"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2"/>
    </row>
    <row r="436" customFormat="false" ht="12.75" hidden="false" customHeight="true" outlineLevel="0" collapsed="false"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2"/>
    </row>
    <row r="437" customFormat="false" ht="12.75" hidden="false" customHeight="true" outlineLevel="0" collapsed="false"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2"/>
    </row>
    <row r="438" customFormat="false" ht="12.75" hidden="false" customHeight="true" outlineLevel="0" collapsed="false"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2"/>
    </row>
    <row r="439" customFormat="false" ht="12.75" hidden="false" customHeight="true" outlineLevel="0" collapsed="false"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2"/>
    </row>
    <row r="440" customFormat="false" ht="12.75" hidden="false" customHeight="true" outlineLevel="0" collapsed="false"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2"/>
    </row>
    <row r="441" customFormat="false" ht="12.75" hidden="false" customHeight="true" outlineLevel="0" collapsed="false"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2"/>
    </row>
    <row r="442" customFormat="false" ht="12.75" hidden="false" customHeight="true" outlineLevel="0" collapsed="false"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2"/>
    </row>
    <row r="443" customFormat="false" ht="12.75" hidden="false" customHeight="true" outlineLevel="0" collapsed="false"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2"/>
    </row>
    <row r="444" customFormat="false" ht="12.75" hidden="false" customHeight="true" outlineLevel="0" collapsed="false"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2"/>
    </row>
    <row r="445" customFormat="false" ht="12.75" hidden="false" customHeight="true" outlineLevel="0" collapsed="false"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142"/>
    </row>
    <row r="446" customFormat="false" ht="12.75" hidden="false" customHeight="true" outlineLevel="0" collapsed="false"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2"/>
    </row>
    <row r="447" customFormat="false" ht="12.75" hidden="false" customHeight="true" outlineLevel="0" collapsed="false"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2"/>
    </row>
    <row r="448" customFormat="false" ht="12.75" hidden="false" customHeight="true" outlineLevel="0" collapsed="false"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2"/>
    </row>
    <row r="449" customFormat="false" ht="12.75" hidden="false" customHeight="true" outlineLevel="0" collapsed="false"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2"/>
    </row>
    <row r="450" customFormat="false" ht="12.75" hidden="false" customHeight="true" outlineLevel="0" collapsed="false"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2"/>
    </row>
    <row r="451" customFormat="false" ht="12.75" hidden="false" customHeight="true" outlineLevel="0" collapsed="false"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2"/>
    </row>
    <row r="452" customFormat="false" ht="12.75" hidden="false" customHeight="true" outlineLevel="0" collapsed="false"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2"/>
    </row>
    <row r="453" customFormat="false" ht="12.75" hidden="false" customHeight="true" outlineLevel="0" collapsed="false"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2"/>
    </row>
    <row r="454" customFormat="false" ht="12.75" hidden="false" customHeight="true" outlineLevel="0" collapsed="false"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2"/>
    </row>
    <row r="455" customFormat="false" ht="12.75" hidden="false" customHeight="true" outlineLevel="0" collapsed="false"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2"/>
    </row>
    <row r="456" customFormat="false" ht="12.75" hidden="false" customHeight="true" outlineLevel="0" collapsed="false"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2"/>
    </row>
    <row r="457" customFormat="false" ht="12.75" hidden="false" customHeight="true" outlineLevel="0" collapsed="false"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2"/>
    </row>
    <row r="458" customFormat="false" ht="12.75" hidden="false" customHeight="true" outlineLevel="0" collapsed="false"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2"/>
    </row>
    <row r="459" customFormat="false" ht="12.75" hidden="false" customHeight="true" outlineLevel="0" collapsed="false"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2"/>
    </row>
    <row r="460" customFormat="false" ht="12.75" hidden="false" customHeight="true" outlineLevel="0" collapsed="false"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2"/>
    </row>
    <row r="461" customFormat="false" ht="12.75" hidden="false" customHeight="true" outlineLevel="0" collapsed="false"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2"/>
    </row>
    <row r="462" customFormat="false" ht="12.75" hidden="false" customHeight="true" outlineLevel="0" collapsed="false"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2"/>
    </row>
    <row r="463" customFormat="false" ht="12.75" hidden="false" customHeight="true" outlineLevel="0" collapsed="false"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2"/>
    </row>
    <row r="464" customFormat="false" ht="12.75" hidden="false" customHeight="true" outlineLevel="0" collapsed="false"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2"/>
    </row>
    <row r="465" customFormat="false" ht="12.75" hidden="false" customHeight="true" outlineLevel="0" collapsed="false"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2"/>
    </row>
    <row r="466" customFormat="false" ht="12.75" hidden="false" customHeight="true" outlineLevel="0" collapsed="false"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2"/>
    </row>
    <row r="467" customFormat="false" ht="12.75" hidden="false" customHeight="true" outlineLevel="0" collapsed="false"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2"/>
    </row>
    <row r="468" customFormat="false" ht="12.75" hidden="false" customHeight="true" outlineLevel="0" collapsed="false"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2"/>
    </row>
    <row r="469" customFormat="false" ht="12.75" hidden="false" customHeight="true" outlineLevel="0" collapsed="false"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2"/>
    </row>
    <row r="470" customFormat="false" ht="12.75" hidden="false" customHeight="true" outlineLevel="0" collapsed="false"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2"/>
    </row>
    <row r="471" customFormat="false" ht="12.75" hidden="false" customHeight="true" outlineLevel="0" collapsed="false"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2"/>
    </row>
    <row r="472" customFormat="false" ht="12.75" hidden="false" customHeight="true" outlineLevel="0" collapsed="false"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2"/>
    </row>
    <row r="473" customFormat="false" ht="12.75" hidden="false" customHeight="true" outlineLevel="0" collapsed="false"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2"/>
    </row>
    <row r="474" customFormat="false" ht="12.75" hidden="false" customHeight="true" outlineLevel="0" collapsed="false"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2"/>
    </row>
    <row r="475" customFormat="false" ht="12.75" hidden="false" customHeight="true" outlineLevel="0" collapsed="false"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2"/>
    </row>
    <row r="476" customFormat="false" ht="12.75" hidden="false" customHeight="true" outlineLevel="0" collapsed="false"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2"/>
    </row>
    <row r="477" customFormat="false" ht="12.75" hidden="false" customHeight="true" outlineLevel="0" collapsed="false"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2"/>
    </row>
    <row r="478" customFormat="false" ht="12.75" hidden="false" customHeight="true" outlineLevel="0" collapsed="false"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2"/>
    </row>
    <row r="479" customFormat="false" ht="12.75" hidden="false" customHeight="true" outlineLevel="0" collapsed="false"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2"/>
    </row>
    <row r="480" customFormat="false" ht="12.75" hidden="false" customHeight="true" outlineLevel="0" collapsed="false"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2"/>
    </row>
    <row r="481" customFormat="false" ht="12.75" hidden="false" customHeight="true" outlineLevel="0" collapsed="false"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2"/>
    </row>
    <row r="482" customFormat="false" ht="12.75" hidden="false" customHeight="true" outlineLevel="0" collapsed="false"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2"/>
    </row>
    <row r="483" customFormat="false" ht="12.75" hidden="false" customHeight="true" outlineLevel="0" collapsed="false"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2"/>
    </row>
    <row r="484" customFormat="false" ht="12.75" hidden="false" customHeight="true" outlineLevel="0" collapsed="false"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2"/>
    </row>
    <row r="485" customFormat="false" ht="12.75" hidden="false" customHeight="true" outlineLevel="0" collapsed="false"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2"/>
    </row>
    <row r="486" customFormat="false" ht="12.75" hidden="false" customHeight="true" outlineLevel="0" collapsed="false"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2"/>
    </row>
    <row r="487" customFormat="false" ht="12.75" hidden="false" customHeight="true" outlineLevel="0" collapsed="false"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2"/>
    </row>
    <row r="488" customFormat="false" ht="12.75" hidden="false" customHeight="true" outlineLevel="0" collapsed="false"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2"/>
    </row>
    <row r="489" customFormat="false" ht="12.75" hidden="false" customHeight="true" outlineLevel="0" collapsed="false"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2"/>
    </row>
    <row r="490" customFormat="false" ht="12.75" hidden="false" customHeight="true" outlineLevel="0" collapsed="false"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2"/>
    </row>
    <row r="491" customFormat="false" ht="12.75" hidden="false" customHeight="true" outlineLevel="0" collapsed="false"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2"/>
    </row>
    <row r="492" customFormat="false" ht="12.75" hidden="false" customHeight="true" outlineLevel="0" collapsed="false"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2"/>
    </row>
    <row r="493" customFormat="false" ht="12.75" hidden="false" customHeight="true" outlineLevel="0" collapsed="false"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2"/>
    </row>
    <row r="494" customFormat="false" ht="12.75" hidden="false" customHeight="true" outlineLevel="0" collapsed="false"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2"/>
    </row>
    <row r="495" customFormat="false" ht="12.75" hidden="false" customHeight="true" outlineLevel="0" collapsed="false"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2"/>
    </row>
    <row r="496" customFormat="false" ht="12.75" hidden="false" customHeight="true" outlineLevel="0" collapsed="false"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2"/>
    </row>
    <row r="497" customFormat="false" ht="12.75" hidden="false" customHeight="true" outlineLevel="0" collapsed="false"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2"/>
    </row>
    <row r="498" customFormat="false" ht="12.75" hidden="false" customHeight="true" outlineLevel="0" collapsed="false"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2"/>
    </row>
    <row r="499" customFormat="false" ht="12.75" hidden="false" customHeight="true" outlineLevel="0" collapsed="false"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2"/>
    </row>
    <row r="500" customFormat="false" ht="12.75" hidden="false" customHeight="true" outlineLevel="0" collapsed="false"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2"/>
    </row>
    <row r="501" customFormat="false" ht="12.75" hidden="false" customHeight="true" outlineLevel="0" collapsed="false"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2"/>
    </row>
    <row r="502" customFormat="false" ht="12.75" hidden="false" customHeight="true" outlineLevel="0" collapsed="false"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2"/>
    </row>
    <row r="503" customFormat="false" ht="12.75" hidden="false" customHeight="true" outlineLevel="0" collapsed="false"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2"/>
    </row>
    <row r="504" customFormat="false" ht="12.75" hidden="false" customHeight="true" outlineLevel="0" collapsed="false"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2"/>
    </row>
    <row r="505" customFormat="false" ht="12.75" hidden="false" customHeight="true" outlineLevel="0" collapsed="false"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2"/>
    </row>
    <row r="506" customFormat="false" ht="12.75" hidden="false" customHeight="true" outlineLevel="0" collapsed="false"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2"/>
    </row>
    <row r="507" customFormat="false" ht="12.75" hidden="false" customHeight="true" outlineLevel="0" collapsed="false"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2"/>
    </row>
    <row r="508" customFormat="false" ht="12.75" hidden="false" customHeight="true" outlineLevel="0" collapsed="false"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2"/>
    </row>
    <row r="509" customFormat="false" ht="12.75" hidden="false" customHeight="true" outlineLevel="0" collapsed="false"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2"/>
    </row>
    <row r="510" customFormat="false" ht="12.75" hidden="false" customHeight="true" outlineLevel="0" collapsed="false"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2"/>
    </row>
    <row r="511" customFormat="false" ht="12.75" hidden="false" customHeight="true" outlineLevel="0" collapsed="false"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</row>
    <row r="512" customFormat="false" ht="12.75" hidden="false" customHeight="true" outlineLevel="0" collapsed="false"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142"/>
    </row>
    <row r="513" customFormat="false" ht="12.75" hidden="false" customHeight="true" outlineLevel="0" collapsed="false"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2"/>
    </row>
    <row r="514" customFormat="false" ht="12.75" hidden="false" customHeight="true" outlineLevel="0" collapsed="false"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2"/>
    </row>
    <row r="515" customFormat="false" ht="12.75" hidden="false" customHeight="true" outlineLevel="0" collapsed="false"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2"/>
    </row>
    <row r="516" customFormat="false" ht="12.75" hidden="false" customHeight="true" outlineLevel="0" collapsed="false"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2"/>
    </row>
    <row r="517" customFormat="false" ht="12.75" hidden="false" customHeight="true" outlineLevel="0" collapsed="false"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2"/>
    </row>
    <row r="518" customFormat="false" ht="12.75" hidden="false" customHeight="true" outlineLevel="0" collapsed="false"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2"/>
    </row>
    <row r="519" customFormat="false" ht="12.75" hidden="false" customHeight="true" outlineLevel="0" collapsed="false"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2"/>
    </row>
    <row r="520" customFormat="false" ht="12.75" hidden="false" customHeight="true" outlineLevel="0" collapsed="false"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2"/>
    </row>
    <row r="521" customFormat="false" ht="12.75" hidden="false" customHeight="true" outlineLevel="0" collapsed="false"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2"/>
    </row>
    <row r="522" customFormat="false" ht="12.75" hidden="false" customHeight="true" outlineLevel="0" collapsed="false"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2"/>
    </row>
    <row r="523" customFormat="false" ht="12.75" hidden="false" customHeight="true" outlineLevel="0" collapsed="false"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2"/>
    </row>
    <row r="524" customFormat="false" ht="12.75" hidden="false" customHeight="true" outlineLevel="0" collapsed="false"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2"/>
    </row>
    <row r="525" customFormat="false" ht="12.75" hidden="false" customHeight="true" outlineLevel="0" collapsed="false"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2"/>
    </row>
    <row r="526" customFormat="false" ht="12.75" hidden="false" customHeight="true" outlineLevel="0" collapsed="false"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2"/>
    </row>
    <row r="527" customFormat="false" ht="12.75" hidden="false" customHeight="true" outlineLevel="0" collapsed="false"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2"/>
    </row>
    <row r="528" customFormat="false" ht="12.75" hidden="false" customHeight="true" outlineLevel="0" collapsed="false"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2"/>
    </row>
    <row r="529" customFormat="false" ht="12.75" hidden="false" customHeight="true" outlineLevel="0" collapsed="false"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2"/>
    </row>
    <row r="530" customFormat="false" ht="12.75" hidden="false" customHeight="true" outlineLevel="0" collapsed="false"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2"/>
    </row>
    <row r="531" customFormat="false" ht="12.75" hidden="false" customHeight="true" outlineLevel="0" collapsed="false"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2"/>
    </row>
    <row r="532" customFormat="false" ht="12.75" hidden="false" customHeight="true" outlineLevel="0" collapsed="false"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2"/>
    </row>
    <row r="533" customFormat="false" ht="12.75" hidden="false" customHeight="true" outlineLevel="0" collapsed="false"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2"/>
    </row>
    <row r="534" customFormat="false" ht="12.75" hidden="false" customHeight="true" outlineLevel="0" collapsed="false"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2"/>
    </row>
    <row r="535" customFormat="false" ht="12.75" hidden="false" customHeight="true" outlineLevel="0" collapsed="false"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2"/>
    </row>
    <row r="536" customFormat="false" ht="12.75" hidden="false" customHeight="true" outlineLevel="0" collapsed="false"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2"/>
    </row>
    <row r="537" customFormat="false" ht="12.75" hidden="false" customHeight="true" outlineLevel="0" collapsed="false"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2"/>
    </row>
    <row r="538" customFormat="false" ht="12.75" hidden="false" customHeight="true" outlineLevel="0" collapsed="false"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2"/>
    </row>
    <row r="539" customFormat="false" ht="12.75" hidden="false" customHeight="true" outlineLevel="0" collapsed="false"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2"/>
    </row>
    <row r="540" customFormat="false" ht="12.75" hidden="false" customHeight="true" outlineLevel="0" collapsed="false"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2"/>
    </row>
    <row r="541" customFormat="false" ht="12.75" hidden="false" customHeight="true" outlineLevel="0" collapsed="false"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2"/>
    </row>
    <row r="542" customFormat="false" ht="12.75" hidden="false" customHeight="true" outlineLevel="0" collapsed="false"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2"/>
    </row>
    <row r="543" customFormat="false" ht="12.75" hidden="false" customHeight="true" outlineLevel="0" collapsed="false"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2"/>
    </row>
    <row r="544" customFormat="false" ht="12.75" hidden="false" customHeight="true" outlineLevel="0" collapsed="false"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2"/>
    </row>
    <row r="545" customFormat="false" ht="12.75" hidden="false" customHeight="true" outlineLevel="0" collapsed="false"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2"/>
    </row>
    <row r="546" customFormat="false" ht="12.75" hidden="false" customHeight="true" outlineLevel="0" collapsed="false"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2"/>
    </row>
    <row r="547" customFormat="false" ht="12.75" hidden="false" customHeight="true" outlineLevel="0" collapsed="false"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2"/>
    </row>
    <row r="548" customFormat="false" ht="12.75" hidden="false" customHeight="true" outlineLevel="0" collapsed="false"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2"/>
    </row>
    <row r="549" customFormat="false" ht="12.75" hidden="false" customHeight="true" outlineLevel="0" collapsed="false"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2"/>
    </row>
    <row r="550" customFormat="false" ht="12.75" hidden="false" customHeight="true" outlineLevel="0" collapsed="false"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2"/>
    </row>
    <row r="551" customFormat="false" ht="12.75" hidden="false" customHeight="true" outlineLevel="0" collapsed="false"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2"/>
    </row>
    <row r="552" customFormat="false" ht="12.75" hidden="false" customHeight="true" outlineLevel="0" collapsed="false"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2"/>
    </row>
    <row r="553" customFormat="false" ht="12.75" hidden="false" customHeight="true" outlineLevel="0" collapsed="false"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2"/>
    </row>
    <row r="554" customFormat="false" ht="12.75" hidden="false" customHeight="true" outlineLevel="0" collapsed="false"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2"/>
    </row>
    <row r="555" customFormat="false" ht="12.75" hidden="false" customHeight="true" outlineLevel="0" collapsed="false"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2"/>
    </row>
    <row r="556" customFormat="false" ht="12.75" hidden="false" customHeight="true" outlineLevel="0" collapsed="false"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2"/>
    </row>
    <row r="557" customFormat="false" ht="12.75" hidden="false" customHeight="true" outlineLevel="0" collapsed="false"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2"/>
    </row>
    <row r="558" customFormat="false" ht="12.75" hidden="false" customHeight="true" outlineLevel="0" collapsed="false"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2"/>
    </row>
    <row r="559" customFormat="false" ht="12.75" hidden="false" customHeight="true" outlineLevel="0" collapsed="false"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2"/>
    </row>
    <row r="560" customFormat="false" ht="12.75" hidden="false" customHeight="true" outlineLevel="0" collapsed="false"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2"/>
    </row>
    <row r="561" customFormat="false" ht="12.75" hidden="false" customHeight="true" outlineLevel="0" collapsed="false"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2"/>
    </row>
    <row r="562" customFormat="false" ht="12.75" hidden="false" customHeight="true" outlineLevel="0" collapsed="false"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2"/>
    </row>
    <row r="563" customFormat="false" ht="12.75" hidden="false" customHeight="true" outlineLevel="0" collapsed="false"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2"/>
    </row>
    <row r="564" customFormat="false" ht="12.75" hidden="false" customHeight="true" outlineLevel="0" collapsed="false"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2"/>
    </row>
    <row r="565" customFormat="false" ht="12.75" hidden="false" customHeight="true" outlineLevel="0" collapsed="false"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2"/>
    </row>
    <row r="566" customFormat="false" ht="12.75" hidden="false" customHeight="true" outlineLevel="0" collapsed="false"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2"/>
    </row>
    <row r="567" customFormat="false" ht="12.75" hidden="false" customHeight="true" outlineLevel="0" collapsed="false"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2"/>
    </row>
    <row r="568" customFormat="false" ht="12.75" hidden="false" customHeight="true" outlineLevel="0" collapsed="false"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2"/>
    </row>
    <row r="569" customFormat="false" ht="12.75" hidden="false" customHeight="true" outlineLevel="0" collapsed="false"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2"/>
    </row>
    <row r="570" customFormat="false" ht="12.75" hidden="false" customHeight="true" outlineLevel="0" collapsed="false"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2"/>
    </row>
    <row r="571" customFormat="false" ht="12.75" hidden="false" customHeight="true" outlineLevel="0" collapsed="false"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2"/>
    </row>
    <row r="572" customFormat="false" ht="12.75" hidden="false" customHeight="true" outlineLevel="0" collapsed="false"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2"/>
    </row>
    <row r="573" customFormat="false" ht="12.75" hidden="false" customHeight="true" outlineLevel="0" collapsed="false"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2"/>
    </row>
    <row r="574" customFormat="false" ht="12.75" hidden="false" customHeight="true" outlineLevel="0" collapsed="false"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2"/>
    </row>
    <row r="575" customFormat="false" ht="12.75" hidden="false" customHeight="true" outlineLevel="0" collapsed="false"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2"/>
    </row>
    <row r="576" customFormat="false" ht="12.75" hidden="false" customHeight="true" outlineLevel="0" collapsed="false"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2"/>
    </row>
    <row r="577" customFormat="false" ht="12.75" hidden="false" customHeight="true" outlineLevel="0" collapsed="false"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2"/>
    </row>
    <row r="578" customFormat="false" ht="12.75" hidden="false" customHeight="true" outlineLevel="0" collapsed="false"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2"/>
    </row>
    <row r="579" customFormat="false" ht="12.75" hidden="false" customHeight="true" outlineLevel="0" collapsed="false"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2"/>
    </row>
    <row r="580" customFormat="false" ht="12.75" hidden="false" customHeight="true" outlineLevel="0" collapsed="false"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2"/>
    </row>
    <row r="581" customFormat="false" ht="12.75" hidden="false" customHeight="true" outlineLevel="0" collapsed="false"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2"/>
    </row>
    <row r="582" customFormat="false" ht="12.75" hidden="false" customHeight="true" outlineLevel="0" collapsed="false"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2"/>
    </row>
    <row r="583" customFormat="false" ht="12.75" hidden="false" customHeight="true" outlineLevel="0" collapsed="false"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2"/>
    </row>
    <row r="584" customFormat="false" ht="12.75" hidden="false" customHeight="true" outlineLevel="0" collapsed="false"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2"/>
    </row>
    <row r="585" customFormat="false" ht="12.75" hidden="false" customHeight="true" outlineLevel="0" collapsed="false"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2"/>
    </row>
    <row r="586" customFormat="false" ht="12.75" hidden="false" customHeight="true" outlineLevel="0" collapsed="false"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2"/>
    </row>
    <row r="587" customFormat="false" ht="12.75" hidden="false" customHeight="true" outlineLevel="0" collapsed="false"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2"/>
    </row>
    <row r="588" customFormat="false" ht="12.75" hidden="false" customHeight="true" outlineLevel="0" collapsed="false"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2"/>
    </row>
    <row r="589" customFormat="false" ht="12.75" hidden="false" customHeight="true" outlineLevel="0" collapsed="false"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142"/>
    </row>
    <row r="590" customFormat="false" ht="12.75" hidden="false" customHeight="true" outlineLevel="0" collapsed="false"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2"/>
    </row>
    <row r="591" customFormat="false" ht="12.75" hidden="false" customHeight="true" outlineLevel="0" collapsed="false"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2"/>
    </row>
    <row r="592" customFormat="false" ht="12.75" hidden="false" customHeight="true" outlineLevel="0" collapsed="false"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2"/>
    </row>
    <row r="593" customFormat="false" ht="12.75" hidden="false" customHeight="true" outlineLevel="0" collapsed="false"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2"/>
    </row>
    <row r="594" customFormat="false" ht="12.75" hidden="false" customHeight="true" outlineLevel="0" collapsed="false"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2"/>
    </row>
    <row r="595" customFormat="false" ht="12.75" hidden="false" customHeight="true" outlineLevel="0" collapsed="false"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2"/>
    </row>
    <row r="596" customFormat="false" ht="12.75" hidden="false" customHeight="true" outlineLevel="0" collapsed="false"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2"/>
    </row>
    <row r="597" customFormat="false" ht="12.75" hidden="false" customHeight="true" outlineLevel="0" collapsed="false"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2"/>
    </row>
    <row r="598" customFormat="false" ht="12.75" hidden="false" customHeight="true" outlineLevel="0" collapsed="false"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2"/>
    </row>
    <row r="599" customFormat="false" ht="12.75" hidden="false" customHeight="true" outlineLevel="0" collapsed="false"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2"/>
    </row>
    <row r="600" customFormat="false" ht="12.75" hidden="false" customHeight="true" outlineLevel="0" collapsed="false"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2"/>
    </row>
    <row r="601" customFormat="false" ht="12.75" hidden="false" customHeight="true" outlineLevel="0" collapsed="false"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2"/>
    </row>
    <row r="602" customFormat="false" ht="12.75" hidden="false" customHeight="true" outlineLevel="0" collapsed="false"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2"/>
    </row>
    <row r="603" customFormat="false" ht="12.75" hidden="false" customHeight="true" outlineLevel="0" collapsed="false"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2"/>
    </row>
    <row r="604" customFormat="false" ht="12.75" hidden="false" customHeight="true" outlineLevel="0" collapsed="false"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2"/>
    </row>
    <row r="605" customFormat="false" ht="12.75" hidden="false" customHeight="true" outlineLevel="0" collapsed="false"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2"/>
    </row>
    <row r="606" customFormat="false" ht="12.75" hidden="false" customHeight="true" outlineLevel="0" collapsed="false"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2"/>
    </row>
    <row r="607" customFormat="false" ht="12.75" hidden="false" customHeight="true" outlineLevel="0" collapsed="false"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2"/>
    </row>
    <row r="608" customFormat="false" ht="12.75" hidden="false" customHeight="true" outlineLevel="0" collapsed="false"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2"/>
    </row>
    <row r="609" customFormat="false" ht="12.75" hidden="false" customHeight="true" outlineLevel="0" collapsed="false"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2"/>
    </row>
    <row r="610" customFormat="false" ht="12.75" hidden="false" customHeight="true" outlineLevel="0" collapsed="false"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2"/>
    </row>
    <row r="611" customFormat="false" ht="12.75" hidden="false" customHeight="true" outlineLevel="0" collapsed="false"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2"/>
    </row>
    <row r="612" customFormat="false" ht="12.75" hidden="false" customHeight="true" outlineLevel="0" collapsed="false"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2"/>
    </row>
    <row r="613" customFormat="false" ht="12.75" hidden="false" customHeight="true" outlineLevel="0" collapsed="false"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2"/>
    </row>
    <row r="614" customFormat="false" ht="12.75" hidden="false" customHeight="true" outlineLevel="0" collapsed="false"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2"/>
    </row>
    <row r="615" customFormat="false" ht="12.75" hidden="false" customHeight="true" outlineLevel="0" collapsed="false"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2"/>
    </row>
    <row r="616" customFormat="false" ht="12.75" hidden="false" customHeight="true" outlineLevel="0" collapsed="false"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2"/>
    </row>
    <row r="617" customFormat="false" ht="12.75" hidden="false" customHeight="true" outlineLevel="0" collapsed="false"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2"/>
    </row>
    <row r="618" customFormat="false" ht="12.75" hidden="false" customHeight="true" outlineLevel="0" collapsed="false"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2"/>
    </row>
    <row r="619" customFormat="false" ht="12.75" hidden="false" customHeight="true" outlineLevel="0" collapsed="false"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142"/>
    </row>
    <row r="620" customFormat="false" ht="12.75" hidden="false" customHeight="true" outlineLevel="0" collapsed="false"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2"/>
    </row>
    <row r="621" customFormat="false" ht="12.75" hidden="false" customHeight="true" outlineLevel="0" collapsed="false"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2"/>
    </row>
    <row r="622" customFormat="false" ht="12.75" hidden="false" customHeight="true" outlineLevel="0" collapsed="false"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2"/>
    </row>
    <row r="623" customFormat="false" ht="12.75" hidden="false" customHeight="true" outlineLevel="0" collapsed="false"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2"/>
    </row>
    <row r="624" customFormat="false" ht="12.75" hidden="false" customHeight="true" outlineLevel="0" collapsed="false"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2"/>
    </row>
    <row r="625" customFormat="false" ht="12.75" hidden="false" customHeight="true" outlineLevel="0" collapsed="false"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2"/>
    </row>
    <row r="626" customFormat="false" ht="12.75" hidden="false" customHeight="true" outlineLevel="0" collapsed="false"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2"/>
    </row>
    <row r="627" customFormat="false" ht="12.75" hidden="false" customHeight="true" outlineLevel="0" collapsed="false"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2"/>
    </row>
    <row r="628" customFormat="false" ht="12.75" hidden="false" customHeight="true" outlineLevel="0" collapsed="false"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2"/>
    </row>
    <row r="629" customFormat="false" ht="12.75" hidden="false" customHeight="true" outlineLevel="0" collapsed="false"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2"/>
    </row>
    <row r="630" customFormat="false" ht="12.75" hidden="false" customHeight="true" outlineLevel="0" collapsed="false"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2"/>
    </row>
    <row r="631" customFormat="false" ht="12.75" hidden="false" customHeight="true" outlineLevel="0" collapsed="false"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2"/>
    </row>
    <row r="632" customFormat="false" ht="12.75" hidden="false" customHeight="true" outlineLevel="0" collapsed="false"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2"/>
    </row>
    <row r="633" customFormat="false" ht="12.75" hidden="false" customHeight="true" outlineLevel="0" collapsed="false"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2"/>
    </row>
    <row r="634" customFormat="false" ht="12.75" hidden="false" customHeight="true" outlineLevel="0" collapsed="false"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2"/>
    </row>
    <row r="635" customFormat="false" ht="12.75" hidden="false" customHeight="true" outlineLevel="0" collapsed="false"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2"/>
    </row>
    <row r="636" customFormat="false" ht="12.75" hidden="false" customHeight="true" outlineLevel="0" collapsed="false"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2"/>
    </row>
    <row r="637" customFormat="false" ht="12.75" hidden="false" customHeight="true" outlineLevel="0" collapsed="false"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2"/>
    </row>
    <row r="638" customFormat="false" ht="12.75" hidden="false" customHeight="true" outlineLevel="0" collapsed="false"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2"/>
    </row>
    <row r="639" customFormat="false" ht="12.75" hidden="false" customHeight="true" outlineLevel="0" collapsed="false"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2"/>
    </row>
    <row r="640" customFormat="false" ht="12.75" hidden="false" customHeight="true" outlineLevel="0" collapsed="false"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2"/>
    </row>
    <row r="641" customFormat="false" ht="12.75" hidden="false" customHeight="true" outlineLevel="0" collapsed="false"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2"/>
    </row>
    <row r="642" customFormat="false" ht="12.75" hidden="false" customHeight="true" outlineLevel="0" collapsed="false"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2"/>
    </row>
    <row r="643" customFormat="false" ht="12.75" hidden="false" customHeight="true" outlineLevel="0" collapsed="false"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2"/>
    </row>
    <row r="644" customFormat="false" ht="12.75" hidden="false" customHeight="true" outlineLevel="0" collapsed="false"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2"/>
    </row>
    <row r="645" customFormat="false" ht="12.75" hidden="false" customHeight="true" outlineLevel="0" collapsed="false"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142"/>
    </row>
    <row r="646" customFormat="false" ht="12.75" hidden="false" customHeight="true" outlineLevel="0" collapsed="false"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2"/>
    </row>
    <row r="647" customFormat="false" ht="12.75" hidden="false" customHeight="true" outlineLevel="0" collapsed="false"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2"/>
    </row>
    <row r="648" customFormat="false" ht="12.75" hidden="false" customHeight="true" outlineLevel="0" collapsed="false"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2"/>
    </row>
    <row r="649" customFormat="false" ht="12.75" hidden="false" customHeight="true" outlineLevel="0" collapsed="false"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2"/>
    </row>
    <row r="650" customFormat="false" ht="12.75" hidden="false" customHeight="true" outlineLevel="0" collapsed="false"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2"/>
    </row>
    <row r="651" customFormat="false" ht="12.75" hidden="false" customHeight="true" outlineLevel="0" collapsed="false"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2"/>
    </row>
    <row r="652" customFormat="false" ht="12.75" hidden="false" customHeight="true" outlineLevel="0" collapsed="false"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2"/>
    </row>
    <row r="653" customFormat="false" ht="12.75" hidden="false" customHeight="true" outlineLevel="0" collapsed="false"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2"/>
    </row>
    <row r="654" customFormat="false" ht="12.75" hidden="false" customHeight="true" outlineLevel="0" collapsed="false"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2"/>
    </row>
    <row r="655" customFormat="false" ht="12.75" hidden="false" customHeight="true" outlineLevel="0" collapsed="false"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2"/>
    </row>
    <row r="656" customFormat="false" ht="12.75" hidden="false" customHeight="true" outlineLevel="0" collapsed="false"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2"/>
    </row>
    <row r="657" customFormat="false" ht="12.75" hidden="false" customHeight="true" outlineLevel="0" collapsed="false"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2"/>
    </row>
    <row r="658" customFormat="false" ht="12.75" hidden="false" customHeight="true" outlineLevel="0" collapsed="false"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2"/>
    </row>
    <row r="659" customFormat="false" ht="12.75" hidden="false" customHeight="true" outlineLevel="0" collapsed="false"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2"/>
    </row>
    <row r="660" customFormat="false" ht="12.75" hidden="false" customHeight="true" outlineLevel="0" collapsed="false"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2"/>
    </row>
    <row r="661" customFormat="false" ht="12.75" hidden="false" customHeight="true" outlineLevel="0" collapsed="false"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2"/>
    </row>
    <row r="662" customFormat="false" ht="12.75" hidden="false" customHeight="true" outlineLevel="0" collapsed="false"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2"/>
    </row>
    <row r="663" customFormat="false" ht="12.75" hidden="false" customHeight="true" outlineLevel="0" collapsed="false"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2"/>
    </row>
    <row r="664" customFormat="false" ht="12.75" hidden="false" customHeight="true" outlineLevel="0" collapsed="false"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2"/>
    </row>
    <row r="665" customFormat="false" ht="12.75" hidden="false" customHeight="true" outlineLevel="0" collapsed="false"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2"/>
    </row>
    <row r="666" customFormat="false" ht="12.75" hidden="false" customHeight="true" outlineLevel="0" collapsed="false"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2"/>
    </row>
    <row r="667" customFormat="false" ht="12.75" hidden="false" customHeight="true" outlineLevel="0" collapsed="false"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2"/>
    </row>
    <row r="668" customFormat="false" ht="12.75" hidden="false" customHeight="true" outlineLevel="0" collapsed="false"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2"/>
    </row>
    <row r="669" customFormat="false" ht="12.75" hidden="false" customHeight="true" outlineLevel="0" collapsed="false"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2"/>
    </row>
    <row r="670" customFormat="false" ht="12.75" hidden="false" customHeight="true" outlineLevel="0" collapsed="false"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2"/>
    </row>
    <row r="671" customFormat="false" ht="12.75" hidden="false" customHeight="true" outlineLevel="0" collapsed="false"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2"/>
    </row>
    <row r="672" customFormat="false" ht="12.75" hidden="false" customHeight="true" outlineLevel="0" collapsed="false"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2"/>
    </row>
    <row r="673" customFormat="false" ht="12.75" hidden="false" customHeight="true" outlineLevel="0" collapsed="false"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2"/>
    </row>
    <row r="674" customFormat="false" ht="12.75" hidden="false" customHeight="true" outlineLevel="0" collapsed="false"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2"/>
    </row>
    <row r="675" customFormat="false" ht="12.75" hidden="false" customHeight="true" outlineLevel="0" collapsed="false"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2"/>
    </row>
    <row r="676" customFormat="false" ht="12.75" hidden="false" customHeight="true" outlineLevel="0" collapsed="false"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2"/>
    </row>
    <row r="677" customFormat="false" ht="12.75" hidden="false" customHeight="true" outlineLevel="0" collapsed="false"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2"/>
    </row>
    <row r="678" customFormat="false" ht="12.75" hidden="false" customHeight="true" outlineLevel="0" collapsed="false"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2"/>
    </row>
    <row r="679" customFormat="false" ht="12.75" hidden="false" customHeight="true" outlineLevel="0" collapsed="false"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2"/>
    </row>
    <row r="680" customFormat="false" ht="12.75" hidden="false" customHeight="true" outlineLevel="0" collapsed="false"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2"/>
    </row>
    <row r="681" customFormat="false" ht="12.75" hidden="false" customHeight="true" outlineLevel="0" collapsed="false"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2"/>
    </row>
    <row r="682" customFormat="false" ht="12.75" hidden="false" customHeight="true" outlineLevel="0" collapsed="false"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2"/>
    </row>
    <row r="683" customFormat="false" ht="12.75" hidden="false" customHeight="true" outlineLevel="0" collapsed="false"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2"/>
    </row>
    <row r="684" customFormat="false" ht="12.75" hidden="false" customHeight="true" outlineLevel="0" collapsed="false"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2"/>
    </row>
    <row r="685" customFormat="false" ht="12.75" hidden="false" customHeight="true" outlineLevel="0" collapsed="false"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2"/>
    </row>
    <row r="686" customFormat="false" ht="12.75" hidden="false" customHeight="true" outlineLevel="0" collapsed="false"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2"/>
    </row>
    <row r="687" customFormat="false" ht="12.75" hidden="false" customHeight="true" outlineLevel="0" collapsed="false"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2"/>
    </row>
    <row r="688" customFormat="false" ht="12.75" hidden="false" customHeight="true" outlineLevel="0" collapsed="false"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2"/>
    </row>
    <row r="689" customFormat="false" ht="12.75" hidden="false" customHeight="true" outlineLevel="0" collapsed="false"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2"/>
    </row>
    <row r="690" customFormat="false" ht="12.75" hidden="false" customHeight="true" outlineLevel="0" collapsed="false"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2"/>
    </row>
    <row r="691" customFormat="false" ht="12.75" hidden="false" customHeight="true" outlineLevel="0" collapsed="false"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2"/>
    </row>
    <row r="692" customFormat="false" ht="12.75" hidden="false" customHeight="true" outlineLevel="0" collapsed="false"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2"/>
    </row>
    <row r="693" customFormat="false" ht="12.75" hidden="false" customHeight="true" outlineLevel="0" collapsed="false"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2"/>
    </row>
    <row r="694" customFormat="false" ht="12.75" hidden="false" customHeight="true" outlineLevel="0" collapsed="false"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2"/>
    </row>
    <row r="695" customFormat="false" ht="12.75" hidden="false" customHeight="true" outlineLevel="0" collapsed="false"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2"/>
    </row>
    <row r="696" customFormat="false" ht="12.75" hidden="false" customHeight="true" outlineLevel="0" collapsed="false"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2"/>
    </row>
    <row r="697" customFormat="false" ht="12.75" hidden="false" customHeight="true" outlineLevel="0" collapsed="false"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2"/>
    </row>
    <row r="698" customFormat="false" ht="12.75" hidden="false" customHeight="true" outlineLevel="0" collapsed="false"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2"/>
    </row>
    <row r="699" customFormat="false" ht="12.75" hidden="false" customHeight="true" outlineLevel="0" collapsed="false"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2"/>
    </row>
    <row r="700" customFormat="false" ht="12.75" hidden="false" customHeight="true" outlineLevel="0" collapsed="false"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2"/>
    </row>
    <row r="701" customFormat="false" ht="12.75" hidden="false" customHeight="true" outlineLevel="0" collapsed="false"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2"/>
    </row>
    <row r="702" customFormat="false" ht="12.75" hidden="false" customHeight="true" outlineLevel="0" collapsed="false"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2"/>
    </row>
    <row r="703" customFormat="false" ht="12.75" hidden="false" customHeight="true" outlineLevel="0" collapsed="false"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2"/>
    </row>
    <row r="704" customFormat="false" ht="12.75" hidden="false" customHeight="true" outlineLevel="0" collapsed="false"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2"/>
    </row>
    <row r="705" customFormat="false" ht="12.75" hidden="false" customHeight="true" outlineLevel="0" collapsed="false"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2"/>
    </row>
    <row r="706" customFormat="false" ht="12.75" hidden="false" customHeight="true" outlineLevel="0" collapsed="false"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2"/>
    </row>
    <row r="707" customFormat="false" ht="12.75" hidden="false" customHeight="true" outlineLevel="0" collapsed="false"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2"/>
    </row>
    <row r="708" customFormat="false" ht="12.75" hidden="false" customHeight="true" outlineLevel="0" collapsed="false"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2"/>
    </row>
    <row r="709" customFormat="false" ht="12.75" hidden="false" customHeight="true" outlineLevel="0" collapsed="false"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2"/>
    </row>
    <row r="710" customFormat="false" ht="12.75" hidden="false" customHeight="true" outlineLevel="0" collapsed="false"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2"/>
    </row>
    <row r="711" customFormat="false" ht="12.75" hidden="false" customHeight="true" outlineLevel="0" collapsed="false"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2"/>
    </row>
    <row r="712" customFormat="false" ht="12.75" hidden="false" customHeight="true" outlineLevel="0" collapsed="false"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</row>
    <row r="713" customFormat="false" ht="12.75" hidden="false" customHeight="true" outlineLevel="0" collapsed="false"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2"/>
    </row>
    <row r="714" customFormat="false" ht="12.75" hidden="false" customHeight="true" outlineLevel="0" collapsed="false"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2"/>
    </row>
    <row r="715" customFormat="false" ht="12.75" hidden="false" customHeight="true" outlineLevel="0" collapsed="false"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2"/>
    </row>
    <row r="716" customFormat="false" ht="12.75" hidden="false" customHeight="true" outlineLevel="0" collapsed="false"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2"/>
    </row>
    <row r="717" customFormat="false" ht="12.75" hidden="false" customHeight="true" outlineLevel="0" collapsed="false"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2"/>
    </row>
    <row r="718" customFormat="false" ht="12.75" hidden="false" customHeight="true" outlineLevel="0" collapsed="false"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2"/>
    </row>
    <row r="719" customFormat="false" ht="12.75" hidden="false" customHeight="true" outlineLevel="0" collapsed="false"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</row>
    <row r="720" customFormat="false" ht="12.75" hidden="false" customHeight="true" outlineLevel="0" collapsed="false"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2"/>
    </row>
    <row r="721" customFormat="false" ht="12.75" hidden="false" customHeight="true" outlineLevel="0" collapsed="false"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2"/>
    </row>
    <row r="722" customFormat="false" ht="12.75" hidden="false" customHeight="true" outlineLevel="0" collapsed="false"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2"/>
    </row>
    <row r="723" customFormat="false" ht="12.75" hidden="false" customHeight="true" outlineLevel="0" collapsed="false"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2"/>
    </row>
    <row r="724" customFormat="false" ht="12.75" hidden="false" customHeight="true" outlineLevel="0" collapsed="false"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2"/>
    </row>
    <row r="725" customFormat="false" ht="12.75" hidden="false" customHeight="true" outlineLevel="0" collapsed="false"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2"/>
    </row>
    <row r="726" customFormat="false" ht="12.75" hidden="false" customHeight="true" outlineLevel="0" collapsed="false"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2"/>
    </row>
    <row r="727" customFormat="false" ht="12.75" hidden="false" customHeight="true" outlineLevel="0" collapsed="false"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2"/>
    </row>
    <row r="728" customFormat="false" ht="12.75" hidden="false" customHeight="true" outlineLevel="0" collapsed="false"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2"/>
    </row>
    <row r="729" customFormat="false" ht="12.75" hidden="false" customHeight="true" outlineLevel="0" collapsed="false"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2"/>
    </row>
    <row r="730" customFormat="false" ht="12.75" hidden="false" customHeight="true" outlineLevel="0" collapsed="false"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2"/>
    </row>
    <row r="731" customFormat="false" ht="12.75" hidden="false" customHeight="true" outlineLevel="0" collapsed="false"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2"/>
    </row>
    <row r="732" customFormat="false" ht="12.75" hidden="false" customHeight="true" outlineLevel="0" collapsed="false"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2"/>
    </row>
    <row r="733" customFormat="false" ht="12.75" hidden="false" customHeight="true" outlineLevel="0" collapsed="false"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2"/>
    </row>
    <row r="734" customFormat="false" ht="12.75" hidden="false" customHeight="true" outlineLevel="0" collapsed="false"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2"/>
    </row>
    <row r="735" customFormat="false" ht="12.75" hidden="false" customHeight="true" outlineLevel="0" collapsed="false"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2"/>
    </row>
    <row r="736" customFormat="false" ht="12.75" hidden="false" customHeight="true" outlineLevel="0" collapsed="false"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2"/>
    </row>
    <row r="737" customFormat="false" ht="12.75" hidden="false" customHeight="true" outlineLevel="0" collapsed="false"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2"/>
    </row>
    <row r="738" customFormat="false" ht="12.75" hidden="false" customHeight="true" outlineLevel="0" collapsed="false"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2"/>
    </row>
    <row r="739" customFormat="false" ht="12.75" hidden="false" customHeight="true" outlineLevel="0" collapsed="false"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2"/>
    </row>
    <row r="740" customFormat="false" ht="12.75" hidden="false" customHeight="true" outlineLevel="0" collapsed="false"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2"/>
    </row>
    <row r="741" customFormat="false" ht="12.75" hidden="false" customHeight="true" outlineLevel="0" collapsed="false"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2"/>
    </row>
    <row r="742" customFormat="false" ht="12.75" hidden="false" customHeight="true" outlineLevel="0" collapsed="false"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2"/>
    </row>
    <row r="743" customFormat="false" ht="12.75" hidden="false" customHeight="true" outlineLevel="0" collapsed="false"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2"/>
    </row>
    <row r="744" customFormat="false" ht="12.75" hidden="false" customHeight="true" outlineLevel="0" collapsed="false"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2"/>
    </row>
    <row r="745" customFormat="false" ht="12.75" hidden="false" customHeight="true" outlineLevel="0" collapsed="false"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2"/>
    </row>
    <row r="746" customFormat="false" ht="12.75" hidden="false" customHeight="true" outlineLevel="0" collapsed="false"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2"/>
    </row>
    <row r="747" customFormat="false" ht="12.75" hidden="false" customHeight="true" outlineLevel="0" collapsed="false"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2"/>
    </row>
    <row r="748" customFormat="false" ht="12.75" hidden="false" customHeight="true" outlineLevel="0" collapsed="false"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2"/>
    </row>
    <row r="749" customFormat="false" ht="12.75" hidden="false" customHeight="true" outlineLevel="0" collapsed="false"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2"/>
    </row>
    <row r="750" customFormat="false" ht="12.75" hidden="false" customHeight="true" outlineLevel="0" collapsed="false"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2"/>
    </row>
    <row r="751" customFormat="false" ht="12.75" hidden="false" customHeight="true" outlineLevel="0" collapsed="false"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2"/>
    </row>
    <row r="752" customFormat="false" ht="12.75" hidden="false" customHeight="true" outlineLevel="0" collapsed="false"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2"/>
    </row>
    <row r="753" customFormat="false" ht="12.75" hidden="false" customHeight="true" outlineLevel="0" collapsed="false"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2"/>
    </row>
    <row r="754" customFormat="false" ht="12.75" hidden="false" customHeight="true" outlineLevel="0" collapsed="false"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2"/>
    </row>
    <row r="755" customFormat="false" ht="12.75" hidden="false" customHeight="true" outlineLevel="0" collapsed="false"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2"/>
    </row>
    <row r="756" customFormat="false" ht="12.75" hidden="false" customHeight="true" outlineLevel="0" collapsed="false"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2"/>
    </row>
    <row r="757" customFormat="false" ht="12.75" hidden="false" customHeight="true" outlineLevel="0" collapsed="false"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2"/>
    </row>
    <row r="758" customFormat="false" ht="12.75" hidden="false" customHeight="true" outlineLevel="0" collapsed="false"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2"/>
    </row>
    <row r="759" customFormat="false" ht="12.75" hidden="false" customHeight="true" outlineLevel="0" collapsed="false"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2"/>
    </row>
    <row r="760" customFormat="false" ht="12.75" hidden="false" customHeight="true" outlineLevel="0" collapsed="false"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2"/>
    </row>
    <row r="761" customFormat="false" ht="12.75" hidden="false" customHeight="true" outlineLevel="0" collapsed="false"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2"/>
    </row>
    <row r="762" customFormat="false" ht="12.75" hidden="false" customHeight="true" outlineLevel="0" collapsed="false"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2"/>
    </row>
    <row r="763" customFormat="false" ht="12.75" hidden="false" customHeight="true" outlineLevel="0" collapsed="false"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2"/>
    </row>
    <row r="764" customFormat="false" ht="12.75" hidden="false" customHeight="true" outlineLevel="0" collapsed="false"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2"/>
    </row>
    <row r="765" customFormat="false" ht="12.75" hidden="false" customHeight="true" outlineLevel="0" collapsed="false"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142"/>
    </row>
    <row r="766" customFormat="false" ht="12.75" hidden="false" customHeight="true" outlineLevel="0" collapsed="false"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142"/>
    </row>
    <row r="767" customFormat="false" ht="12.75" hidden="false" customHeight="true" outlineLevel="0" collapsed="false"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142"/>
    </row>
    <row r="768" customFormat="false" ht="12.75" hidden="false" customHeight="true" outlineLevel="0" collapsed="false"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142"/>
    </row>
    <row r="769" customFormat="false" ht="12.75" hidden="false" customHeight="true" outlineLevel="0" collapsed="false"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142"/>
    </row>
    <row r="770" customFormat="false" ht="12.75" hidden="false" customHeight="true" outlineLevel="0" collapsed="false"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142"/>
    </row>
    <row r="771" customFormat="false" ht="12.75" hidden="false" customHeight="true" outlineLevel="0" collapsed="false"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142"/>
    </row>
    <row r="772" customFormat="false" ht="12.75" hidden="false" customHeight="true" outlineLevel="0" collapsed="false"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142"/>
    </row>
    <row r="773" customFormat="false" ht="12.75" hidden="false" customHeight="true" outlineLevel="0" collapsed="false"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142"/>
    </row>
    <row r="774" customFormat="false" ht="12.75" hidden="false" customHeight="true" outlineLevel="0" collapsed="false"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142"/>
    </row>
    <row r="775" customFormat="false" ht="12.75" hidden="false" customHeight="true" outlineLevel="0" collapsed="false"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142"/>
    </row>
    <row r="776" customFormat="false" ht="12.75" hidden="false" customHeight="true" outlineLevel="0" collapsed="false"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142"/>
    </row>
    <row r="777" customFormat="false" ht="12.75" hidden="false" customHeight="true" outlineLevel="0" collapsed="false"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142"/>
    </row>
    <row r="778" customFormat="false" ht="12.75" hidden="false" customHeight="true" outlineLevel="0" collapsed="false"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142"/>
    </row>
    <row r="779" customFormat="false" ht="12.75" hidden="false" customHeight="true" outlineLevel="0" collapsed="false"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142"/>
    </row>
    <row r="780" customFormat="false" ht="12.75" hidden="false" customHeight="true" outlineLevel="0" collapsed="false"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142"/>
    </row>
    <row r="781" customFormat="false" ht="12.75" hidden="false" customHeight="true" outlineLevel="0" collapsed="false"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142"/>
    </row>
    <row r="782" customFormat="false" ht="12.75" hidden="false" customHeight="true" outlineLevel="0" collapsed="false"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142"/>
    </row>
    <row r="783" customFormat="false" ht="12.75" hidden="false" customHeight="true" outlineLevel="0" collapsed="false"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142"/>
    </row>
    <row r="784" customFormat="false" ht="12.75" hidden="false" customHeight="true" outlineLevel="0" collapsed="false"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142"/>
    </row>
    <row r="785" customFormat="false" ht="12.75" hidden="false" customHeight="true" outlineLevel="0" collapsed="false"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142"/>
    </row>
    <row r="786" customFormat="false" ht="12.75" hidden="false" customHeight="true" outlineLevel="0" collapsed="false"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142"/>
    </row>
    <row r="787" customFormat="false" ht="12.75" hidden="false" customHeight="true" outlineLevel="0" collapsed="false"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142"/>
    </row>
    <row r="788" customFormat="false" ht="12.75" hidden="false" customHeight="true" outlineLevel="0" collapsed="false"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142"/>
    </row>
    <row r="789" customFormat="false" ht="12.75" hidden="false" customHeight="true" outlineLevel="0" collapsed="false"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142"/>
    </row>
    <row r="790" customFormat="false" ht="12.75" hidden="false" customHeight="true" outlineLevel="0" collapsed="false"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142"/>
    </row>
    <row r="791" customFormat="false" ht="12.75" hidden="false" customHeight="true" outlineLevel="0" collapsed="false"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142"/>
    </row>
    <row r="792" customFormat="false" ht="12.75" hidden="false" customHeight="true" outlineLevel="0" collapsed="false"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142"/>
    </row>
    <row r="793" customFormat="false" ht="12.75" hidden="false" customHeight="true" outlineLevel="0" collapsed="false"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142"/>
    </row>
    <row r="794" customFormat="false" ht="12.75" hidden="false" customHeight="true" outlineLevel="0" collapsed="false"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142"/>
    </row>
    <row r="795" customFormat="false" ht="12.75" hidden="false" customHeight="true" outlineLevel="0" collapsed="false"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142"/>
    </row>
    <row r="796" customFormat="false" ht="12.75" hidden="false" customHeight="true" outlineLevel="0" collapsed="false"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142"/>
    </row>
    <row r="797" customFormat="false" ht="12.75" hidden="false" customHeight="true" outlineLevel="0" collapsed="false"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142"/>
    </row>
    <row r="798" customFormat="false" ht="12.75" hidden="false" customHeight="true" outlineLevel="0" collapsed="false"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142"/>
    </row>
    <row r="799" customFormat="false" ht="12.75" hidden="false" customHeight="true" outlineLevel="0" collapsed="false"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142"/>
    </row>
    <row r="800" customFormat="false" ht="12.75" hidden="false" customHeight="true" outlineLevel="0" collapsed="false"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142"/>
    </row>
    <row r="801" customFormat="false" ht="12.75" hidden="false" customHeight="true" outlineLevel="0" collapsed="false"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142"/>
    </row>
    <row r="802" customFormat="false" ht="12.75" hidden="false" customHeight="true" outlineLevel="0" collapsed="false"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142"/>
    </row>
    <row r="803" customFormat="false" ht="12.75" hidden="false" customHeight="true" outlineLevel="0" collapsed="false"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142"/>
    </row>
    <row r="804" customFormat="false" ht="12.75" hidden="false" customHeight="true" outlineLevel="0" collapsed="false"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142"/>
    </row>
    <row r="805" customFormat="false" ht="12.75" hidden="false" customHeight="true" outlineLevel="0" collapsed="false"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142"/>
    </row>
    <row r="806" customFormat="false" ht="12.75" hidden="false" customHeight="true" outlineLevel="0" collapsed="false"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142"/>
    </row>
    <row r="807" customFormat="false" ht="12.75" hidden="false" customHeight="true" outlineLevel="0" collapsed="false"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142"/>
    </row>
    <row r="808" customFormat="false" ht="12.75" hidden="false" customHeight="true" outlineLevel="0" collapsed="false"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142"/>
    </row>
    <row r="809" customFormat="false" ht="12.75" hidden="false" customHeight="true" outlineLevel="0" collapsed="false"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142"/>
    </row>
    <row r="810" customFormat="false" ht="12.75" hidden="false" customHeight="true" outlineLevel="0" collapsed="false"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142"/>
    </row>
    <row r="811" customFormat="false" ht="12.75" hidden="false" customHeight="true" outlineLevel="0" collapsed="false"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142"/>
    </row>
    <row r="812" customFormat="false" ht="12.75" hidden="false" customHeight="true" outlineLevel="0" collapsed="false"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142"/>
    </row>
    <row r="813" customFormat="false" ht="12.75" hidden="false" customHeight="true" outlineLevel="0" collapsed="false"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142"/>
    </row>
    <row r="814" customFormat="false" ht="12.75" hidden="false" customHeight="true" outlineLevel="0" collapsed="false"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</row>
    <row r="815" customFormat="false" ht="12.75" hidden="false" customHeight="true" outlineLevel="0" collapsed="false"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142"/>
    </row>
    <row r="816" customFormat="false" ht="12.75" hidden="false" customHeight="true" outlineLevel="0" collapsed="false"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142"/>
    </row>
    <row r="817" customFormat="false" ht="12.75" hidden="false" customHeight="true" outlineLevel="0" collapsed="false"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142"/>
    </row>
    <row r="818" customFormat="false" ht="12.75" hidden="false" customHeight="true" outlineLevel="0" collapsed="false"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142"/>
    </row>
    <row r="819" customFormat="false" ht="12.75" hidden="false" customHeight="true" outlineLevel="0" collapsed="false"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142"/>
    </row>
    <row r="820" customFormat="false" ht="12.75" hidden="false" customHeight="true" outlineLevel="0" collapsed="false"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142"/>
    </row>
    <row r="821" customFormat="false" ht="12.75" hidden="false" customHeight="true" outlineLevel="0" collapsed="false"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142"/>
    </row>
    <row r="822" customFormat="false" ht="12.75" hidden="false" customHeight="true" outlineLevel="0" collapsed="false"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142"/>
    </row>
    <row r="823" customFormat="false" ht="12.75" hidden="false" customHeight="true" outlineLevel="0" collapsed="false"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142"/>
    </row>
    <row r="824" customFormat="false" ht="12.75" hidden="false" customHeight="true" outlineLevel="0" collapsed="false"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142"/>
    </row>
    <row r="825" customFormat="false" ht="12.75" hidden="false" customHeight="true" outlineLevel="0" collapsed="false"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142"/>
    </row>
    <row r="826" customFormat="false" ht="12.75" hidden="false" customHeight="true" outlineLevel="0" collapsed="false"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142"/>
    </row>
    <row r="827" customFormat="false" ht="12.75" hidden="false" customHeight="true" outlineLevel="0" collapsed="false"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142"/>
    </row>
    <row r="828" customFormat="false" ht="12.75" hidden="false" customHeight="true" outlineLevel="0" collapsed="false"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142"/>
    </row>
    <row r="829" customFormat="false" ht="12.75" hidden="false" customHeight="true" outlineLevel="0" collapsed="false"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142"/>
    </row>
    <row r="830" customFormat="false" ht="12.75" hidden="false" customHeight="true" outlineLevel="0" collapsed="false"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142"/>
    </row>
    <row r="831" customFormat="false" ht="12.75" hidden="false" customHeight="true" outlineLevel="0" collapsed="false"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142"/>
    </row>
    <row r="832" customFormat="false" ht="12.75" hidden="false" customHeight="true" outlineLevel="0" collapsed="false"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142"/>
    </row>
    <row r="833" customFormat="false" ht="12.75" hidden="false" customHeight="true" outlineLevel="0" collapsed="false"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142"/>
    </row>
    <row r="834" customFormat="false" ht="12.75" hidden="false" customHeight="true" outlineLevel="0" collapsed="false"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142"/>
    </row>
    <row r="835" customFormat="false" ht="12.75" hidden="false" customHeight="true" outlineLevel="0" collapsed="false"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142"/>
    </row>
    <row r="836" customFormat="false" ht="12.75" hidden="false" customHeight="true" outlineLevel="0" collapsed="false"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142"/>
    </row>
    <row r="837" customFormat="false" ht="12.75" hidden="false" customHeight="true" outlineLevel="0" collapsed="false"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142"/>
    </row>
    <row r="838" customFormat="false" ht="12.75" hidden="false" customHeight="true" outlineLevel="0" collapsed="false"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142"/>
    </row>
    <row r="839" customFormat="false" ht="12.75" hidden="false" customHeight="true" outlineLevel="0" collapsed="false"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142"/>
    </row>
    <row r="840" customFormat="false" ht="12.75" hidden="false" customHeight="true" outlineLevel="0" collapsed="false"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142"/>
    </row>
    <row r="841" customFormat="false" ht="12.75" hidden="false" customHeight="true" outlineLevel="0" collapsed="false"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142"/>
    </row>
    <row r="842" customFormat="false" ht="12.75" hidden="false" customHeight="true" outlineLevel="0" collapsed="false"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142"/>
    </row>
    <row r="843" customFormat="false" ht="12.75" hidden="false" customHeight="true" outlineLevel="0" collapsed="false"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142"/>
    </row>
    <row r="844" customFormat="false" ht="12.75" hidden="false" customHeight="true" outlineLevel="0" collapsed="false"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142"/>
    </row>
    <row r="845" customFormat="false" ht="12.75" hidden="false" customHeight="true" outlineLevel="0" collapsed="false"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142"/>
    </row>
    <row r="846" customFormat="false" ht="12.75" hidden="false" customHeight="true" outlineLevel="0" collapsed="false"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142"/>
    </row>
    <row r="847" customFormat="false" ht="12.75" hidden="false" customHeight="true" outlineLevel="0" collapsed="false"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142"/>
    </row>
    <row r="848" customFormat="false" ht="12.75" hidden="false" customHeight="true" outlineLevel="0" collapsed="false"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142"/>
    </row>
    <row r="849" customFormat="false" ht="12.75" hidden="false" customHeight="true" outlineLevel="0" collapsed="false"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142"/>
    </row>
    <row r="850" customFormat="false" ht="12.75" hidden="false" customHeight="true" outlineLevel="0" collapsed="false"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142"/>
    </row>
    <row r="851" customFormat="false" ht="12.75" hidden="false" customHeight="true" outlineLevel="0" collapsed="false"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142"/>
    </row>
    <row r="852" customFormat="false" ht="12.75" hidden="false" customHeight="true" outlineLevel="0" collapsed="false"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142"/>
    </row>
    <row r="853" customFormat="false" ht="12.75" hidden="false" customHeight="true" outlineLevel="0" collapsed="false"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142"/>
    </row>
    <row r="854" customFormat="false" ht="12.75" hidden="false" customHeight="true" outlineLevel="0" collapsed="false"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142"/>
    </row>
    <row r="855" customFormat="false" ht="12.75" hidden="false" customHeight="true" outlineLevel="0" collapsed="false"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142"/>
    </row>
    <row r="856" customFormat="false" ht="12.75" hidden="false" customHeight="true" outlineLevel="0" collapsed="false"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142"/>
    </row>
    <row r="857" customFormat="false" ht="12.75" hidden="false" customHeight="true" outlineLevel="0" collapsed="false"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142"/>
    </row>
    <row r="858" customFormat="false" ht="12.75" hidden="false" customHeight="true" outlineLevel="0" collapsed="false"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142"/>
    </row>
    <row r="859" customFormat="false" ht="12.75" hidden="false" customHeight="true" outlineLevel="0" collapsed="false"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142"/>
    </row>
    <row r="860" customFormat="false" ht="12.75" hidden="false" customHeight="true" outlineLevel="0" collapsed="false"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142"/>
    </row>
    <row r="861" customFormat="false" ht="12.75" hidden="false" customHeight="true" outlineLevel="0" collapsed="false"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142"/>
    </row>
    <row r="862" customFormat="false" ht="12.75" hidden="false" customHeight="true" outlineLevel="0" collapsed="false"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142"/>
    </row>
    <row r="863" customFormat="false" ht="12.75" hidden="false" customHeight="true" outlineLevel="0" collapsed="false"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142"/>
    </row>
    <row r="864" customFormat="false" ht="12.75" hidden="false" customHeight="true" outlineLevel="0" collapsed="false"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142"/>
    </row>
    <row r="865" customFormat="false" ht="12.75" hidden="false" customHeight="true" outlineLevel="0" collapsed="false"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142"/>
    </row>
    <row r="866" customFormat="false" ht="12.75" hidden="false" customHeight="true" outlineLevel="0" collapsed="false"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142"/>
    </row>
    <row r="867" customFormat="false" ht="12.75" hidden="false" customHeight="true" outlineLevel="0" collapsed="false"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142"/>
    </row>
    <row r="868" customFormat="false" ht="12.75" hidden="false" customHeight="true" outlineLevel="0" collapsed="false"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142"/>
    </row>
    <row r="869" customFormat="false" ht="12.75" hidden="false" customHeight="true" outlineLevel="0" collapsed="false"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142"/>
    </row>
    <row r="870" customFormat="false" ht="12.75" hidden="false" customHeight="true" outlineLevel="0" collapsed="false"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142"/>
    </row>
    <row r="871" customFormat="false" ht="12.75" hidden="false" customHeight="true" outlineLevel="0" collapsed="false"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142"/>
    </row>
    <row r="872" customFormat="false" ht="12.75" hidden="false" customHeight="true" outlineLevel="0" collapsed="false"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142"/>
    </row>
    <row r="873" customFormat="false" ht="12.75" hidden="false" customHeight="true" outlineLevel="0" collapsed="false"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142"/>
    </row>
    <row r="874" customFormat="false" ht="12.75" hidden="false" customHeight="true" outlineLevel="0" collapsed="false"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142"/>
    </row>
    <row r="875" customFormat="false" ht="12.75" hidden="false" customHeight="true" outlineLevel="0" collapsed="false"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142"/>
    </row>
    <row r="876" customFormat="false" ht="12.75" hidden="false" customHeight="true" outlineLevel="0" collapsed="false"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142"/>
    </row>
    <row r="877" customFormat="false" ht="12.75" hidden="false" customHeight="true" outlineLevel="0" collapsed="false"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142"/>
    </row>
    <row r="878" customFormat="false" ht="12.75" hidden="false" customHeight="true" outlineLevel="0" collapsed="false"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142"/>
    </row>
    <row r="879" customFormat="false" ht="12.75" hidden="false" customHeight="true" outlineLevel="0" collapsed="false"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142"/>
    </row>
    <row r="880" customFormat="false" ht="12.75" hidden="false" customHeight="true" outlineLevel="0" collapsed="false"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142"/>
    </row>
    <row r="881" customFormat="false" ht="12.75" hidden="false" customHeight="true" outlineLevel="0" collapsed="false"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142"/>
    </row>
    <row r="882" customFormat="false" ht="12.75" hidden="false" customHeight="true" outlineLevel="0" collapsed="false"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142"/>
    </row>
    <row r="883" customFormat="false" ht="12.75" hidden="false" customHeight="true" outlineLevel="0" collapsed="false"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142"/>
    </row>
    <row r="884" customFormat="false" ht="12.75" hidden="false" customHeight="true" outlineLevel="0" collapsed="false"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142"/>
    </row>
    <row r="885" customFormat="false" ht="12.75" hidden="false" customHeight="true" outlineLevel="0" collapsed="false"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142"/>
    </row>
    <row r="886" customFormat="false" ht="12.75" hidden="false" customHeight="true" outlineLevel="0" collapsed="false"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142"/>
    </row>
    <row r="887" customFormat="false" ht="12.75" hidden="false" customHeight="true" outlineLevel="0" collapsed="false"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</row>
    <row r="888" customFormat="false" ht="12.75" hidden="false" customHeight="true" outlineLevel="0" collapsed="false"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142"/>
    </row>
    <row r="889" customFormat="false" ht="12.75" hidden="false" customHeight="true" outlineLevel="0" collapsed="false"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142"/>
    </row>
    <row r="890" customFormat="false" ht="12.75" hidden="false" customHeight="true" outlineLevel="0" collapsed="false"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142"/>
    </row>
    <row r="891" customFormat="false" ht="12.75" hidden="false" customHeight="true" outlineLevel="0" collapsed="false"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142"/>
    </row>
    <row r="892" customFormat="false" ht="12.75" hidden="false" customHeight="true" outlineLevel="0" collapsed="false"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142"/>
    </row>
    <row r="893" customFormat="false" ht="12.75" hidden="false" customHeight="true" outlineLevel="0" collapsed="false"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142"/>
    </row>
    <row r="894" customFormat="false" ht="12.75" hidden="false" customHeight="true" outlineLevel="0" collapsed="false"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142"/>
    </row>
    <row r="895" customFormat="false" ht="12.75" hidden="false" customHeight="true" outlineLevel="0" collapsed="false"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142"/>
    </row>
    <row r="896" customFormat="false" ht="12.75" hidden="false" customHeight="true" outlineLevel="0" collapsed="false"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142"/>
    </row>
    <row r="897" customFormat="false" ht="12.75" hidden="false" customHeight="true" outlineLevel="0" collapsed="false"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142"/>
    </row>
    <row r="898" customFormat="false" ht="12.75" hidden="false" customHeight="true" outlineLevel="0" collapsed="false"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142"/>
    </row>
    <row r="899" customFormat="false" ht="12.75" hidden="false" customHeight="true" outlineLevel="0" collapsed="false"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142"/>
    </row>
    <row r="900" customFormat="false" ht="12.75" hidden="false" customHeight="true" outlineLevel="0" collapsed="false"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142"/>
    </row>
    <row r="901" customFormat="false" ht="12.75" hidden="false" customHeight="true" outlineLevel="0" collapsed="false"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142"/>
    </row>
    <row r="902" customFormat="false" ht="12.75" hidden="false" customHeight="true" outlineLevel="0" collapsed="false"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142"/>
    </row>
    <row r="903" customFormat="false" ht="12.75" hidden="false" customHeight="true" outlineLevel="0" collapsed="false"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142"/>
    </row>
    <row r="904" customFormat="false" ht="12.75" hidden="false" customHeight="true" outlineLevel="0" collapsed="false"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142"/>
    </row>
    <row r="905" customFormat="false" ht="12.75" hidden="false" customHeight="true" outlineLevel="0" collapsed="false"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142"/>
    </row>
    <row r="906" customFormat="false" ht="12.75" hidden="false" customHeight="true" outlineLevel="0" collapsed="false"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142"/>
    </row>
    <row r="907" customFormat="false" ht="12.75" hidden="false" customHeight="true" outlineLevel="0" collapsed="false"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142"/>
    </row>
    <row r="908" customFormat="false" ht="12.75" hidden="false" customHeight="true" outlineLevel="0" collapsed="false"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142"/>
    </row>
    <row r="909" customFormat="false" ht="12.75" hidden="false" customHeight="true" outlineLevel="0" collapsed="false"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142"/>
    </row>
    <row r="910" customFormat="false" ht="12.75" hidden="false" customHeight="true" outlineLevel="0" collapsed="false"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142"/>
    </row>
    <row r="911" customFormat="false" ht="12.75" hidden="false" customHeight="true" outlineLevel="0" collapsed="false"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142"/>
    </row>
    <row r="912" customFormat="false" ht="12.75" hidden="false" customHeight="true" outlineLevel="0" collapsed="false"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142"/>
    </row>
    <row r="913" customFormat="false" ht="12.75" hidden="false" customHeight="true" outlineLevel="0" collapsed="false"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142"/>
    </row>
    <row r="914" customFormat="false" ht="12.75" hidden="false" customHeight="true" outlineLevel="0" collapsed="false"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142"/>
    </row>
    <row r="915" customFormat="false" ht="12.75" hidden="false" customHeight="true" outlineLevel="0" collapsed="false"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142"/>
    </row>
    <row r="916" customFormat="false" ht="12.75" hidden="false" customHeight="true" outlineLevel="0" collapsed="false"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142"/>
    </row>
    <row r="917" customFormat="false" ht="12.75" hidden="false" customHeight="true" outlineLevel="0" collapsed="false"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142"/>
    </row>
    <row r="918" customFormat="false" ht="12.75" hidden="false" customHeight="true" outlineLevel="0" collapsed="false"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142"/>
    </row>
    <row r="919" customFormat="false" ht="12.75" hidden="false" customHeight="true" outlineLevel="0" collapsed="false"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142"/>
    </row>
    <row r="920" customFormat="false" ht="12.75" hidden="false" customHeight="true" outlineLevel="0" collapsed="false"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142"/>
    </row>
    <row r="921" customFormat="false" ht="12.75" hidden="false" customHeight="true" outlineLevel="0" collapsed="false"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142"/>
    </row>
    <row r="922" customFormat="false" ht="12.75" hidden="false" customHeight="true" outlineLevel="0" collapsed="false"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142"/>
    </row>
    <row r="923" customFormat="false" ht="12.75" hidden="false" customHeight="true" outlineLevel="0" collapsed="false"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142"/>
    </row>
    <row r="924" customFormat="false" ht="12.75" hidden="false" customHeight="true" outlineLevel="0" collapsed="false"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142"/>
    </row>
    <row r="925" customFormat="false" ht="12.75" hidden="false" customHeight="true" outlineLevel="0" collapsed="false"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142"/>
    </row>
    <row r="926" customFormat="false" ht="12.75" hidden="false" customHeight="true" outlineLevel="0" collapsed="false"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142"/>
    </row>
    <row r="927" customFormat="false" ht="12.75" hidden="false" customHeight="true" outlineLevel="0" collapsed="false"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142"/>
    </row>
    <row r="928" customFormat="false" ht="12.75" hidden="false" customHeight="true" outlineLevel="0" collapsed="false"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142"/>
    </row>
    <row r="929" customFormat="false" ht="12.75" hidden="false" customHeight="true" outlineLevel="0" collapsed="false"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142"/>
    </row>
    <row r="930" customFormat="false" ht="12.75" hidden="false" customHeight="true" outlineLevel="0" collapsed="false"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142"/>
    </row>
    <row r="931" customFormat="false" ht="12.75" hidden="false" customHeight="true" outlineLevel="0" collapsed="false"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142"/>
    </row>
    <row r="932" customFormat="false" ht="12.75" hidden="false" customHeight="true" outlineLevel="0" collapsed="false"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142"/>
    </row>
    <row r="933" customFormat="false" ht="12.75" hidden="false" customHeight="true" outlineLevel="0" collapsed="false"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142"/>
    </row>
    <row r="934" customFormat="false" ht="12.75" hidden="false" customHeight="true" outlineLevel="0" collapsed="false"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142"/>
    </row>
    <row r="935" customFormat="false" ht="12.75" hidden="false" customHeight="true" outlineLevel="0" collapsed="false"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142"/>
    </row>
    <row r="936" customFormat="false" ht="12.75" hidden="false" customHeight="true" outlineLevel="0" collapsed="false"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142"/>
    </row>
    <row r="937" customFormat="false" ht="12.75" hidden="false" customHeight="true" outlineLevel="0" collapsed="false"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142"/>
    </row>
    <row r="938" customFormat="false" ht="12.75" hidden="false" customHeight="true" outlineLevel="0" collapsed="false"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142"/>
    </row>
    <row r="939" customFormat="false" ht="12.75" hidden="false" customHeight="true" outlineLevel="0" collapsed="false"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142"/>
    </row>
    <row r="940" customFormat="false" ht="12.75" hidden="false" customHeight="true" outlineLevel="0" collapsed="false"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142"/>
    </row>
    <row r="941" customFormat="false" ht="12.75" hidden="false" customHeight="true" outlineLevel="0" collapsed="false"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142"/>
    </row>
    <row r="942" customFormat="false" ht="12.75" hidden="false" customHeight="true" outlineLevel="0" collapsed="false"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142"/>
    </row>
    <row r="943" customFormat="false" ht="12.75" hidden="false" customHeight="true" outlineLevel="0" collapsed="false"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142"/>
    </row>
    <row r="944" customFormat="false" ht="12.75" hidden="false" customHeight="true" outlineLevel="0" collapsed="false"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142"/>
    </row>
    <row r="945" customFormat="false" ht="12.75" hidden="false" customHeight="true" outlineLevel="0" collapsed="false"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142"/>
    </row>
    <row r="946" customFormat="false" ht="12.75" hidden="false" customHeight="true" outlineLevel="0" collapsed="false"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142"/>
    </row>
    <row r="947" customFormat="false" ht="12.75" hidden="false" customHeight="true" outlineLevel="0" collapsed="false"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142"/>
    </row>
    <row r="948" customFormat="false" ht="12.75" hidden="false" customHeight="true" outlineLevel="0" collapsed="false"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142"/>
    </row>
    <row r="949" customFormat="false" ht="12.75" hidden="false" customHeight="true" outlineLevel="0" collapsed="false">
      <c r="Y949" s="142"/>
      <c r="Z949" s="142"/>
      <c r="AA949" s="142"/>
      <c r="AB949" s="142"/>
      <c r="AC949" s="142"/>
      <c r="AD949" s="142"/>
      <c r="AE949" s="142"/>
      <c r="AF949" s="142"/>
      <c r="AG949" s="142"/>
      <c r="AH949" s="142"/>
    </row>
    <row r="950" customFormat="false" ht="12.75" hidden="false" customHeight="true" outlineLevel="0" collapsed="false">
      <c r="Y950" s="142"/>
      <c r="Z950" s="142"/>
      <c r="AA950" s="142"/>
      <c r="AB950" s="142"/>
      <c r="AC950" s="142"/>
      <c r="AD950" s="142"/>
      <c r="AE950" s="142"/>
      <c r="AF950" s="142"/>
      <c r="AG950" s="142"/>
      <c r="AH950" s="142"/>
    </row>
    <row r="951" customFormat="false" ht="12.75" hidden="false" customHeight="true" outlineLevel="0" collapsed="false">
      <c r="Y951" s="142"/>
      <c r="Z951" s="142"/>
      <c r="AA951" s="142"/>
      <c r="AB951" s="142"/>
      <c r="AC951" s="142"/>
      <c r="AD951" s="142"/>
      <c r="AE951" s="142"/>
      <c r="AF951" s="142"/>
      <c r="AG951" s="142"/>
      <c r="AH951" s="142"/>
    </row>
    <row r="952" customFormat="false" ht="12.75" hidden="false" customHeight="true" outlineLevel="0" collapsed="false">
      <c r="Y952" s="142"/>
      <c r="Z952" s="142"/>
      <c r="AA952" s="142"/>
      <c r="AB952" s="142"/>
      <c r="AC952" s="142"/>
      <c r="AD952" s="142"/>
      <c r="AE952" s="142"/>
      <c r="AF952" s="142"/>
      <c r="AG952" s="142"/>
      <c r="AH952" s="142"/>
    </row>
    <row r="953" customFormat="false" ht="12.75" hidden="false" customHeight="true" outlineLevel="0" collapsed="false">
      <c r="Y953" s="142"/>
      <c r="Z953" s="142"/>
      <c r="AA953" s="142"/>
      <c r="AB953" s="142"/>
      <c r="AC953" s="142"/>
      <c r="AD953" s="142"/>
      <c r="AE953" s="142"/>
      <c r="AF953" s="142"/>
      <c r="AG953" s="142"/>
      <c r="AH953" s="142"/>
    </row>
    <row r="954" customFormat="false" ht="12.75" hidden="false" customHeight="true" outlineLevel="0" collapsed="false">
      <c r="Y954" s="142"/>
      <c r="Z954" s="142"/>
      <c r="AA954" s="142"/>
      <c r="AB954" s="142"/>
      <c r="AC954" s="142"/>
      <c r="AD954" s="142"/>
      <c r="AE954" s="142"/>
      <c r="AF954" s="142"/>
      <c r="AG954" s="142"/>
      <c r="AH954" s="142"/>
    </row>
    <row r="955" customFormat="false" ht="12.75" hidden="false" customHeight="true" outlineLevel="0" collapsed="false">
      <c r="Y955" s="142"/>
      <c r="Z955" s="142"/>
      <c r="AA955" s="142"/>
      <c r="AB955" s="142"/>
      <c r="AC955" s="142"/>
      <c r="AD955" s="142"/>
      <c r="AE955" s="142"/>
      <c r="AF955" s="142"/>
      <c r="AG955" s="142"/>
      <c r="AH955" s="142"/>
    </row>
    <row r="956" customFormat="false" ht="12.75" hidden="false" customHeight="true" outlineLevel="0" collapsed="false">
      <c r="Y956" s="142"/>
      <c r="Z956" s="142"/>
      <c r="AA956" s="142"/>
      <c r="AB956" s="142"/>
      <c r="AC956" s="142"/>
      <c r="AD956" s="142"/>
      <c r="AE956" s="142"/>
      <c r="AF956" s="142"/>
      <c r="AG956" s="142"/>
      <c r="AH956" s="142"/>
    </row>
    <row r="957" customFormat="false" ht="12.75" hidden="false" customHeight="true" outlineLevel="0" collapsed="false">
      <c r="Y957" s="142"/>
      <c r="Z957" s="142"/>
      <c r="AA957" s="142"/>
      <c r="AB957" s="142"/>
      <c r="AC957" s="142"/>
      <c r="AD957" s="142"/>
      <c r="AE957" s="142"/>
      <c r="AF957" s="142"/>
      <c r="AG957" s="142"/>
      <c r="AH957" s="142"/>
    </row>
    <row r="958" customFormat="false" ht="12.75" hidden="false" customHeight="true" outlineLevel="0" collapsed="false">
      <c r="Y958" s="142"/>
      <c r="Z958" s="142"/>
      <c r="AA958" s="142"/>
      <c r="AB958" s="142"/>
      <c r="AC958" s="142"/>
      <c r="AD958" s="142"/>
      <c r="AE958" s="142"/>
      <c r="AF958" s="142"/>
      <c r="AG958" s="142"/>
      <c r="AH958" s="142"/>
    </row>
    <row r="959" customFormat="false" ht="12.75" hidden="false" customHeight="true" outlineLevel="0" collapsed="false">
      <c r="Y959" s="142"/>
      <c r="Z959" s="142"/>
      <c r="AA959" s="142"/>
      <c r="AB959" s="142"/>
      <c r="AC959" s="142"/>
      <c r="AD959" s="142"/>
      <c r="AE959" s="142"/>
      <c r="AF959" s="142"/>
      <c r="AG959" s="142"/>
      <c r="AH959" s="142"/>
    </row>
    <row r="960" customFormat="false" ht="12.75" hidden="false" customHeight="true" outlineLevel="0" collapsed="false">
      <c r="Y960" s="142"/>
      <c r="Z960" s="142"/>
      <c r="AA960" s="142"/>
      <c r="AB960" s="142"/>
      <c r="AC960" s="142"/>
      <c r="AD960" s="142"/>
      <c r="AE960" s="142"/>
      <c r="AF960" s="142"/>
      <c r="AG960" s="142"/>
      <c r="AH960" s="142"/>
    </row>
    <row r="961" customFormat="false" ht="12.75" hidden="false" customHeight="true" outlineLevel="0" collapsed="false">
      <c r="Y961" s="142"/>
      <c r="Z961" s="142"/>
      <c r="AA961" s="142"/>
      <c r="AB961" s="142"/>
      <c r="AC961" s="142"/>
      <c r="AD961" s="142"/>
      <c r="AE961" s="142"/>
      <c r="AF961" s="142"/>
      <c r="AG961" s="142"/>
      <c r="AH961" s="142"/>
    </row>
    <row r="962" customFormat="false" ht="12.75" hidden="false" customHeight="true" outlineLevel="0" collapsed="false">
      <c r="Y962" s="142"/>
      <c r="Z962" s="142"/>
      <c r="AA962" s="142"/>
      <c r="AB962" s="142"/>
      <c r="AC962" s="142"/>
      <c r="AD962" s="142"/>
      <c r="AE962" s="142"/>
      <c r="AF962" s="142"/>
      <c r="AG962" s="142"/>
      <c r="AH962" s="142"/>
    </row>
    <row r="963" customFormat="false" ht="12.75" hidden="false" customHeight="true" outlineLevel="0" collapsed="false">
      <c r="Y963" s="142"/>
      <c r="Z963" s="142"/>
      <c r="AA963" s="142"/>
      <c r="AB963" s="142"/>
      <c r="AC963" s="142"/>
      <c r="AD963" s="142"/>
      <c r="AE963" s="142"/>
      <c r="AF963" s="142"/>
      <c r="AG963" s="142"/>
      <c r="AH963" s="142"/>
    </row>
    <row r="964" customFormat="false" ht="12.75" hidden="false" customHeight="true" outlineLevel="0" collapsed="false">
      <c r="Y964" s="142"/>
      <c r="Z964" s="142"/>
      <c r="AA964" s="142"/>
      <c r="AB964" s="142"/>
      <c r="AC964" s="142"/>
      <c r="AD964" s="142"/>
      <c r="AE964" s="142"/>
      <c r="AF964" s="142"/>
      <c r="AG964" s="142"/>
      <c r="AH964" s="142"/>
    </row>
    <row r="965" customFormat="false" ht="12.75" hidden="false" customHeight="true" outlineLevel="0" collapsed="false">
      <c r="Y965" s="142"/>
      <c r="Z965" s="142"/>
      <c r="AA965" s="142"/>
      <c r="AB965" s="142"/>
      <c r="AC965" s="142"/>
      <c r="AD965" s="142"/>
      <c r="AE965" s="142"/>
      <c r="AF965" s="142"/>
      <c r="AG965" s="142"/>
      <c r="AH965" s="142"/>
    </row>
    <row r="966" customFormat="false" ht="12.75" hidden="false" customHeight="true" outlineLevel="0" collapsed="false">
      <c r="Y966" s="142"/>
      <c r="Z966" s="142"/>
      <c r="AA966" s="142"/>
      <c r="AB966" s="142"/>
      <c r="AC966" s="142"/>
      <c r="AD966" s="142"/>
      <c r="AE966" s="142"/>
      <c r="AF966" s="142"/>
      <c r="AG966" s="142"/>
      <c r="AH966" s="142"/>
    </row>
    <row r="967" customFormat="false" ht="12.75" hidden="false" customHeight="true" outlineLevel="0" collapsed="false">
      <c r="Y967" s="142"/>
      <c r="Z967" s="142"/>
      <c r="AA967" s="142"/>
      <c r="AB967" s="142"/>
      <c r="AC967" s="142"/>
      <c r="AD967" s="142"/>
      <c r="AE967" s="142"/>
      <c r="AF967" s="142"/>
      <c r="AG967" s="142"/>
      <c r="AH967" s="142"/>
    </row>
    <row r="968" customFormat="false" ht="12.75" hidden="false" customHeight="true" outlineLevel="0" collapsed="false">
      <c r="Y968" s="142"/>
      <c r="Z968" s="142"/>
      <c r="AA968" s="142"/>
      <c r="AB968" s="142"/>
      <c r="AC968" s="142"/>
      <c r="AD968" s="142"/>
      <c r="AE968" s="142"/>
      <c r="AF968" s="142"/>
      <c r="AG968" s="142"/>
      <c r="AH968" s="142"/>
    </row>
    <row r="969" customFormat="false" ht="12.75" hidden="false" customHeight="true" outlineLevel="0" collapsed="false">
      <c r="Y969" s="142"/>
      <c r="Z969" s="142"/>
      <c r="AA969" s="142"/>
      <c r="AB969" s="142"/>
      <c r="AC969" s="142"/>
      <c r="AD969" s="142"/>
      <c r="AE969" s="142"/>
      <c r="AF969" s="142"/>
      <c r="AG969" s="142"/>
      <c r="AH969" s="142"/>
    </row>
    <row r="970" customFormat="false" ht="12.75" hidden="false" customHeight="true" outlineLevel="0" collapsed="false">
      <c r="Y970" s="142"/>
      <c r="Z970" s="142"/>
      <c r="AA970" s="142"/>
      <c r="AB970" s="142"/>
      <c r="AC970" s="142"/>
      <c r="AD970" s="142"/>
      <c r="AE970" s="142"/>
      <c r="AF970" s="142"/>
      <c r="AG970" s="142"/>
      <c r="AH970" s="142"/>
    </row>
    <row r="971" customFormat="false" ht="12.75" hidden="false" customHeight="true" outlineLevel="0" collapsed="false">
      <c r="Y971" s="142"/>
      <c r="Z971" s="142"/>
      <c r="AA971" s="142"/>
      <c r="AB971" s="142"/>
      <c r="AC971" s="142"/>
      <c r="AD971" s="142"/>
      <c r="AE971" s="142"/>
      <c r="AF971" s="142"/>
      <c r="AG971" s="142"/>
      <c r="AH971" s="142"/>
    </row>
    <row r="972" customFormat="false" ht="12.75" hidden="false" customHeight="true" outlineLevel="0" collapsed="false">
      <c r="Y972" s="142"/>
      <c r="Z972" s="142"/>
      <c r="AA972" s="142"/>
      <c r="AB972" s="142"/>
      <c r="AC972" s="142"/>
      <c r="AD972" s="142"/>
      <c r="AE972" s="142"/>
      <c r="AF972" s="142"/>
      <c r="AG972" s="142"/>
      <c r="AH972" s="142"/>
    </row>
    <row r="973" customFormat="false" ht="12.75" hidden="false" customHeight="true" outlineLevel="0" collapsed="false">
      <c r="Y973" s="142"/>
      <c r="Z973" s="142"/>
      <c r="AA973" s="142"/>
      <c r="AB973" s="142"/>
      <c r="AC973" s="142"/>
      <c r="AD973" s="142"/>
      <c r="AE973" s="142"/>
      <c r="AF973" s="142"/>
      <c r="AG973" s="142"/>
      <c r="AH973" s="142"/>
    </row>
    <row r="974" customFormat="false" ht="12.75" hidden="false" customHeight="true" outlineLevel="0" collapsed="false">
      <c r="Y974" s="142"/>
      <c r="Z974" s="142"/>
      <c r="AA974" s="142"/>
      <c r="AB974" s="142"/>
      <c r="AC974" s="142"/>
      <c r="AD974" s="142"/>
      <c r="AE974" s="142"/>
      <c r="AF974" s="142"/>
      <c r="AG974" s="142"/>
      <c r="AH974" s="142"/>
    </row>
    <row r="975" customFormat="false" ht="12.75" hidden="false" customHeight="true" outlineLevel="0" collapsed="false">
      <c r="Y975" s="142"/>
      <c r="Z975" s="142"/>
      <c r="AA975" s="142"/>
      <c r="AB975" s="142"/>
      <c r="AC975" s="142"/>
      <c r="AD975" s="142"/>
      <c r="AE975" s="142"/>
      <c r="AF975" s="142"/>
      <c r="AG975" s="142"/>
      <c r="AH975" s="142"/>
    </row>
    <row r="976" customFormat="false" ht="12.75" hidden="false" customHeight="true" outlineLevel="0" collapsed="false">
      <c r="Y976" s="142"/>
      <c r="Z976" s="142"/>
      <c r="AA976" s="142"/>
      <c r="AB976" s="142"/>
      <c r="AC976" s="142"/>
      <c r="AD976" s="142"/>
      <c r="AE976" s="142"/>
      <c r="AF976" s="142"/>
      <c r="AG976" s="142"/>
      <c r="AH976" s="142"/>
    </row>
    <row r="977" customFormat="false" ht="12.75" hidden="false" customHeight="true" outlineLevel="0" collapsed="false">
      <c r="Y977" s="142"/>
      <c r="Z977" s="142"/>
      <c r="AA977" s="142"/>
      <c r="AB977" s="142"/>
      <c r="AC977" s="142"/>
      <c r="AD977" s="142"/>
      <c r="AE977" s="142"/>
      <c r="AF977" s="142"/>
      <c r="AG977" s="142"/>
      <c r="AH977" s="142"/>
    </row>
    <row r="978" customFormat="false" ht="12.75" hidden="false" customHeight="true" outlineLevel="0" collapsed="false">
      <c r="Y978" s="142"/>
      <c r="Z978" s="142"/>
      <c r="AA978" s="142"/>
      <c r="AB978" s="142"/>
      <c r="AC978" s="142"/>
      <c r="AD978" s="142"/>
      <c r="AE978" s="142"/>
      <c r="AF978" s="142"/>
      <c r="AG978" s="142"/>
      <c r="AH978" s="142"/>
    </row>
    <row r="979" customFormat="false" ht="12.75" hidden="false" customHeight="true" outlineLevel="0" collapsed="false">
      <c r="Y979" s="142"/>
      <c r="Z979" s="142"/>
      <c r="AA979" s="142"/>
      <c r="AB979" s="142"/>
      <c r="AC979" s="142"/>
      <c r="AD979" s="142"/>
      <c r="AE979" s="142"/>
      <c r="AF979" s="142"/>
      <c r="AG979" s="142"/>
      <c r="AH979" s="142"/>
    </row>
    <row r="980" customFormat="false" ht="12.75" hidden="false" customHeight="true" outlineLevel="0" collapsed="false">
      <c r="Y980" s="142"/>
      <c r="Z980" s="142"/>
      <c r="AA980" s="142"/>
      <c r="AB980" s="142"/>
      <c r="AC980" s="142"/>
      <c r="AD980" s="142"/>
      <c r="AE980" s="142"/>
      <c r="AF980" s="142"/>
      <c r="AG980" s="142"/>
      <c r="AH980" s="142"/>
    </row>
    <row r="981" customFormat="false" ht="12.75" hidden="false" customHeight="true" outlineLevel="0" collapsed="false">
      <c r="Y981" s="142"/>
      <c r="Z981" s="142"/>
      <c r="AA981" s="142"/>
      <c r="AB981" s="142"/>
      <c r="AC981" s="142"/>
      <c r="AD981" s="142"/>
      <c r="AE981" s="142"/>
      <c r="AF981" s="142"/>
      <c r="AG981" s="142"/>
      <c r="AH981" s="142"/>
    </row>
    <row r="982" customFormat="false" ht="12.75" hidden="false" customHeight="true" outlineLevel="0" collapsed="false">
      <c r="Y982" s="142"/>
      <c r="Z982" s="142"/>
      <c r="AA982" s="142"/>
      <c r="AB982" s="142"/>
      <c r="AC982" s="142"/>
      <c r="AD982" s="142"/>
      <c r="AE982" s="142"/>
      <c r="AF982" s="142"/>
      <c r="AG982" s="142"/>
      <c r="AH982" s="142"/>
    </row>
    <row r="983" customFormat="false" ht="12.75" hidden="false" customHeight="true" outlineLevel="0" collapsed="false">
      <c r="Y983" s="142"/>
      <c r="Z983" s="142"/>
      <c r="AA983" s="142"/>
      <c r="AB983" s="142"/>
      <c r="AC983" s="142"/>
      <c r="AD983" s="142"/>
      <c r="AE983" s="142"/>
      <c r="AF983" s="142"/>
      <c r="AG983" s="142"/>
      <c r="AH983" s="142"/>
    </row>
    <row r="984" customFormat="false" ht="12.75" hidden="false" customHeight="true" outlineLevel="0" collapsed="false">
      <c r="Y984" s="142"/>
      <c r="Z984" s="142"/>
      <c r="AA984" s="142"/>
      <c r="AB984" s="142"/>
      <c r="AC984" s="142"/>
      <c r="AD984" s="142"/>
      <c r="AE984" s="142"/>
      <c r="AF984" s="142"/>
      <c r="AG984" s="142"/>
      <c r="AH984" s="142"/>
    </row>
    <row r="985" customFormat="false" ht="12.75" hidden="false" customHeight="true" outlineLevel="0" collapsed="false">
      <c r="Y985" s="142"/>
      <c r="Z985" s="142"/>
      <c r="AA985" s="142"/>
      <c r="AB985" s="142"/>
      <c r="AC985" s="142"/>
      <c r="AD985" s="142"/>
      <c r="AE985" s="142"/>
      <c r="AF985" s="142"/>
      <c r="AG985" s="142"/>
      <c r="AH985" s="142"/>
    </row>
    <row r="986" customFormat="false" ht="12.75" hidden="false" customHeight="true" outlineLevel="0" collapsed="false">
      <c r="Y986" s="142"/>
      <c r="Z986" s="142"/>
      <c r="AA986" s="142"/>
      <c r="AB986" s="142"/>
      <c r="AC986" s="142"/>
      <c r="AD986" s="142"/>
      <c r="AE986" s="142"/>
      <c r="AF986" s="142"/>
      <c r="AG986" s="142"/>
      <c r="AH986" s="142"/>
    </row>
    <row r="987" customFormat="false" ht="12.75" hidden="false" customHeight="true" outlineLevel="0" collapsed="false">
      <c r="Y987" s="142"/>
      <c r="Z987" s="142"/>
      <c r="AA987" s="142"/>
      <c r="AB987" s="142"/>
      <c r="AC987" s="142"/>
      <c r="AD987" s="142"/>
      <c r="AE987" s="142"/>
      <c r="AF987" s="142"/>
      <c r="AG987" s="142"/>
      <c r="AH987" s="142"/>
    </row>
    <row r="988" customFormat="false" ht="12.75" hidden="false" customHeight="true" outlineLevel="0" collapsed="false">
      <c r="Y988" s="142"/>
      <c r="Z988" s="142"/>
      <c r="AA988" s="142"/>
      <c r="AB988" s="142"/>
      <c r="AC988" s="142"/>
      <c r="AD988" s="142"/>
      <c r="AE988" s="142"/>
      <c r="AF988" s="142"/>
      <c r="AG988" s="142"/>
      <c r="AH988" s="142"/>
    </row>
    <row r="989" customFormat="false" ht="12.75" hidden="false" customHeight="true" outlineLevel="0" collapsed="false">
      <c r="Y989" s="142"/>
      <c r="Z989" s="142"/>
      <c r="AA989" s="142"/>
      <c r="AB989" s="142"/>
      <c r="AC989" s="142"/>
      <c r="AD989" s="142"/>
      <c r="AE989" s="142"/>
      <c r="AF989" s="142"/>
      <c r="AG989" s="142"/>
      <c r="AH989" s="142"/>
    </row>
    <row r="990" customFormat="false" ht="12.75" hidden="false" customHeight="true" outlineLevel="0" collapsed="false">
      <c r="Y990" s="142"/>
      <c r="Z990" s="142"/>
      <c r="AA990" s="142"/>
      <c r="AB990" s="142"/>
      <c r="AC990" s="142"/>
      <c r="AD990" s="142"/>
      <c r="AE990" s="142"/>
      <c r="AF990" s="142"/>
      <c r="AG990" s="142"/>
      <c r="AH990" s="142"/>
    </row>
    <row r="991" customFormat="false" ht="12.75" hidden="false" customHeight="true" outlineLevel="0" collapsed="false">
      <c r="Y991" s="142"/>
      <c r="Z991" s="142"/>
      <c r="AA991" s="142"/>
      <c r="AB991" s="142"/>
      <c r="AC991" s="142"/>
      <c r="AD991" s="142"/>
      <c r="AE991" s="142"/>
      <c r="AF991" s="142"/>
      <c r="AG991" s="142"/>
      <c r="AH991" s="142"/>
    </row>
    <row r="992" customFormat="false" ht="12.75" hidden="false" customHeight="true" outlineLevel="0" collapsed="false">
      <c r="Y992" s="142"/>
      <c r="Z992" s="142"/>
      <c r="AA992" s="142"/>
      <c r="AB992" s="142"/>
      <c r="AC992" s="142"/>
      <c r="AD992" s="142"/>
      <c r="AE992" s="142"/>
      <c r="AF992" s="142"/>
      <c r="AG992" s="142"/>
      <c r="AH992" s="142"/>
    </row>
    <row r="993" customFormat="false" ht="12.75" hidden="false" customHeight="true" outlineLevel="0" collapsed="false">
      <c r="Y993" s="142"/>
      <c r="Z993" s="142"/>
      <c r="AA993" s="142"/>
      <c r="AB993" s="142"/>
      <c r="AC993" s="142"/>
      <c r="AD993" s="142"/>
      <c r="AE993" s="142"/>
      <c r="AF993" s="142"/>
      <c r="AG993" s="142"/>
      <c r="AH993" s="142"/>
    </row>
    <row r="994" customFormat="false" ht="12.75" hidden="false" customHeight="true" outlineLevel="0" collapsed="false">
      <c r="Y994" s="142"/>
      <c r="Z994" s="142"/>
      <c r="AA994" s="142"/>
      <c r="AB994" s="142"/>
      <c r="AC994" s="142"/>
      <c r="AD994" s="142"/>
      <c r="AE994" s="142"/>
      <c r="AF994" s="142"/>
      <c r="AG994" s="142"/>
      <c r="AH994" s="142"/>
    </row>
    <row r="995" customFormat="false" ht="12.75" hidden="false" customHeight="true" outlineLevel="0" collapsed="false">
      <c r="Y995" s="142"/>
      <c r="Z995" s="142"/>
      <c r="AA995" s="142"/>
      <c r="AB995" s="142"/>
      <c r="AC995" s="142"/>
      <c r="AD995" s="142"/>
      <c r="AE995" s="142"/>
      <c r="AF995" s="142"/>
      <c r="AG995" s="142"/>
      <c r="AH995" s="142"/>
    </row>
    <row r="996" customFormat="false" ht="12.75" hidden="false" customHeight="true" outlineLevel="0" collapsed="false">
      <c r="Y996" s="142"/>
      <c r="Z996" s="142"/>
      <c r="AA996" s="142"/>
      <c r="AB996" s="142"/>
      <c r="AC996" s="142"/>
      <c r="AD996" s="142"/>
      <c r="AE996" s="142"/>
      <c r="AF996" s="142"/>
      <c r="AG996" s="142"/>
      <c r="AH996" s="142"/>
    </row>
    <row r="997" customFormat="false" ht="12.75" hidden="false" customHeight="true" outlineLevel="0" collapsed="false">
      <c r="Y997" s="142"/>
      <c r="Z997" s="142"/>
      <c r="AA997" s="142"/>
      <c r="AB997" s="142"/>
      <c r="AC997" s="142"/>
      <c r="AD997" s="142"/>
      <c r="AE997" s="142"/>
      <c r="AF997" s="142"/>
      <c r="AG997" s="142"/>
      <c r="AH997" s="142"/>
    </row>
    <row r="998" customFormat="false" ht="12.75" hidden="false" customHeight="true" outlineLevel="0" collapsed="false">
      <c r="Y998" s="142"/>
      <c r="Z998" s="142"/>
      <c r="AA998" s="142"/>
      <c r="AB998" s="142"/>
      <c r="AC998" s="142"/>
      <c r="AD998" s="142"/>
      <c r="AE998" s="142"/>
      <c r="AF998" s="142"/>
      <c r="AG998" s="142"/>
      <c r="AH998" s="142"/>
    </row>
    <row r="999" customFormat="false" ht="12.75" hidden="false" customHeight="true" outlineLevel="0" collapsed="false">
      <c r="Y999" s="142"/>
      <c r="Z999" s="142"/>
      <c r="AA999" s="142"/>
      <c r="AB999" s="142"/>
      <c r="AC999" s="142"/>
      <c r="AD999" s="142"/>
      <c r="AE999" s="142"/>
      <c r="AF999" s="142"/>
      <c r="AG999" s="142"/>
      <c r="AH999" s="142"/>
    </row>
    <row r="1000" customFormat="false" ht="12.75" hidden="false" customHeight="true" outlineLevel="0" collapsed="false">
      <c r="Y1000" s="142"/>
      <c r="Z1000" s="142"/>
      <c r="AA1000" s="142"/>
      <c r="AB1000" s="142"/>
      <c r="AC1000" s="142"/>
      <c r="AD1000" s="142"/>
      <c r="AE1000" s="142"/>
      <c r="AF1000" s="142"/>
      <c r="AG1000" s="142"/>
      <c r="AH1000" s="14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12.56640625" defaultRowHeight="15" zeroHeight="false" outlineLevelRow="0" outlineLevelCol="0"/>
  <cols>
    <col collapsed="false" customWidth="true" hidden="false" outlineLevel="0" max="1" min="1" style="137" width="3"/>
    <col collapsed="false" customWidth="true" hidden="false" outlineLevel="0" max="2" min="2" style="137" width="16.72"/>
    <col collapsed="false" customWidth="true" hidden="false" outlineLevel="0" max="3" min="3" style="137" width="3"/>
    <col collapsed="false" customWidth="true" hidden="false" outlineLevel="0" max="4" min="4" style="137" width="2.71"/>
    <col collapsed="false" customWidth="true" hidden="false" outlineLevel="0" max="5" min="5" style="137" width="3"/>
    <col collapsed="false" customWidth="true" hidden="false" outlineLevel="0" max="6" min="6" style="137" width="16.85"/>
    <col collapsed="false" customWidth="true" hidden="false" outlineLevel="0" max="7" min="7" style="137" width="2.85"/>
    <col collapsed="false" customWidth="true" hidden="false" outlineLevel="0" max="8" min="8" style="137" width="6.28"/>
    <col collapsed="false" customWidth="true" hidden="false" outlineLevel="0" max="9" min="9" style="137" width="5.99"/>
    <col collapsed="false" customWidth="true" hidden="false" outlineLevel="0" max="10" min="10" style="137" width="4.14"/>
    <col collapsed="false" customWidth="true" hidden="false" outlineLevel="0" max="11" min="11" style="137" width="16.14"/>
    <col collapsed="false" customWidth="true" hidden="false" outlineLevel="0" max="18" min="12" style="137" width="3.58"/>
    <col collapsed="false" customWidth="true" hidden="false" outlineLevel="0" max="19" min="19" style="137" width="2.85"/>
    <col collapsed="false" customWidth="true" hidden="false" outlineLevel="0" max="20" min="20" style="137" width="10.13"/>
    <col collapsed="false" customWidth="true" hidden="false" outlineLevel="0" max="21" min="21" style="137" width="2.43"/>
    <col collapsed="false" customWidth="true" hidden="false" outlineLevel="0" max="22" min="22" style="137" width="2.29"/>
    <col collapsed="false" customWidth="true" hidden="false" outlineLevel="0" max="24" min="23" style="137" width="2"/>
    <col collapsed="false" customWidth="true" hidden="false" outlineLevel="0" max="27" min="25" style="137" width="3.43"/>
    <col collapsed="false" customWidth="true" hidden="false" outlineLevel="0" max="44" min="28" style="137" width="8.85"/>
    <col collapsed="false" customWidth="false" hidden="false" outlineLevel="0" max="1024" min="45" style="137" width="12.57"/>
  </cols>
  <sheetData>
    <row r="1" customFormat="false" ht="12.75" hidden="false" customHeight="true" outlineLevel="0" collapsed="false">
      <c r="B1" s="138"/>
      <c r="C1" s="139"/>
      <c r="D1" s="139"/>
      <c r="E1" s="139"/>
      <c r="F1" s="139"/>
      <c r="G1" s="139"/>
      <c r="H1" s="140"/>
      <c r="I1" s="139"/>
      <c r="J1" s="139"/>
      <c r="K1" s="140"/>
      <c r="L1" s="139"/>
      <c r="M1" s="139"/>
      <c r="N1" s="139"/>
      <c r="O1" s="139"/>
      <c r="P1" s="139"/>
      <c r="Q1" s="139"/>
      <c r="R1" s="139"/>
      <c r="S1" s="139"/>
      <c r="T1" s="140"/>
      <c r="U1" s="141"/>
      <c r="V1" s="139"/>
      <c r="W1" s="139"/>
      <c r="X1" s="139"/>
      <c r="Y1" s="142"/>
      <c r="Z1" s="143"/>
      <c r="AA1" s="143"/>
      <c r="AB1" s="143"/>
      <c r="AC1" s="143"/>
      <c r="AD1" s="143"/>
      <c r="AE1" s="143"/>
      <c r="AF1" s="143"/>
      <c r="AG1" s="143"/>
      <c r="AH1" s="143"/>
      <c r="AI1" s="139"/>
      <c r="AJ1" s="139"/>
      <c r="AK1" s="139"/>
      <c r="AL1" s="139"/>
      <c r="AM1" s="139"/>
      <c r="AN1" s="139"/>
      <c r="AO1" s="139"/>
      <c r="AP1" s="139"/>
      <c r="AQ1" s="139"/>
      <c r="AR1" s="139"/>
    </row>
    <row r="2" customFormat="false" ht="18.75" hidden="false" customHeight="true" outlineLevel="0" collapsed="false">
      <c r="B2" s="187" t="s">
        <v>253</v>
      </c>
      <c r="C2" s="187"/>
      <c r="D2" s="187"/>
      <c r="E2" s="187"/>
      <c r="F2" s="187"/>
      <c r="G2" s="139"/>
      <c r="H2" s="145" t="s">
        <v>21</v>
      </c>
      <c r="I2" s="145"/>
      <c r="J2" s="139"/>
      <c r="K2" s="145" t="s">
        <v>22</v>
      </c>
      <c r="L2" s="145"/>
      <c r="M2" s="145"/>
      <c r="N2" s="145"/>
      <c r="O2" s="145"/>
      <c r="P2" s="145"/>
      <c r="Q2" s="145"/>
      <c r="R2" s="145"/>
      <c r="S2" s="139"/>
      <c r="T2" s="146" t="s">
        <v>23</v>
      </c>
      <c r="U2" s="146"/>
      <c r="V2" s="146"/>
      <c r="W2" s="146"/>
      <c r="X2" s="146"/>
      <c r="Y2" s="142"/>
      <c r="Z2" s="143"/>
      <c r="AA2" s="143"/>
      <c r="AB2" s="143"/>
      <c r="AC2" s="143"/>
      <c r="AD2" s="143"/>
      <c r="AE2" s="143"/>
      <c r="AF2" s="143"/>
      <c r="AG2" s="143"/>
      <c r="AH2" s="143"/>
      <c r="AI2" s="139"/>
      <c r="AJ2" s="139"/>
      <c r="AK2" s="139"/>
      <c r="AL2" s="139"/>
      <c r="AM2" s="139"/>
      <c r="AN2" s="139"/>
      <c r="AO2" s="139"/>
      <c r="AP2" s="139"/>
      <c r="AQ2" s="139"/>
      <c r="AR2" s="139"/>
    </row>
    <row r="3" customFormat="false" ht="15" hidden="false" customHeight="true" outlineLevel="0" collapsed="false">
      <c r="C3" s="139"/>
      <c r="D3" s="139"/>
      <c r="E3" s="139"/>
      <c r="F3" s="139"/>
      <c r="G3" s="139"/>
      <c r="H3" s="139"/>
      <c r="I3" s="139"/>
      <c r="J3" s="139"/>
      <c r="K3" s="140"/>
      <c r="L3" s="139"/>
      <c r="M3" s="139"/>
      <c r="N3" s="139"/>
      <c r="O3" s="139"/>
      <c r="P3" s="139"/>
      <c r="Q3" s="139"/>
      <c r="R3" s="139"/>
      <c r="S3" s="139"/>
      <c r="T3" s="147" t="s">
        <v>24</v>
      </c>
      <c r="U3" s="148" t="n">
        <f aca="false">SUM(U5:U10,U13:U18,U21:U26,U29:U34,U37:U42,U45:U50,U53:U58,U61:U66)</f>
        <v>2</v>
      </c>
      <c r="V3" s="148"/>
      <c r="W3" s="148"/>
      <c r="X3" s="148"/>
      <c r="Y3" s="142"/>
      <c r="Z3" s="142"/>
      <c r="AA3" s="142"/>
      <c r="AB3" s="142"/>
      <c r="AC3" s="142"/>
      <c r="AD3" s="142"/>
      <c r="AE3" s="142"/>
      <c r="AF3" s="142"/>
      <c r="AG3" s="142"/>
      <c r="AH3" s="142"/>
    </row>
    <row r="4" customFormat="false" ht="13.5" hidden="false" customHeight="true" outlineLevel="0" collapsed="false">
      <c r="B4" s="149" t="s">
        <v>25</v>
      </c>
      <c r="C4" s="149"/>
      <c r="D4" s="149"/>
      <c r="E4" s="149"/>
      <c r="F4" s="149"/>
      <c r="G4" s="139"/>
      <c r="H4" s="150" t="s">
        <v>26</v>
      </c>
      <c r="I4" s="151" t="s">
        <v>27</v>
      </c>
      <c r="J4" s="152"/>
      <c r="K4" s="139"/>
      <c r="L4" s="139"/>
      <c r="M4" s="139"/>
      <c r="N4" s="139"/>
      <c r="O4" s="139"/>
      <c r="P4" s="139"/>
      <c r="Q4" s="139"/>
      <c r="R4" s="139"/>
      <c r="S4" s="139"/>
      <c r="U4" s="153"/>
      <c r="V4" s="153"/>
      <c r="W4" s="153"/>
      <c r="X4" s="153"/>
      <c r="Y4" s="142"/>
      <c r="Z4" s="142"/>
      <c r="AA4" s="142"/>
      <c r="AB4" s="142"/>
      <c r="AC4" s="142"/>
      <c r="AD4" s="142"/>
      <c r="AE4" s="142"/>
      <c r="AF4" s="142"/>
      <c r="AG4" s="142"/>
      <c r="AH4" s="142"/>
    </row>
    <row r="5" customFormat="false" ht="13.5" hidden="false" customHeight="true" outlineLevel="0" collapsed="false">
      <c r="B5" s="154" t="s">
        <v>28</v>
      </c>
      <c r="C5" s="155" t="n">
        <v>2</v>
      </c>
      <c r="D5" s="153" t="s">
        <v>29</v>
      </c>
      <c r="E5" s="156" t="n">
        <v>1</v>
      </c>
      <c r="F5" s="157" t="s">
        <v>30</v>
      </c>
      <c r="G5" s="139"/>
      <c r="H5" s="158" t="n">
        <v>46184</v>
      </c>
      <c r="I5" s="159" t="n">
        <v>0.666666666666667</v>
      </c>
      <c r="J5" s="160"/>
      <c r="K5" s="161"/>
      <c r="L5" s="162" t="s">
        <v>31</v>
      </c>
      <c r="M5" s="162" t="s">
        <v>32</v>
      </c>
      <c r="N5" s="162" t="s">
        <v>33</v>
      </c>
      <c r="O5" s="162" t="s">
        <v>34</v>
      </c>
      <c r="P5" s="162" t="s">
        <v>35</v>
      </c>
      <c r="Q5" s="162" t="s">
        <v>36</v>
      </c>
      <c r="R5" s="163" t="s">
        <v>37</v>
      </c>
      <c r="S5" s="164"/>
      <c r="T5" s="165" t="str">
        <f aca="false">IF(NOT(AND(ISNUMBER(C5),ISNUMBER(E5))),"XXX","")</f>
        <v/>
      </c>
      <c r="U5" s="166" t="n">
        <f aca="false">SUM(Y5,Z5,AA5)</f>
        <v>2</v>
      </c>
      <c r="V5" s="166"/>
      <c r="W5" s="166"/>
      <c r="X5" s="166"/>
      <c r="Y5" s="167" t="n">
        <f aca="false">IF(AND(ISNUMBER(RESULTADOS!C5),ISNUMBER(RESULTADOS!E5),ISNUMBER(C5),ISNUMBER(E5),C5=RESULTADOS!C5,E5=RESULTADOS!E5),2,0)</f>
        <v>0</v>
      </c>
      <c r="Z5" s="167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67" t="n">
        <f aca="false">IF(AND(ISNUMBER(RESULTADOS!C5),ISNUMBER(RESULTADOS!E5),ISNUMBER(C5),ISNUMBER(E5),AND(Z5=1,OR(C5=RESULTADOS!C5,E5=RESULTADOS!E5))),1,0)</f>
        <v>1</v>
      </c>
      <c r="AB5" s="142"/>
      <c r="AC5" s="142"/>
      <c r="AD5" s="142"/>
      <c r="AE5" s="142"/>
      <c r="AF5" s="142"/>
      <c r="AG5" s="142"/>
      <c r="AH5" s="142"/>
    </row>
    <row r="6" customFormat="false" ht="13.5" hidden="false" customHeight="true" outlineLevel="0" collapsed="false">
      <c r="B6" s="154" t="s">
        <v>38</v>
      </c>
      <c r="C6" s="155" t="n">
        <v>1</v>
      </c>
      <c r="D6" s="153" t="s">
        <v>29</v>
      </c>
      <c r="E6" s="156" t="n">
        <v>1</v>
      </c>
      <c r="F6" s="168" t="s">
        <v>39</v>
      </c>
      <c r="G6" s="139"/>
      <c r="H6" s="158" t="n">
        <v>46184</v>
      </c>
      <c r="I6" s="159" t="n">
        <v>0.958333333333333</v>
      </c>
      <c r="J6" s="160"/>
      <c r="K6" s="169" t="s">
        <v>38</v>
      </c>
      <c r="L6" s="153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53" t="n">
        <f aca="false">N6-O6</f>
        <v>0</v>
      </c>
      <c r="N6" s="153" t="n">
        <f aca="true">SUM(INDIRECT($AC6),INDIRECT($AD6),INDIRECT($AE6))</f>
        <v>1</v>
      </c>
      <c r="O6" s="153" t="n">
        <f aca="true">SUM(INDIRECT($AF6),INDIRECT($AG6),INDIRECT($AH6))</f>
        <v>1</v>
      </c>
      <c r="P6" s="153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53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170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164"/>
      <c r="T6" s="165" t="str">
        <f aca="false">IF(NOT(AND(ISNUMBER(C6),ISNUMBER(E6))),"XXX","")</f>
        <v/>
      </c>
      <c r="U6" s="166" t="n">
        <f aca="false">SUM(Y6,Z6,AA6)</f>
        <v>0</v>
      </c>
      <c r="V6" s="166"/>
      <c r="W6" s="166"/>
      <c r="X6" s="166"/>
      <c r="Y6" s="167" t="n">
        <f aca="false">IF(AND(ISNUMBER(RESULTADOS!C6),ISNUMBER(RESULTADOS!E6),ISNUMBER(C6),ISNUMBER(E6),C6=RESULTADOS!C6,E6=RESULTADOS!E6),2,0)</f>
        <v>0</v>
      </c>
      <c r="Z6" s="167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67" t="n">
        <f aca="false">IF(AND(ISNUMBER(RESULTADOS!C6),ISNUMBER(RESULTADOS!E6),ISNUMBER(C6),ISNUMBER(E6),AND(Z6=1,OR(C6=RESULTADOS!C6,E6=RESULTADOS!E6))),1,0)</f>
        <v>0</v>
      </c>
      <c r="AB6" s="142"/>
      <c r="AC6" s="142" t="s">
        <v>40</v>
      </c>
      <c r="AD6" s="142" t="s">
        <v>41</v>
      </c>
      <c r="AE6" s="142" t="s">
        <v>42</v>
      </c>
      <c r="AF6" s="142" t="str">
        <f aca="false">IF(ISNUMBER(FIND("C", AC6, 1)), SUBSTITUTE(AC6, "C", "E"), SUBSTITUTE(AC6, "E", "C"))</f>
        <v>E6</v>
      </c>
      <c r="AG6" s="142" t="str">
        <f aca="false">IF(ISNUMBER(FIND("C", AD6, 1)), SUBSTITUTE(AD6, "C", "E"), SUBSTITUTE(AD6, "E", "C"))</f>
        <v>C8</v>
      </c>
      <c r="AH6" s="14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54" t="s">
        <v>39</v>
      </c>
      <c r="C7" s="155"/>
      <c r="D7" s="153" t="s">
        <v>29</v>
      </c>
      <c r="E7" s="156"/>
      <c r="F7" s="168" t="s">
        <v>30</v>
      </c>
      <c r="G7" s="139"/>
      <c r="H7" s="158" t="n">
        <v>46191</v>
      </c>
      <c r="I7" s="159" t="n">
        <v>0.541666666666667</v>
      </c>
      <c r="J7" s="160"/>
      <c r="K7" s="169" t="s">
        <v>28</v>
      </c>
      <c r="L7" s="153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3</v>
      </c>
      <c r="M7" s="153" t="n">
        <f aca="false">N7-O7</f>
        <v>1</v>
      </c>
      <c r="N7" s="153" t="n">
        <f aca="true">SUM(INDIRECT($AC7),INDIRECT($AD7),INDIRECT($AE7))</f>
        <v>2</v>
      </c>
      <c r="O7" s="153" t="n">
        <f aca="true">SUM(INDIRECT($AF7),INDIRECT($AG7),INDIRECT($AH7))</f>
        <v>1</v>
      </c>
      <c r="P7" s="153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53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70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39"/>
      <c r="T7" s="165" t="str">
        <f aca="false">IF(NOT(AND(ISNUMBER(C7),ISNUMBER(E7))),"XXX","")</f>
        <v>XXX</v>
      </c>
      <c r="U7" s="166" t="n">
        <f aca="false">SUM(Y7,Z7,AA7)</f>
        <v>0</v>
      </c>
      <c r="V7" s="166"/>
      <c r="W7" s="166"/>
      <c r="X7" s="166"/>
      <c r="Y7" s="167" t="n">
        <f aca="false">IF(AND(ISNUMBER(RESULTADOS!C7),ISNUMBER(RESULTADOS!E7),ISNUMBER(C7),ISNUMBER(E7),C7=RESULTADOS!C7,E7=RESULTADOS!E7),2,0)</f>
        <v>0</v>
      </c>
      <c r="Z7" s="167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67" t="n">
        <f aca="false">IF(AND(ISNUMBER(RESULTADOS!C7),ISNUMBER(RESULTADOS!E7),ISNUMBER(C7),ISNUMBER(E7),AND(Z7=1,OR(C7=RESULTADOS!C7,E7=RESULTADOS!E7))),1,0)</f>
        <v>0</v>
      </c>
      <c r="AB7" s="142"/>
      <c r="AC7" s="142" t="s">
        <v>43</v>
      </c>
      <c r="AD7" s="142" t="s">
        <v>44</v>
      </c>
      <c r="AE7" s="142" t="s">
        <v>45</v>
      </c>
      <c r="AF7" s="142" t="str">
        <f aca="false">IF(ISNUMBER(FIND("C", AC7, 1)), SUBSTITUTE(AC7, "C", "E"), SUBSTITUTE(AC7, "E", "C"))</f>
        <v>E5</v>
      </c>
      <c r="AG7" s="142" t="str">
        <f aca="false">IF(ISNUMBER(FIND("C", AD7, 1)), SUBSTITUTE(AD7, "C", "E"), SUBSTITUTE(AD7, "E", "C"))</f>
        <v>E8</v>
      </c>
      <c r="AH7" s="14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54" t="s">
        <v>28</v>
      </c>
      <c r="C8" s="155"/>
      <c r="D8" s="153" t="s">
        <v>29</v>
      </c>
      <c r="E8" s="156"/>
      <c r="F8" s="168" t="s">
        <v>38</v>
      </c>
      <c r="G8" s="139"/>
      <c r="H8" s="158" t="n">
        <v>46191</v>
      </c>
      <c r="I8" s="159" t="n">
        <v>0.916666666666667</v>
      </c>
      <c r="J8" s="160"/>
      <c r="K8" s="169" t="s">
        <v>39</v>
      </c>
      <c r="L8" s="153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53" t="n">
        <f aca="false">N8-O8</f>
        <v>0</v>
      </c>
      <c r="N8" s="153" t="n">
        <f aca="true">SUM(INDIRECT($AC8),INDIRECT($AD8),INDIRECT($AE8))</f>
        <v>1</v>
      </c>
      <c r="O8" s="153" t="n">
        <f aca="true">SUM(INDIRECT($AF8),INDIRECT($AG8),INDIRECT($AH8))</f>
        <v>1</v>
      </c>
      <c r="P8" s="153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53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170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139"/>
      <c r="T8" s="165" t="str">
        <f aca="false">IF(NOT(AND(ISNUMBER(C8),ISNUMBER(E8))),"XXX","")</f>
        <v>XXX</v>
      </c>
      <c r="U8" s="166" t="n">
        <f aca="false">SUM(Y8,Z8,AA8)</f>
        <v>0</v>
      </c>
      <c r="V8" s="166"/>
      <c r="W8" s="166"/>
      <c r="X8" s="166"/>
      <c r="Y8" s="167" t="n">
        <f aca="false">IF(AND(ISNUMBER(RESULTADOS!C8),ISNUMBER(RESULTADOS!E8),ISNUMBER(C8),ISNUMBER(E8),C8=RESULTADOS!C8,E8=RESULTADOS!E8),2,0)</f>
        <v>0</v>
      </c>
      <c r="Z8" s="167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67" t="n">
        <f aca="false">IF(AND(ISNUMBER(RESULTADOS!C8),ISNUMBER(RESULTADOS!E8),ISNUMBER(C8),ISNUMBER(E8),AND(Z8=1,OR(C8=RESULTADOS!C8,E8=RESULTADOS!E8))),1,0)</f>
        <v>0</v>
      </c>
      <c r="AB8" s="142"/>
      <c r="AC8" s="142" t="s">
        <v>46</v>
      </c>
      <c r="AD8" s="142" t="s">
        <v>47</v>
      </c>
      <c r="AE8" s="142" t="s">
        <v>48</v>
      </c>
      <c r="AF8" s="142" t="str">
        <f aca="false">IF(ISNUMBER(FIND("C", AC8, 1)), SUBSTITUTE(AC8, "C", "E"), SUBSTITUTE(AC8, "E", "C"))</f>
        <v>C6</v>
      </c>
      <c r="AG8" s="142" t="str">
        <f aca="false">IF(ISNUMBER(FIND("C", AD8, 1)), SUBSTITUTE(AD8, "C", "E"), SUBSTITUTE(AD8, "E", "C"))</f>
        <v>E7</v>
      </c>
      <c r="AH8" s="14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54" t="s">
        <v>30</v>
      </c>
      <c r="C9" s="155"/>
      <c r="D9" s="153" t="s">
        <v>29</v>
      </c>
      <c r="E9" s="156"/>
      <c r="F9" s="168" t="s">
        <v>38</v>
      </c>
      <c r="G9" s="139"/>
      <c r="H9" s="158" t="n">
        <v>46197</v>
      </c>
      <c r="I9" s="159" t="n">
        <v>0.916666666666667</v>
      </c>
      <c r="J9" s="160"/>
      <c r="K9" s="171" t="s">
        <v>30</v>
      </c>
      <c r="L9" s="172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172" t="n">
        <f aca="false">N9-O9</f>
        <v>-1</v>
      </c>
      <c r="N9" s="172" t="n">
        <f aca="true">SUM(INDIRECT($AC9),INDIRECT($AD9),INDIRECT($AE9))</f>
        <v>1</v>
      </c>
      <c r="O9" s="172" t="n">
        <f aca="true">SUM(INDIRECT($AF9),INDIRECT($AG9),INDIRECT($AH9))</f>
        <v>2</v>
      </c>
      <c r="P9" s="172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72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173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139"/>
      <c r="T9" s="165" t="str">
        <f aca="false">IF(NOT(AND(ISNUMBER(C9),ISNUMBER(E9))),"XXX","")</f>
        <v>XXX</v>
      </c>
      <c r="U9" s="166" t="n">
        <f aca="false">SUM(Y9,Z9,AA9)</f>
        <v>0</v>
      </c>
      <c r="V9" s="166"/>
      <c r="W9" s="166"/>
      <c r="X9" s="166"/>
      <c r="Y9" s="167" t="n">
        <f aca="false">IF(AND(ISNUMBER(RESULTADOS!C9),ISNUMBER(RESULTADOS!E9),ISNUMBER(C9),ISNUMBER(E9),C9=RESULTADOS!C9,E9=RESULTADOS!E9),2,0)</f>
        <v>0</v>
      </c>
      <c r="Z9" s="167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67" t="n">
        <f aca="false">IF(AND(ISNUMBER(RESULTADOS!C9),ISNUMBER(RESULTADOS!E9),ISNUMBER(C9),ISNUMBER(E9),AND(Z9=1,OR(C9=RESULTADOS!C9,E9=RESULTADOS!E9))),1,0)</f>
        <v>0</v>
      </c>
      <c r="AB9" s="142"/>
      <c r="AC9" s="142" t="s">
        <v>49</v>
      </c>
      <c r="AD9" s="142" t="s">
        <v>50</v>
      </c>
      <c r="AE9" s="142" t="s">
        <v>51</v>
      </c>
      <c r="AF9" s="142" t="str">
        <f aca="false">IF(ISNUMBER(FIND("C", AC9, 1)), SUBSTITUTE(AC9, "C", "E"), SUBSTITUTE(AC9, "E", "C"))</f>
        <v>C5</v>
      </c>
      <c r="AG9" s="142" t="str">
        <f aca="false">IF(ISNUMBER(FIND("C", AD9, 1)), SUBSTITUTE(AD9, "C", "E"), SUBSTITUTE(AD9, "E", "C"))</f>
        <v>C7</v>
      </c>
      <c r="AH9" s="14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174" t="s">
        <v>39</v>
      </c>
      <c r="C10" s="175"/>
      <c r="D10" s="172" t="s">
        <v>29</v>
      </c>
      <c r="E10" s="176"/>
      <c r="F10" s="177" t="s">
        <v>28</v>
      </c>
      <c r="G10" s="139"/>
      <c r="H10" s="178" t="n">
        <v>46197</v>
      </c>
      <c r="I10" s="179" t="n">
        <v>0.916666666666667</v>
      </c>
      <c r="J10" s="160"/>
      <c r="K10" s="164"/>
      <c r="S10" s="139"/>
      <c r="T10" s="165" t="str">
        <f aca="false">IF(NOT(AND(ISNUMBER(C10),ISNUMBER(E10))),"XXX","")</f>
        <v>XXX</v>
      </c>
      <c r="U10" s="166" t="n">
        <f aca="false">SUM(Y10,Z10,AA10)</f>
        <v>0</v>
      </c>
      <c r="V10" s="166"/>
      <c r="W10" s="166"/>
      <c r="X10" s="166"/>
      <c r="Y10" s="167" t="n">
        <f aca="false">IF(AND(ISNUMBER(RESULTADOS!C10),ISNUMBER(RESULTADOS!E10),ISNUMBER(C10),ISNUMBER(E10),C10=RESULTADOS!C10,E10=RESULTADOS!E10),2,0)</f>
        <v>0</v>
      </c>
      <c r="Z10" s="167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67" t="n">
        <f aca="false">IF(AND(ISNUMBER(RESULTADOS!C10),ISNUMBER(RESULTADOS!E10),ISNUMBER(C10),ISNUMBER(E10),AND(Z10=1,OR(C10=RESULTADOS!C10,E10=RESULTADOS!E10))),1,0)</f>
        <v>0</v>
      </c>
      <c r="AB10" s="142"/>
      <c r="AC10" s="142"/>
      <c r="AD10" s="142"/>
      <c r="AE10" s="142"/>
      <c r="AF10" s="142"/>
      <c r="AG10" s="142"/>
      <c r="AH10" s="142"/>
    </row>
    <row r="11" customFormat="false" ht="13.5" hidden="false" customHeight="true" outlineLevel="0" collapsed="false">
      <c r="B11" s="180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U11" s="139"/>
      <c r="V11" s="139"/>
      <c r="W11" s="139"/>
      <c r="X11" s="139"/>
      <c r="Y11" s="143"/>
      <c r="Z11" s="143"/>
      <c r="AA11" s="143"/>
      <c r="AB11" s="142"/>
      <c r="AC11" s="142"/>
      <c r="AD11" s="142"/>
      <c r="AE11" s="142"/>
      <c r="AF11" s="142"/>
      <c r="AG11" s="142"/>
      <c r="AH11" s="142"/>
    </row>
    <row r="12" customFormat="false" ht="13.5" hidden="false" customHeight="true" outlineLevel="0" collapsed="false">
      <c r="B12" s="149" t="s">
        <v>52</v>
      </c>
      <c r="C12" s="149"/>
      <c r="D12" s="149"/>
      <c r="E12" s="149"/>
      <c r="F12" s="149"/>
      <c r="G12" s="139"/>
      <c r="H12" s="150" t="s">
        <v>26</v>
      </c>
      <c r="I12" s="151" t="s">
        <v>27</v>
      </c>
      <c r="J12" s="152"/>
      <c r="K12" s="139"/>
      <c r="L12" s="139"/>
      <c r="M12" s="139"/>
      <c r="N12" s="139"/>
      <c r="O12" s="139"/>
      <c r="P12" s="139"/>
      <c r="Q12" s="139"/>
      <c r="R12" s="139"/>
      <c r="S12" s="139"/>
      <c r="U12" s="153"/>
      <c r="V12" s="153"/>
      <c r="W12" s="153"/>
      <c r="X12" s="153"/>
      <c r="Y12" s="167"/>
      <c r="Z12" s="167"/>
      <c r="AA12" s="167"/>
      <c r="AB12" s="142"/>
      <c r="AC12" s="142"/>
      <c r="AD12" s="142"/>
      <c r="AE12" s="142"/>
      <c r="AF12" s="142"/>
      <c r="AG12" s="142"/>
      <c r="AH12" s="142"/>
    </row>
    <row r="13" customFormat="false" ht="13.5" hidden="false" customHeight="true" outlineLevel="0" collapsed="false">
      <c r="B13" s="154" t="s">
        <v>53</v>
      </c>
      <c r="C13" s="155" t="n">
        <v>0</v>
      </c>
      <c r="D13" s="153" t="s">
        <v>29</v>
      </c>
      <c r="E13" s="156" t="n">
        <v>0</v>
      </c>
      <c r="F13" s="157" t="s">
        <v>54</v>
      </c>
      <c r="G13" s="139"/>
      <c r="H13" s="158" t="n">
        <v>46185</v>
      </c>
      <c r="I13" s="159" t="n">
        <v>0.666666666666667</v>
      </c>
      <c r="J13" s="160"/>
      <c r="K13" s="181"/>
      <c r="L13" s="162" t="s">
        <v>31</v>
      </c>
      <c r="M13" s="162" t="s">
        <v>32</v>
      </c>
      <c r="N13" s="162" t="s">
        <v>33</v>
      </c>
      <c r="O13" s="162" t="s">
        <v>34</v>
      </c>
      <c r="P13" s="162" t="s">
        <v>35</v>
      </c>
      <c r="Q13" s="162" t="s">
        <v>36</v>
      </c>
      <c r="R13" s="163" t="s">
        <v>37</v>
      </c>
      <c r="S13" s="164"/>
      <c r="T13" s="165" t="str">
        <f aca="false">IF(NOT(AND(ISNUMBER(C13),ISNUMBER(E13))),"XXX","")</f>
        <v/>
      </c>
      <c r="U13" s="166" t="n">
        <f aca="false">SUM(Y13,Z13,AA13)</f>
        <v>0</v>
      </c>
      <c r="V13" s="166"/>
      <c r="W13" s="166"/>
      <c r="X13" s="166"/>
      <c r="Y13" s="167" t="n">
        <f aca="false">IF(AND(ISNUMBER(RESULTADOS!C13),ISNUMBER(RESULTADOS!E13),ISNUMBER(C13),ISNUMBER(E13),C13=RESULTADOS!C13,E13=RESULTADOS!E13),2,0)</f>
        <v>0</v>
      </c>
      <c r="Z13" s="167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67" t="n">
        <f aca="false">IF(AND(ISNUMBER(RESULTADOS!C13),ISNUMBER(RESULTADOS!E13),ISNUMBER(C13),ISNUMBER(E13),AND(Z13=1,OR(C13=RESULTADOS!C13,E13=RESULTADOS!E13))),1,0)</f>
        <v>0</v>
      </c>
      <c r="AB13" s="142"/>
      <c r="AC13" s="142"/>
      <c r="AD13" s="142"/>
      <c r="AE13" s="142"/>
      <c r="AF13" s="142"/>
      <c r="AG13" s="142"/>
      <c r="AH13" s="142"/>
    </row>
    <row r="14" customFormat="false" ht="13.5" hidden="false" customHeight="true" outlineLevel="0" collapsed="false">
      <c r="B14" s="154" t="s">
        <v>55</v>
      </c>
      <c r="C14" s="155" t="n">
        <v>1</v>
      </c>
      <c r="D14" s="153" t="s">
        <v>29</v>
      </c>
      <c r="E14" s="156" t="n">
        <v>1</v>
      </c>
      <c r="F14" s="157" t="s">
        <v>56</v>
      </c>
      <c r="G14" s="139"/>
      <c r="H14" s="158" t="n">
        <v>46186</v>
      </c>
      <c r="I14" s="159" t="n">
        <v>0.666666666666667</v>
      </c>
      <c r="J14" s="160"/>
      <c r="K14" s="169" t="s">
        <v>54</v>
      </c>
      <c r="L14" s="153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53" t="n">
        <f aca="false">N14-O14</f>
        <v>0</v>
      </c>
      <c r="N14" s="153" t="n">
        <f aca="true">SUM(INDIRECT($AC14),INDIRECT($AD14),INDIRECT($AE14))</f>
        <v>0</v>
      </c>
      <c r="O14" s="153" t="n">
        <f aca="true">SUM(INDIRECT($AF14),INDIRECT($AG14),INDIRECT($AH14))</f>
        <v>0</v>
      </c>
      <c r="P14" s="153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53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70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164"/>
      <c r="T14" s="165" t="str">
        <f aca="false">IF(NOT(AND(ISNUMBER(C14),ISNUMBER(E14))),"XXX","")</f>
        <v/>
      </c>
      <c r="U14" s="166" t="n">
        <f aca="false">SUM(Y14,Z14,AA14)</f>
        <v>0</v>
      </c>
      <c r="V14" s="166"/>
      <c r="W14" s="166"/>
      <c r="X14" s="166"/>
      <c r="Y14" s="167" t="n">
        <f aca="false">IF(AND(ISNUMBER(RESULTADOS!C14),ISNUMBER(RESULTADOS!E14),ISNUMBER(C14),ISNUMBER(E14),C14=RESULTADOS!C14,E14=RESULTADOS!E14),2,0)</f>
        <v>0</v>
      </c>
      <c r="Z14" s="167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67" t="n">
        <f aca="false">IF(AND(ISNUMBER(RESULTADOS!C14),ISNUMBER(RESULTADOS!E14),ISNUMBER(C14),ISNUMBER(E14),AND(Z14=1,OR(C14=RESULTADOS!C14,E14=RESULTADOS!E14))),1,0)</f>
        <v>0</v>
      </c>
      <c r="AB14" s="142"/>
      <c r="AC14" s="142" t="s">
        <v>57</v>
      </c>
      <c r="AD14" s="142" t="s">
        <v>58</v>
      </c>
      <c r="AE14" s="142" t="s">
        <v>59</v>
      </c>
      <c r="AF14" s="142" t="str">
        <f aca="false">IF(ISNUMBER(FIND("C", AC14, 1)), SUBSTITUTE(AC14, "C", "E"), SUBSTITUTE(AC14, "E", "C"))</f>
        <v>C13</v>
      </c>
      <c r="AG14" s="142" t="str">
        <f aca="false">IF(ISNUMBER(FIND("C", AD14, 1)), SUBSTITUTE(AD14, "C", "E"), SUBSTITUTE(AD14, "E", "C"))</f>
        <v>C15</v>
      </c>
      <c r="AH14" s="14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54" t="s">
        <v>56</v>
      </c>
      <c r="C15" s="155"/>
      <c r="D15" s="153" t="s">
        <v>29</v>
      </c>
      <c r="E15" s="156"/>
      <c r="F15" s="157" t="s">
        <v>54</v>
      </c>
      <c r="G15" s="139"/>
      <c r="H15" s="158" t="n">
        <v>46191</v>
      </c>
      <c r="I15" s="159" t="n">
        <v>0.666666666666667</v>
      </c>
      <c r="J15" s="160"/>
      <c r="K15" s="169" t="s">
        <v>53</v>
      </c>
      <c r="L15" s="153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53" t="n">
        <f aca="false">N15-O15</f>
        <v>0</v>
      </c>
      <c r="N15" s="153" t="n">
        <f aca="true">SUM(INDIRECT($AC15),INDIRECT($AD15),INDIRECT($AE15))</f>
        <v>0</v>
      </c>
      <c r="O15" s="153" t="n">
        <f aca="true">SUM(INDIRECT($AF15),INDIRECT($AG15),INDIRECT($AH15))</f>
        <v>0</v>
      </c>
      <c r="P15" s="153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53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70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139"/>
      <c r="T15" s="165" t="str">
        <f aca="false">IF(NOT(AND(ISNUMBER(C15),ISNUMBER(E15))),"XXX","")</f>
        <v>XXX</v>
      </c>
      <c r="U15" s="166" t="n">
        <f aca="false">SUM(Y15,Z15,AA15)</f>
        <v>0</v>
      </c>
      <c r="V15" s="166"/>
      <c r="W15" s="166"/>
      <c r="X15" s="166"/>
      <c r="Y15" s="167" t="n">
        <f aca="false">IF(AND(ISNUMBER(RESULTADOS!C15),ISNUMBER(RESULTADOS!E15),ISNUMBER(C15),ISNUMBER(E15),C15=RESULTADOS!C15,E15=RESULTADOS!E15),2,0)</f>
        <v>0</v>
      </c>
      <c r="Z15" s="167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67" t="n">
        <f aca="false">IF(AND(ISNUMBER(RESULTADOS!C15),ISNUMBER(RESULTADOS!E15),ISNUMBER(C15),ISNUMBER(E15),AND(Z15=1,OR(C15=RESULTADOS!C15,E15=RESULTADOS!E15))),1,0)</f>
        <v>0</v>
      </c>
      <c r="AB15" s="142"/>
      <c r="AC15" s="142" t="s">
        <v>60</v>
      </c>
      <c r="AD15" s="142" t="s">
        <v>61</v>
      </c>
      <c r="AE15" s="142" t="s">
        <v>62</v>
      </c>
      <c r="AF15" s="142" t="str">
        <f aca="false">IF(ISNUMBER(FIND("C", AC15, 1)), SUBSTITUTE(AC15, "C", "E"), SUBSTITUTE(AC15, "E", "C"))</f>
        <v>E13</v>
      </c>
      <c r="AG15" s="142" t="str">
        <f aca="false">IF(ISNUMBER(FIND("C", AD15, 1)), SUBSTITUTE(AD15, "C", "E"), SUBSTITUTE(AD15, "E", "C"))</f>
        <v>E16</v>
      </c>
      <c r="AH15" s="14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54" t="s">
        <v>53</v>
      </c>
      <c r="C16" s="155"/>
      <c r="D16" s="153" t="s">
        <v>29</v>
      </c>
      <c r="E16" s="156"/>
      <c r="F16" s="157" t="s">
        <v>55</v>
      </c>
      <c r="G16" s="139"/>
      <c r="H16" s="158" t="n">
        <v>46191</v>
      </c>
      <c r="I16" s="159" t="n">
        <v>0.791666666666667</v>
      </c>
      <c r="J16" s="160"/>
      <c r="K16" s="169" t="s">
        <v>55</v>
      </c>
      <c r="L16" s="153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53" t="n">
        <f aca="false">N16-O16</f>
        <v>0</v>
      </c>
      <c r="N16" s="153" t="n">
        <f aca="true">SUM(INDIRECT($AC16),INDIRECT($AD16),INDIRECT($AE16))</f>
        <v>1</v>
      </c>
      <c r="O16" s="153" t="n">
        <f aca="true">SUM(INDIRECT($AF16),INDIRECT($AG16),INDIRECT($AH16))</f>
        <v>1</v>
      </c>
      <c r="P16" s="153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53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170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139"/>
      <c r="T16" s="165" t="str">
        <f aca="false">IF(NOT(AND(ISNUMBER(C16),ISNUMBER(E16))),"XXX","")</f>
        <v>XXX</v>
      </c>
      <c r="U16" s="166" t="n">
        <f aca="false">SUM(Y16,Z16,AA16)</f>
        <v>0</v>
      </c>
      <c r="V16" s="166"/>
      <c r="W16" s="166"/>
      <c r="X16" s="166"/>
      <c r="Y16" s="167" t="n">
        <f aca="false">IF(AND(ISNUMBER(RESULTADOS!C16),ISNUMBER(RESULTADOS!E16),ISNUMBER(C16),ISNUMBER(E16),C16=RESULTADOS!C16,E16=RESULTADOS!E16),2,0)</f>
        <v>0</v>
      </c>
      <c r="Z16" s="167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67" t="n">
        <f aca="false">IF(AND(ISNUMBER(RESULTADOS!C16),ISNUMBER(RESULTADOS!E16),ISNUMBER(C16),ISNUMBER(E16),AND(Z16=1,OR(C16=RESULTADOS!C16,E16=RESULTADOS!E16))),1,0)</f>
        <v>0</v>
      </c>
      <c r="AB16" s="142"/>
      <c r="AC16" s="142" t="s">
        <v>63</v>
      </c>
      <c r="AD16" s="142" t="s">
        <v>64</v>
      </c>
      <c r="AE16" s="142" t="s">
        <v>65</v>
      </c>
      <c r="AF16" s="142" t="str">
        <f aca="false">IF(ISNUMBER(FIND("C", AC16, 1)), SUBSTITUTE(AC16, "C", "E"), SUBSTITUTE(AC16, "E", "C"))</f>
        <v>E14</v>
      </c>
      <c r="AG16" s="142" t="str">
        <f aca="false">IF(ISNUMBER(FIND("C", AD16, 1)), SUBSTITUTE(AD16, "C", "E"), SUBSTITUTE(AD16, "E", "C"))</f>
        <v>C16</v>
      </c>
      <c r="AH16" s="14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54" t="s">
        <v>56</v>
      </c>
      <c r="C17" s="155"/>
      <c r="D17" s="153" t="s">
        <v>29</v>
      </c>
      <c r="E17" s="156"/>
      <c r="F17" s="157" t="s">
        <v>53</v>
      </c>
      <c r="G17" s="139"/>
      <c r="H17" s="158" t="n">
        <v>46197</v>
      </c>
      <c r="I17" s="159" t="n">
        <v>0.666666666666667</v>
      </c>
      <c r="J17" s="160"/>
      <c r="K17" s="171" t="s">
        <v>56</v>
      </c>
      <c r="L17" s="172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1</v>
      </c>
      <c r="M17" s="172" t="n">
        <f aca="false">N17-O17</f>
        <v>0</v>
      </c>
      <c r="N17" s="172" t="n">
        <f aca="true">SUM(INDIRECT($AC17),INDIRECT($AD17),INDIRECT($AE17))</f>
        <v>1</v>
      </c>
      <c r="O17" s="172" t="n">
        <f aca="true">SUM(INDIRECT($AF17),INDIRECT($AG17),INDIRECT($AH17))</f>
        <v>1</v>
      </c>
      <c r="P17" s="172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172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173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39"/>
      <c r="T17" s="165" t="str">
        <f aca="false">IF(NOT(AND(ISNUMBER(C17),ISNUMBER(E17))),"XXX","")</f>
        <v>XXX</v>
      </c>
      <c r="U17" s="166" t="n">
        <f aca="false">SUM(Y17,Z17,AA17)</f>
        <v>0</v>
      </c>
      <c r="V17" s="166"/>
      <c r="W17" s="166"/>
      <c r="X17" s="166"/>
      <c r="Y17" s="167" t="n">
        <f aca="false">IF(AND(ISNUMBER(RESULTADOS!C17),ISNUMBER(RESULTADOS!E17),ISNUMBER(C17),ISNUMBER(E17),C17=RESULTADOS!C17,E17=RESULTADOS!E17),2,0)</f>
        <v>0</v>
      </c>
      <c r="Z17" s="167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67" t="n">
        <f aca="false">IF(AND(ISNUMBER(RESULTADOS!C17),ISNUMBER(RESULTADOS!E17),ISNUMBER(C17),ISNUMBER(E17),AND(Z17=1,OR(C17=RESULTADOS!C17,E17=RESULTADOS!E17))),1,0)</f>
        <v>0</v>
      </c>
      <c r="AB17" s="142"/>
      <c r="AC17" s="142" t="s">
        <v>66</v>
      </c>
      <c r="AD17" s="142" t="s">
        <v>67</v>
      </c>
      <c r="AE17" s="142" t="s">
        <v>68</v>
      </c>
      <c r="AF17" s="142" t="str">
        <f aca="false">IF(ISNUMBER(FIND("C", AC17, 1)), SUBSTITUTE(AC17, "C", "E"), SUBSTITUTE(AC17, "E", "C"))</f>
        <v>C14</v>
      </c>
      <c r="AG17" s="142" t="str">
        <f aca="false">IF(ISNUMBER(FIND("C", AD17, 1)), SUBSTITUTE(AD17, "C", "E"), SUBSTITUTE(AD17, "E", "C"))</f>
        <v>E15</v>
      </c>
      <c r="AH17" s="14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174" t="s">
        <v>54</v>
      </c>
      <c r="C18" s="175"/>
      <c r="D18" s="172" t="s">
        <v>29</v>
      </c>
      <c r="E18" s="176"/>
      <c r="F18" s="182" t="s">
        <v>55</v>
      </c>
      <c r="G18" s="139"/>
      <c r="H18" s="178" t="n">
        <v>46197</v>
      </c>
      <c r="I18" s="179" t="n">
        <v>0.666666666666667</v>
      </c>
      <c r="J18" s="160"/>
      <c r="K18" s="164"/>
      <c r="S18" s="139"/>
      <c r="T18" s="165" t="str">
        <f aca="false">IF(NOT(AND(ISNUMBER(C18),ISNUMBER(E18))),"XXX","")</f>
        <v>XXX</v>
      </c>
      <c r="U18" s="166" t="n">
        <f aca="false">SUM(Y18,Z18,AA18)</f>
        <v>0</v>
      </c>
      <c r="V18" s="166"/>
      <c r="W18" s="166"/>
      <c r="X18" s="166"/>
      <c r="Y18" s="167" t="n">
        <f aca="false">IF(AND(ISNUMBER(RESULTADOS!C18),ISNUMBER(RESULTADOS!E18),ISNUMBER(C18),ISNUMBER(E18),C18=RESULTADOS!C18,E18=RESULTADOS!E18),2,0)</f>
        <v>0</v>
      </c>
      <c r="Z18" s="167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67" t="n">
        <f aca="false">IF(AND(ISNUMBER(RESULTADOS!C18),ISNUMBER(RESULTADOS!E18),ISNUMBER(C18),ISNUMBER(E18),AND(Z18=1,OR(C18=RESULTADOS!C18,E18=RESULTADOS!E18))),1,0)</f>
        <v>0</v>
      </c>
      <c r="AB18" s="142"/>
      <c r="AC18" s="142"/>
      <c r="AD18" s="142"/>
      <c r="AE18" s="142"/>
      <c r="AF18" s="142"/>
      <c r="AG18" s="142"/>
      <c r="AH18" s="142"/>
    </row>
    <row r="19" customFormat="false" ht="13.5" hidden="false" customHeight="true" outlineLevel="0" collapsed="false">
      <c r="B19" s="180"/>
      <c r="C19" s="139"/>
      <c r="D19" s="139"/>
      <c r="E19" s="139"/>
      <c r="F19" s="139"/>
      <c r="G19" s="139"/>
      <c r="H19" s="139"/>
      <c r="I19" s="139"/>
      <c r="J19" s="139"/>
      <c r="K19" s="139"/>
      <c r="L19" s="139"/>
      <c r="M19" s="139"/>
      <c r="N19" s="139"/>
      <c r="O19" s="139"/>
      <c r="P19" s="139"/>
      <c r="Q19" s="139"/>
      <c r="R19" s="139"/>
      <c r="S19" s="139"/>
      <c r="U19" s="139"/>
      <c r="V19" s="139"/>
      <c r="W19" s="139"/>
      <c r="X19" s="139"/>
      <c r="Y19" s="143"/>
      <c r="Z19" s="143"/>
      <c r="AA19" s="143"/>
      <c r="AB19" s="142"/>
      <c r="AC19" s="142"/>
      <c r="AD19" s="142"/>
      <c r="AE19" s="142"/>
      <c r="AF19" s="142"/>
      <c r="AG19" s="142"/>
      <c r="AH19" s="142"/>
    </row>
    <row r="20" customFormat="false" ht="13.5" hidden="false" customHeight="true" outlineLevel="0" collapsed="false">
      <c r="B20" s="149" t="s">
        <v>69</v>
      </c>
      <c r="C20" s="149"/>
      <c r="D20" s="149"/>
      <c r="E20" s="149"/>
      <c r="F20" s="149"/>
      <c r="G20" s="139"/>
      <c r="H20" s="150" t="s">
        <v>26</v>
      </c>
      <c r="I20" s="151" t="s">
        <v>27</v>
      </c>
      <c r="J20" s="152"/>
      <c r="K20" s="139"/>
      <c r="L20" s="139"/>
      <c r="M20" s="139"/>
      <c r="N20" s="139"/>
      <c r="O20" s="139"/>
      <c r="P20" s="139"/>
      <c r="Q20" s="139"/>
      <c r="R20" s="139"/>
      <c r="S20" s="139"/>
      <c r="U20" s="153"/>
      <c r="V20" s="153"/>
      <c r="W20" s="153"/>
      <c r="X20" s="153"/>
      <c r="Y20" s="167"/>
      <c r="Z20" s="167"/>
      <c r="AA20" s="167"/>
      <c r="AB20" s="142"/>
      <c r="AC20" s="142"/>
      <c r="AD20" s="142"/>
      <c r="AE20" s="142"/>
      <c r="AF20" s="142"/>
      <c r="AG20" s="142"/>
      <c r="AH20" s="142"/>
    </row>
    <row r="21" customFormat="false" ht="13.5" hidden="false" customHeight="true" outlineLevel="0" collapsed="false">
      <c r="B21" s="154" t="s">
        <v>70</v>
      </c>
      <c r="C21" s="155" t="n">
        <v>2</v>
      </c>
      <c r="D21" s="153" t="s">
        <v>29</v>
      </c>
      <c r="E21" s="156" t="n">
        <v>0</v>
      </c>
      <c r="F21" s="157" t="s">
        <v>71</v>
      </c>
      <c r="G21" s="139"/>
      <c r="H21" s="158" t="n">
        <v>46186</v>
      </c>
      <c r="I21" s="159" t="n">
        <v>0.791666666666667</v>
      </c>
      <c r="J21" s="160"/>
      <c r="K21" s="181"/>
      <c r="L21" s="162" t="s">
        <v>31</v>
      </c>
      <c r="M21" s="162" t="s">
        <v>32</v>
      </c>
      <c r="N21" s="162" t="s">
        <v>33</v>
      </c>
      <c r="O21" s="162" t="s">
        <v>34</v>
      </c>
      <c r="P21" s="162" t="s">
        <v>35</v>
      </c>
      <c r="Q21" s="162" t="s">
        <v>36</v>
      </c>
      <c r="R21" s="163" t="s">
        <v>37</v>
      </c>
      <c r="S21" s="164"/>
      <c r="T21" s="165" t="str">
        <f aca="false">IF(NOT(AND(ISNUMBER(C21),ISNUMBER(E21))),"XXX","")</f>
        <v/>
      </c>
      <c r="U21" s="166" t="n">
        <f aca="false">SUM(Y21,Z21,AA21)</f>
        <v>0</v>
      </c>
      <c r="V21" s="166"/>
      <c r="W21" s="166"/>
      <c r="X21" s="166"/>
      <c r="Y21" s="167" t="n">
        <f aca="false">IF(AND(ISNUMBER(RESULTADOS!C21),ISNUMBER(RESULTADOS!E21),ISNUMBER(C21),ISNUMBER(E21),C21=RESULTADOS!C21,E21=RESULTADOS!E21),2,0)</f>
        <v>0</v>
      </c>
      <c r="Z21" s="167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67" t="n">
        <f aca="false">IF(AND(ISNUMBER(RESULTADOS!C21),ISNUMBER(RESULTADOS!E21),ISNUMBER(C21),ISNUMBER(E21),AND(Z21=1,OR(C21=RESULTADOS!C21,E21=RESULTADOS!E21))),1,0)</f>
        <v>0</v>
      </c>
      <c r="AB21" s="142"/>
      <c r="AC21" s="142"/>
      <c r="AD21" s="142"/>
      <c r="AE21" s="142"/>
      <c r="AF21" s="142"/>
      <c r="AG21" s="142"/>
      <c r="AH21" s="142"/>
    </row>
    <row r="22" customFormat="false" ht="13.5" hidden="false" customHeight="true" outlineLevel="0" collapsed="false">
      <c r="B22" s="154" t="s">
        <v>72</v>
      </c>
      <c r="C22" s="155" t="n">
        <v>0</v>
      </c>
      <c r="D22" s="153" t="s">
        <v>29</v>
      </c>
      <c r="E22" s="156" t="n">
        <v>1</v>
      </c>
      <c r="F22" s="157" t="s">
        <v>73</v>
      </c>
      <c r="G22" s="139"/>
      <c r="H22" s="158" t="n">
        <v>46186</v>
      </c>
      <c r="I22" s="159" t="n">
        <v>0.916666666666667</v>
      </c>
      <c r="J22" s="160"/>
      <c r="K22" s="169" t="s">
        <v>70</v>
      </c>
      <c r="L22" s="153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53" t="n">
        <f aca="false">N22-O22</f>
        <v>2</v>
      </c>
      <c r="N22" s="153" t="n">
        <f aca="true">SUM(INDIRECT($AC22),INDIRECT($AD22),INDIRECT($AE22))</f>
        <v>2</v>
      </c>
      <c r="O22" s="153" t="n">
        <f aca="true">SUM(INDIRECT($AF22),INDIRECT($AG22),INDIRECT($AH22))</f>
        <v>0</v>
      </c>
      <c r="P22" s="153" t="n">
        <f aca="true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53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70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164"/>
      <c r="T22" s="165" t="str">
        <f aca="false">IF(NOT(AND(ISNUMBER(C22),ISNUMBER(E22))),"XXX","")</f>
        <v/>
      </c>
      <c r="U22" s="166" t="n">
        <f aca="false">SUM(Y22,Z22,AA22)</f>
        <v>0</v>
      </c>
      <c r="V22" s="166"/>
      <c r="W22" s="166"/>
      <c r="X22" s="166"/>
      <c r="Y22" s="167" t="n">
        <f aca="false">IF(AND(ISNUMBER(RESULTADOS!C22),ISNUMBER(RESULTADOS!E22),ISNUMBER(C22),ISNUMBER(E22),C22=RESULTADOS!C22,E22=RESULTADOS!E22),2,0)</f>
        <v>0</v>
      </c>
      <c r="Z22" s="167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67" t="n">
        <f aca="false">IF(AND(ISNUMBER(RESULTADOS!C22),ISNUMBER(RESULTADOS!E22),ISNUMBER(C22),ISNUMBER(E22),AND(Z22=1,OR(C22=RESULTADOS!C22,E22=RESULTADOS!E22))),1,0)</f>
        <v>0</v>
      </c>
      <c r="AB22" s="142"/>
      <c r="AC22" s="142" t="s">
        <v>74</v>
      </c>
      <c r="AD22" s="142" t="s">
        <v>75</v>
      </c>
      <c r="AE22" s="142" t="s">
        <v>76</v>
      </c>
      <c r="AF22" s="142" t="str">
        <f aca="false">IF(ISNUMBER(FIND("C", AC22, 1)), SUBSTITUTE(AC22, "C", "E"), SUBSTITUTE(AC22, "E", "C"))</f>
        <v>E21</v>
      </c>
      <c r="AG22" s="142" t="str">
        <f aca="false">IF(ISNUMBER(FIND("C", AD22, 1)), SUBSTITUTE(AD22, "C", "E"), SUBSTITUTE(AD22, "E", "C"))</f>
        <v>E24</v>
      </c>
      <c r="AH22" s="14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54" t="s">
        <v>73</v>
      </c>
      <c r="C23" s="155"/>
      <c r="D23" s="153" t="s">
        <v>29</v>
      </c>
      <c r="E23" s="156"/>
      <c r="F23" s="157" t="s">
        <v>71</v>
      </c>
      <c r="G23" s="139"/>
      <c r="H23" s="158" t="n">
        <v>46192</v>
      </c>
      <c r="I23" s="159" t="n">
        <v>0.791666666666667</v>
      </c>
      <c r="J23" s="160"/>
      <c r="K23" s="169" t="s">
        <v>73</v>
      </c>
      <c r="L23" s="153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53" t="n">
        <f aca="false">N23-O23</f>
        <v>1</v>
      </c>
      <c r="N23" s="153" t="n">
        <f aca="true">SUM(INDIRECT($AC23),INDIRECT($AD23),INDIRECT($AE23))</f>
        <v>1</v>
      </c>
      <c r="O23" s="153" t="n">
        <f aca="true">SUM(INDIRECT($AF23),INDIRECT($AG23),INDIRECT($AH23))</f>
        <v>0</v>
      </c>
      <c r="P23" s="153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53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70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139"/>
      <c r="T23" s="165" t="str">
        <f aca="false">IF(NOT(AND(ISNUMBER(C23),ISNUMBER(E23))),"XXX","")</f>
        <v>XXX</v>
      </c>
      <c r="U23" s="166" t="n">
        <f aca="false">SUM(Y23,Z23,AA23)</f>
        <v>0</v>
      </c>
      <c r="V23" s="166"/>
      <c r="W23" s="166"/>
      <c r="X23" s="166"/>
      <c r="Y23" s="167" t="n">
        <f aca="false">IF(AND(ISNUMBER(RESULTADOS!C23),ISNUMBER(RESULTADOS!E23),ISNUMBER(C23),ISNUMBER(E23),C23=RESULTADOS!C23,E23=RESULTADOS!E23),2,0)</f>
        <v>0</v>
      </c>
      <c r="Z23" s="167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67" t="n">
        <f aca="false">IF(AND(ISNUMBER(RESULTADOS!C23),ISNUMBER(RESULTADOS!E23),ISNUMBER(C23),ISNUMBER(E23),AND(Z23=1,OR(C23=RESULTADOS!C23,E23=RESULTADOS!E23))),1,0)</f>
        <v>0</v>
      </c>
      <c r="AB23" s="142"/>
      <c r="AC23" s="142" t="s">
        <v>77</v>
      </c>
      <c r="AD23" s="142" t="s">
        <v>78</v>
      </c>
      <c r="AE23" s="142" t="s">
        <v>79</v>
      </c>
      <c r="AF23" s="142" t="str">
        <f aca="false">IF(ISNUMBER(FIND("C", AC23, 1)), SUBSTITUTE(AC23, "C", "E"), SUBSTITUTE(AC23, "E", "C"))</f>
        <v>C22</v>
      </c>
      <c r="AG23" s="142" t="str">
        <f aca="false">IF(ISNUMBER(FIND("C", AD23, 1)), SUBSTITUTE(AD23, "C", "E"), SUBSTITUTE(AD23, "E", "C"))</f>
        <v>E23</v>
      </c>
      <c r="AH23" s="14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54" t="s">
        <v>70</v>
      </c>
      <c r="C24" s="155"/>
      <c r="D24" s="153" t="s">
        <v>29</v>
      </c>
      <c r="E24" s="156"/>
      <c r="F24" s="157" t="s">
        <v>72</v>
      </c>
      <c r="G24" s="139"/>
      <c r="H24" s="158" t="n">
        <v>46192</v>
      </c>
      <c r="I24" s="159" t="n">
        <v>0.895833333333333</v>
      </c>
      <c r="J24" s="160"/>
      <c r="K24" s="169" t="s">
        <v>72</v>
      </c>
      <c r="L24" s="153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53" t="n">
        <f aca="false">N24-O24</f>
        <v>-1</v>
      </c>
      <c r="N24" s="153" t="n">
        <f aca="true">SUM(INDIRECT($AC24),INDIRECT($AD24),INDIRECT($AE24))</f>
        <v>0</v>
      </c>
      <c r="O24" s="153" t="n">
        <f aca="true">SUM(INDIRECT($AF24),INDIRECT($AG24),INDIRECT($AH24))</f>
        <v>1</v>
      </c>
      <c r="P24" s="153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53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70" t="n">
        <f aca="true">SUM(IF(AND(ISNUMBER(INDIRECT($AC24)),INDIRECT($AC24)&lt;INDIRECT($AF24)),1,0),IF(AND(ISNUMBER(INDIRECT($AD24)),INDIRECT($AD24)&lt;INDIRECT($AG24)),1,0),IF(AND(ISNUMBER(INDIRECT($AE24)),INDIRECT($AE24)&lt;INDIRECT($AH24)),1,0))</f>
        <v>1</v>
      </c>
      <c r="S24" s="139"/>
      <c r="T24" s="165" t="str">
        <f aca="false">IF(NOT(AND(ISNUMBER(C24),ISNUMBER(E24))),"XXX","")</f>
        <v>XXX</v>
      </c>
      <c r="U24" s="166" t="n">
        <f aca="false">SUM(Y24,Z24,AA24)</f>
        <v>0</v>
      </c>
      <c r="V24" s="166"/>
      <c r="W24" s="166"/>
      <c r="X24" s="166"/>
      <c r="Y24" s="167" t="n">
        <f aca="false">IF(AND(ISNUMBER(RESULTADOS!C24),ISNUMBER(RESULTADOS!E24),ISNUMBER(C24),ISNUMBER(E24),C24=RESULTADOS!C24,E24=RESULTADOS!E24),2,0)</f>
        <v>0</v>
      </c>
      <c r="Z24" s="167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67" t="n">
        <f aca="false">IF(AND(ISNUMBER(RESULTADOS!C24),ISNUMBER(RESULTADOS!E24),ISNUMBER(C24),ISNUMBER(E24),AND(Z24=1,OR(C24=RESULTADOS!C24,E24=RESULTADOS!E24))),1,0)</f>
        <v>0</v>
      </c>
      <c r="AB24" s="142"/>
      <c r="AC24" s="142" t="s">
        <v>80</v>
      </c>
      <c r="AD24" s="142" t="s">
        <v>81</v>
      </c>
      <c r="AE24" s="142" t="s">
        <v>82</v>
      </c>
      <c r="AF24" s="142" t="str">
        <f aca="false">IF(ISNUMBER(FIND("C", AC24, 1)), SUBSTITUTE(AC24, "C", "E"), SUBSTITUTE(AC24, "E", "C"))</f>
        <v>E22</v>
      </c>
      <c r="AG24" s="142" t="str">
        <f aca="false">IF(ISNUMBER(FIND("C", AD24, 1)), SUBSTITUTE(AD24, "C", "E"), SUBSTITUTE(AD24, "E", "C"))</f>
        <v>C24</v>
      </c>
      <c r="AH24" s="14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54" t="s">
        <v>71</v>
      </c>
      <c r="C25" s="155"/>
      <c r="D25" s="153" t="s">
        <v>29</v>
      </c>
      <c r="E25" s="156"/>
      <c r="F25" s="157" t="s">
        <v>72</v>
      </c>
      <c r="G25" s="139"/>
      <c r="H25" s="158" t="n">
        <v>46197</v>
      </c>
      <c r="I25" s="159" t="n">
        <v>0.791666666666667</v>
      </c>
      <c r="J25" s="160"/>
      <c r="K25" s="171" t="s">
        <v>71</v>
      </c>
      <c r="L25" s="172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172" t="n">
        <f aca="false">N25-O25</f>
        <v>-2</v>
      </c>
      <c r="N25" s="172" t="n">
        <f aca="true">SUM(INDIRECT($AC25),INDIRECT($AD25),INDIRECT($AE25))</f>
        <v>0</v>
      </c>
      <c r="O25" s="172" t="n">
        <f aca="true">SUM(INDIRECT($AF25),INDIRECT($AG25),INDIRECT($AH25))</f>
        <v>2</v>
      </c>
      <c r="P25" s="172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172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73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139"/>
      <c r="T25" s="165" t="str">
        <f aca="false">IF(NOT(AND(ISNUMBER(C25),ISNUMBER(E25))),"XXX","")</f>
        <v>XXX</v>
      </c>
      <c r="U25" s="166" t="n">
        <f aca="false">SUM(Y25,Z25,AA25)</f>
        <v>0</v>
      </c>
      <c r="V25" s="166"/>
      <c r="W25" s="166"/>
      <c r="X25" s="166"/>
      <c r="Y25" s="167" t="n">
        <f aca="false">IF(AND(ISNUMBER(RESULTADOS!C25),ISNUMBER(RESULTADOS!E25),ISNUMBER(C25),ISNUMBER(E25),C25=RESULTADOS!C25,E25=RESULTADOS!E25),2,0)</f>
        <v>0</v>
      </c>
      <c r="Z25" s="167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67" t="n">
        <f aca="false">IF(AND(ISNUMBER(RESULTADOS!C25),ISNUMBER(RESULTADOS!E25),ISNUMBER(C25),ISNUMBER(E25),AND(Z25=1,OR(C25=RESULTADOS!C25,E25=RESULTADOS!E25))),1,0)</f>
        <v>0</v>
      </c>
      <c r="AB25" s="142"/>
      <c r="AC25" s="142" t="s">
        <v>83</v>
      </c>
      <c r="AD25" s="142" t="s">
        <v>84</v>
      </c>
      <c r="AE25" s="142" t="s">
        <v>85</v>
      </c>
      <c r="AF25" s="142" t="str">
        <f aca="false">IF(ISNUMBER(FIND("C", AC25, 1)), SUBSTITUTE(AC25, "C", "E"), SUBSTITUTE(AC25, "E", "C"))</f>
        <v>C21</v>
      </c>
      <c r="AG25" s="142" t="str">
        <f aca="false">IF(ISNUMBER(FIND("C", AD25, 1)), SUBSTITUTE(AD25, "C", "E"), SUBSTITUTE(AD25, "E", "C"))</f>
        <v>C23</v>
      </c>
      <c r="AH25" s="14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174" t="s">
        <v>73</v>
      </c>
      <c r="C26" s="175"/>
      <c r="D26" s="172" t="s">
        <v>29</v>
      </c>
      <c r="E26" s="176"/>
      <c r="F26" s="182" t="s">
        <v>70</v>
      </c>
      <c r="G26" s="139"/>
      <c r="H26" s="178" t="n">
        <v>46197</v>
      </c>
      <c r="I26" s="179" t="n">
        <v>0.791666666666667</v>
      </c>
      <c r="J26" s="160"/>
      <c r="K26" s="180"/>
      <c r="S26" s="139"/>
      <c r="T26" s="165" t="str">
        <f aca="false">IF(NOT(AND(ISNUMBER(C26),ISNUMBER(E26))),"XXX","")</f>
        <v>XXX</v>
      </c>
      <c r="U26" s="166" t="n">
        <f aca="false">SUM(Y26,Z26,AA26)</f>
        <v>0</v>
      </c>
      <c r="V26" s="166"/>
      <c r="W26" s="166"/>
      <c r="X26" s="166"/>
      <c r="Y26" s="167" t="n">
        <f aca="false">IF(AND(ISNUMBER(RESULTADOS!C26),ISNUMBER(RESULTADOS!E26),ISNUMBER(C26),ISNUMBER(E26),C26=RESULTADOS!C26,E26=RESULTADOS!E26),2,0)</f>
        <v>0</v>
      </c>
      <c r="Z26" s="167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67" t="n">
        <f aca="false">IF(AND(ISNUMBER(RESULTADOS!C26),ISNUMBER(RESULTADOS!E26),ISNUMBER(C26),ISNUMBER(E26),AND(Z26=1,OR(C26=RESULTADOS!C26,E26=RESULTADOS!E26))),1,0)</f>
        <v>0</v>
      </c>
      <c r="AB26" s="142"/>
      <c r="AC26" s="142"/>
      <c r="AD26" s="142"/>
      <c r="AE26" s="142"/>
      <c r="AF26" s="142"/>
      <c r="AG26" s="142"/>
      <c r="AH26" s="142"/>
    </row>
    <row r="27" customFormat="false" ht="13.5" hidden="false" customHeight="true" outlineLevel="0" collapsed="false">
      <c r="B27" s="180"/>
      <c r="C27" s="139"/>
      <c r="D27" s="139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  <c r="U27" s="139"/>
      <c r="V27" s="139"/>
      <c r="W27" s="139"/>
      <c r="X27" s="139"/>
      <c r="Y27" s="143"/>
      <c r="Z27" s="143"/>
      <c r="AA27" s="143"/>
      <c r="AB27" s="142"/>
      <c r="AC27" s="142"/>
      <c r="AD27" s="142"/>
      <c r="AE27" s="142"/>
      <c r="AF27" s="142"/>
      <c r="AG27" s="142"/>
      <c r="AH27" s="142"/>
    </row>
    <row r="28" customFormat="false" ht="13.5" hidden="false" customHeight="true" outlineLevel="0" collapsed="false">
      <c r="B28" s="149" t="s">
        <v>86</v>
      </c>
      <c r="C28" s="149"/>
      <c r="D28" s="149"/>
      <c r="E28" s="149"/>
      <c r="F28" s="149"/>
      <c r="G28" s="139"/>
      <c r="H28" s="150" t="s">
        <v>26</v>
      </c>
      <c r="I28" s="151" t="s">
        <v>27</v>
      </c>
      <c r="J28" s="152"/>
      <c r="K28" s="139"/>
      <c r="L28" s="139"/>
      <c r="M28" s="139"/>
      <c r="N28" s="139"/>
      <c r="O28" s="139"/>
      <c r="P28" s="139"/>
      <c r="Q28" s="139"/>
      <c r="R28" s="139"/>
      <c r="S28" s="139"/>
      <c r="U28" s="153"/>
      <c r="V28" s="153"/>
      <c r="W28" s="153"/>
      <c r="X28" s="153"/>
      <c r="Y28" s="167"/>
      <c r="Z28" s="167"/>
      <c r="AA28" s="167"/>
      <c r="AB28" s="142"/>
      <c r="AC28" s="142"/>
      <c r="AD28" s="142"/>
      <c r="AE28" s="142"/>
      <c r="AF28" s="142"/>
      <c r="AG28" s="142"/>
      <c r="AH28" s="142"/>
    </row>
    <row r="29" customFormat="false" ht="13.5" hidden="false" customHeight="true" outlineLevel="0" collapsed="false">
      <c r="B29" s="154" t="s">
        <v>87</v>
      </c>
      <c r="C29" s="155" t="n">
        <v>2</v>
      </c>
      <c r="D29" s="153" t="s">
        <v>29</v>
      </c>
      <c r="E29" s="156" t="n">
        <v>1</v>
      </c>
      <c r="F29" s="157" t="s">
        <v>88</v>
      </c>
      <c r="G29" s="139"/>
      <c r="H29" s="158" t="n">
        <v>46185</v>
      </c>
      <c r="I29" s="159" t="n">
        <v>0.916666666666667</v>
      </c>
      <c r="J29" s="160"/>
      <c r="K29" s="161"/>
      <c r="L29" s="162" t="s">
        <v>31</v>
      </c>
      <c r="M29" s="162" t="s">
        <v>32</v>
      </c>
      <c r="N29" s="162" t="s">
        <v>33</v>
      </c>
      <c r="O29" s="162" t="s">
        <v>34</v>
      </c>
      <c r="P29" s="162" t="s">
        <v>35</v>
      </c>
      <c r="Q29" s="162" t="s">
        <v>36</v>
      </c>
      <c r="R29" s="163" t="s">
        <v>37</v>
      </c>
      <c r="S29" s="164"/>
      <c r="T29" s="165" t="str">
        <f aca="false">IF(NOT(AND(ISNUMBER(C29),ISNUMBER(E29))),"XXX","")</f>
        <v/>
      </c>
      <c r="U29" s="166" t="n">
        <f aca="false">SUM(Y29,Z29,AA29)</f>
        <v>0</v>
      </c>
      <c r="V29" s="166"/>
      <c r="W29" s="166"/>
      <c r="X29" s="166"/>
      <c r="Y29" s="167" t="n">
        <f aca="false">IF(AND(ISNUMBER(RESULTADOS!C29),ISNUMBER(RESULTADOS!E29),ISNUMBER(C29),ISNUMBER(E29),C29=RESULTADOS!C29,E29=RESULTADOS!E29),2,0)</f>
        <v>0</v>
      </c>
      <c r="Z29" s="167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67" t="n">
        <f aca="false">IF(AND(ISNUMBER(RESULTADOS!C29),ISNUMBER(RESULTADOS!E29),ISNUMBER(C29),ISNUMBER(E29),AND(Z29=1,OR(C29=RESULTADOS!C29,E29=RESULTADOS!E29))),1,0)</f>
        <v>0</v>
      </c>
      <c r="AB29" s="142"/>
      <c r="AC29" s="142"/>
      <c r="AD29" s="142"/>
      <c r="AE29" s="142"/>
      <c r="AF29" s="142"/>
      <c r="AG29" s="142"/>
      <c r="AH29" s="142"/>
    </row>
    <row r="30" customFormat="false" ht="13.5" hidden="false" customHeight="true" outlineLevel="0" collapsed="false">
      <c r="B30" s="154" t="s">
        <v>89</v>
      </c>
      <c r="C30" s="155" t="n">
        <v>0</v>
      </c>
      <c r="D30" s="153" t="s">
        <v>29</v>
      </c>
      <c r="E30" s="156" t="n">
        <v>0</v>
      </c>
      <c r="F30" s="157" t="s">
        <v>90</v>
      </c>
      <c r="G30" s="139"/>
      <c r="H30" s="158" t="n">
        <v>46187</v>
      </c>
      <c r="I30" s="159" t="n">
        <v>0.0416666666666667</v>
      </c>
      <c r="J30" s="160"/>
      <c r="K30" s="169" t="s">
        <v>89</v>
      </c>
      <c r="L30" s="153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53" t="n">
        <f aca="false">N30-O30</f>
        <v>0</v>
      </c>
      <c r="N30" s="153" t="n">
        <f aca="true">SUM(INDIRECT($AC30),INDIRECT($AD30),INDIRECT($AE30))</f>
        <v>0</v>
      </c>
      <c r="O30" s="153" t="n">
        <f aca="true">SUM(INDIRECT($AF30),INDIRECT($AG30),INDIRECT($AH30))</f>
        <v>0</v>
      </c>
      <c r="P30" s="153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53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170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164"/>
      <c r="T30" s="165" t="str">
        <f aca="false">IF(NOT(AND(ISNUMBER(C30),ISNUMBER(E30))),"XXX","")</f>
        <v/>
      </c>
      <c r="U30" s="166" t="n">
        <f aca="false">SUM(Y30,Z30,AA30)</f>
        <v>0</v>
      </c>
      <c r="V30" s="166"/>
      <c r="W30" s="166"/>
      <c r="X30" s="166"/>
      <c r="Y30" s="167" t="n">
        <f aca="false">IF(AND(ISNUMBER(RESULTADOS!C30),ISNUMBER(RESULTADOS!E30),ISNUMBER(C30),ISNUMBER(E30),C30=RESULTADOS!C30,E30=RESULTADOS!E30),2,0)</f>
        <v>0</v>
      </c>
      <c r="Z30" s="167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67" t="n">
        <f aca="false">IF(AND(ISNUMBER(RESULTADOS!C30),ISNUMBER(RESULTADOS!E30),ISNUMBER(C30),ISNUMBER(E30),AND(Z30=1,OR(C30=RESULTADOS!C30,E30=RESULTADOS!E30))),1,0)</f>
        <v>0</v>
      </c>
      <c r="AB30" s="142"/>
      <c r="AC30" s="142" t="s">
        <v>91</v>
      </c>
      <c r="AD30" s="142" t="s">
        <v>92</v>
      </c>
      <c r="AE30" s="142" t="s">
        <v>93</v>
      </c>
      <c r="AF30" s="142" t="str">
        <f aca="false">IF(ISNUMBER(FIND("C", AC30, 1)), SUBSTITUTE(AC30, "C", "E"), SUBSTITUTE(AC30, "E", "C"))</f>
        <v>E30</v>
      </c>
      <c r="AG30" s="142" t="str">
        <f aca="false">IF(ISNUMBER(FIND("C", AD30, 1)), SUBSTITUTE(AD30, "C", "E"), SUBSTITUTE(AD30, "E", "C"))</f>
        <v>C31</v>
      </c>
      <c r="AH30" s="14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54" t="s">
        <v>87</v>
      </c>
      <c r="C31" s="155"/>
      <c r="D31" s="153" t="s">
        <v>29</v>
      </c>
      <c r="E31" s="156"/>
      <c r="F31" s="157" t="s">
        <v>89</v>
      </c>
      <c r="G31" s="139"/>
      <c r="H31" s="158" t="n">
        <v>46192</v>
      </c>
      <c r="I31" s="159" t="n">
        <v>0.666666666666667</v>
      </c>
      <c r="J31" s="160"/>
      <c r="K31" s="169" t="s">
        <v>87</v>
      </c>
      <c r="L31" s="153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53" t="n">
        <f aca="false">N31-O31</f>
        <v>1</v>
      </c>
      <c r="N31" s="153" t="n">
        <f aca="true">SUM(INDIRECT($AC31),INDIRECT($AD31),INDIRECT($AE31))</f>
        <v>2</v>
      </c>
      <c r="O31" s="153" t="n">
        <f aca="true">SUM(INDIRECT($AF31),INDIRECT($AG31),INDIRECT($AH31))</f>
        <v>1</v>
      </c>
      <c r="P31" s="153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53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170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139"/>
      <c r="T31" s="165" t="str">
        <f aca="false">IF(NOT(AND(ISNUMBER(C31),ISNUMBER(E31))),"XXX","")</f>
        <v>XXX</v>
      </c>
      <c r="U31" s="166" t="n">
        <f aca="false">SUM(Y31,Z31,AA31)</f>
        <v>0</v>
      </c>
      <c r="V31" s="166"/>
      <c r="W31" s="166"/>
      <c r="X31" s="166"/>
      <c r="Y31" s="167" t="n">
        <f aca="false">IF(AND(ISNUMBER(RESULTADOS!C31),ISNUMBER(RESULTADOS!E31),ISNUMBER(C31),ISNUMBER(E31),C31=RESULTADOS!C31,E31=RESULTADOS!E31),2,0)</f>
        <v>0</v>
      </c>
      <c r="Z31" s="167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67" t="n">
        <f aca="false">IF(AND(ISNUMBER(RESULTADOS!C31),ISNUMBER(RESULTADOS!E31),ISNUMBER(C31),ISNUMBER(E31),AND(Z31=1,OR(C31=RESULTADOS!C31,E31=RESULTADOS!E31))),1,0)</f>
        <v>0</v>
      </c>
      <c r="AB31" s="142"/>
      <c r="AC31" s="142" t="s">
        <v>94</v>
      </c>
      <c r="AD31" s="142" t="s">
        <v>95</v>
      </c>
      <c r="AE31" s="142" t="s">
        <v>96</v>
      </c>
      <c r="AF31" s="142" t="str">
        <f aca="false">IF(ISNUMBER(FIND("C", AC31, 1)), SUBSTITUTE(AC31, "C", "E"), SUBSTITUTE(AC31, "E", "C"))</f>
        <v>E29</v>
      </c>
      <c r="AG31" s="142" t="str">
        <f aca="false">IF(ISNUMBER(FIND("C", AD31, 1)), SUBSTITUTE(AD31, "C", "E"), SUBSTITUTE(AD31, "E", "C"))</f>
        <v>E31</v>
      </c>
      <c r="AH31" s="14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54" t="s">
        <v>90</v>
      </c>
      <c r="C32" s="155"/>
      <c r="D32" s="153" t="s">
        <v>29</v>
      </c>
      <c r="E32" s="156"/>
      <c r="F32" s="157" t="s">
        <v>88</v>
      </c>
      <c r="G32" s="139"/>
      <c r="H32" s="158" t="n">
        <v>46193</v>
      </c>
      <c r="I32" s="159" t="n">
        <v>0.0416666666666667</v>
      </c>
      <c r="J32" s="160"/>
      <c r="K32" s="169" t="s">
        <v>88</v>
      </c>
      <c r="L32" s="153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53" t="n">
        <f aca="false">N32-O32</f>
        <v>-1</v>
      </c>
      <c r="N32" s="153" t="n">
        <f aca="true">SUM(INDIRECT($AC32),INDIRECT($AD32),INDIRECT($AE32))</f>
        <v>1</v>
      </c>
      <c r="O32" s="153" t="n">
        <f aca="true">SUM(INDIRECT($AF32),INDIRECT($AG32),INDIRECT($AH32))</f>
        <v>2</v>
      </c>
      <c r="P32" s="153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53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170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139"/>
      <c r="T32" s="165" t="str">
        <f aca="false">IF(NOT(AND(ISNUMBER(C32),ISNUMBER(E32))),"XXX","")</f>
        <v>XXX</v>
      </c>
      <c r="U32" s="166" t="n">
        <f aca="false">SUM(Y32,Z32,AA32)</f>
        <v>0</v>
      </c>
      <c r="V32" s="166"/>
      <c r="W32" s="166"/>
      <c r="X32" s="166"/>
      <c r="Y32" s="167" t="n">
        <f aca="false">IF(AND(ISNUMBER(RESULTADOS!C32),ISNUMBER(RESULTADOS!E32),ISNUMBER(C32),ISNUMBER(E32),C32=RESULTADOS!C32,E32=RESULTADOS!E32),2,0)</f>
        <v>0</v>
      </c>
      <c r="Z32" s="167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67" t="n">
        <f aca="false">IF(AND(ISNUMBER(RESULTADOS!C32),ISNUMBER(RESULTADOS!E32),ISNUMBER(C32),ISNUMBER(E32),AND(Z32=1,OR(C32=RESULTADOS!C32,E32=RESULTADOS!E32))),1,0)</f>
        <v>0</v>
      </c>
      <c r="AB32" s="142"/>
      <c r="AC32" s="142" t="s">
        <v>97</v>
      </c>
      <c r="AD32" s="142" t="s">
        <v>98</v>
      </c>
      <c r="AE32" s="142" t="s">
        <v>93</v>
      </c>
      <c r="AF32" s="142" t="str">
        <f aca="false">IF(ISNUMBER(FIND("C", AC32, 1)), SUBSTITUTE(AC32, "C", "E"), SUBSTITUTE(AC32, "E", "C"))</f>
        <v>C29</v>
      </c>
      <c r="AG32" s="142" t="str">
        <f aca="false">IF(ISNUMBER(FIND("C", AD32, 1)), SUBSTITUTE(AD32, "C", "E"), SUBSTITUTE(AD32, "E", "C"))</f>
        <v>C32</v>
      </c>
      <c r="AH32" s="14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54" t="s">
        <v>90</v>
      </c>
      <c r="C33" s="155"/>
      <c r="D33" s="153" t="s">
        <v>29</v>
      </c>
      <c r="E33" s="156"/>
      <c r="F33" s="157" t="s">
        <v>87</v>
      </c>
      <c r="G33" s="139"/>
      <c r="H33" s="158" t="n">
        <v>46198</v>
      </c>
      <c r="I33" s="159" t="n">
        <v>0.958333333333333</v>
      </c>
      <c r="J33" s="160"/>
      <c r="K33" s="171" t="s">
        <v>90</v>
      </c>
      <c r="L33" s="172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172" t="n">
        <f aca="false">N33-O33</f>
        <v>0</v>
      </c>
      <c r="N33" s="172" t="n">
        <f aca="true">SUM(INDIRECT($AC33),INDIRECT($AD33),INDIRECT($AE33))</f>
        <v>0</v>
      </c>
      <c r="O33" s="172" t="n">
        <f aca="true">SUM(INDIRECT($AF33),INDIRECT($AG33),INDIRECT($AH33))</f>
        <v>0</v>
      </c>
      <c r="P33" s="172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172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73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39"/>
      <c r="T33" s="165" t="str">
        <f aca="false">IF(NOT(AND(ISNUMBER(C33),ISNUMBER(E33))),"XXX","")</f>
        <v>XXX</v>
      </c>
      <c r="U33" s="166" t="n">
        <f aca="false">SUM(Y33,Z33,AA33)</f>
        <v>0</v>
      </c>
      <c r="V33" s="166"/>
      <c r="W33" s="166"/>
      <c r="X33" s="166"/>
      <c r="Y33" s="167" t="n">
        <f aca="false">IF(AND(ISNUMBER(RESULTADOS!C33),ISNUMBER(RESULTADOS!E33),ISNUMBER(C33),ISNUMBER(E33),C33=RESULTADOS!C33,E33=RESULTADOS!E33),2,0)</f>
        <v>0</v>
      </c>
      <c r="Z33" s="167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67" t="n">
        <f aca="false">IF(AND(ISNUMBER(RESULTADOS!C33),ISNUMBER(RESULTADOS!E33),ISNUMBER(C33),ISNUMBER(E33),AND(Z33=1,OR(C33=RESULTADOS!C33,E33=RESULTADOS!E33))),1,0)</f>
        <v>0</v>
      </c>
      <c r="AB33" s="142"/>
      <c r="AC33" s="142" t="s">
        <v>99</v>
      </c>
      <c r="AD33" s="142" t="s">
        <v>100</v>
      </c>
      <c r="AE33" s="142" t="s">
        <v>101</v>
      </c>
      <c r="AF33" s="142" t="str">
        <f aca="false">IF(ISNUMBER(FIND("C", AC33, 1)), SUBSTITUTE(AC33, "C", "E"), SUBSTITUTE(AC33, "E", "C"))</f>
        <v>C30</v>
      </c>
      <c r="AG33" s="142" t="str">
        <f aca="false">IF(ISNUMBER(FIND("C", AD33, 1)), SUBSTITUTE(AD33, "C", "E"), SUBSTITUTE(AD33, "E", "C"))</f>
        <v>E32</v>
      </c>
      <c r="AH33" s="14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174" t="s">
        <v>88</v>
      </c>
      <c r="C34" s="175"/>
      <c r="D34" s="172" t="s">
        <v>29</v>
      </c>
      <c r="E34" s="176"/>
      <c r="F34" s="182" t="s">
        <v>89</v>
      </c>
      <c r="G34" s="139"/>
      <c r="H34" s="178" t="n">
        <v>46198</v>
      </c>
      <c r="I34" s="179" t="n">
        <v>0.958333333333333</v>
      </c>
      <c r="J34" s="160"/>
      <c r="K34" s="180"/>
      <c r="S34" s="139"/>
      <c r="T34" s="165" t="str">
        <f aca="false">IF(NOT(AND(ISNUMBER(C34),ISNUMBER(E34))),"XXX","")</f>
        <v>XXX</v>
      </c>
      <c r="U34" s="166" t="n">
        <f aca="false">SUM(Y34,Z34,AA34)</f>
        <v>0</v>
      </c>
      <c r="V34" s="166"/>
      <c r="W34" s="166"/>
      <c r="X34" s="166"/>
      <c r="Y34" s="167" t="n">
        <f aca="false">IF(AND(ISNUMBER(RESULTADOS!C34),ISNUMBER(RESULTADOS!E34),ISNUMBER(C34),ISNUMBER(E34),C34=RESULTADOS!C34,E34=RESULTADOS!E34),2,0)</f>
        <v>0</v>
      </c>
      <c r="Z34" s="167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67" t="n">
        <f aca="false">IF(AND(ISNUMBER(RESULTADOS!C34),ISNUMBER(RESULTADOS!E34),ISNUMBER(C34),ISNUMBER(E34),AND(Z34=1,OR(C34=RESULTADOS!C34,E34=RESULTADOS!E34))),1,0)</f>
        <v>0</v>
      </c>
      <c r="AB34" s="142"/>
      <c r="AC34" s="142"/>
      <c r="AD34" s="142"/>
      <c r="AE34" s="142"/>
      <c r="AF34" s="142"/>
      <c r="AG34" s="142"/>
      <c r="AH34" s="142"/>
    </row>
    <row r="35" customFormat="false" ht="13.5" hidden="false" customHeight="true" outlineLevel="0" collapsed="false">
      <c r="B35" s="180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39"/>
      <c r="P35" s="139"/>
      <c r="Q35" s="139"/>
      <c r="R35" s="139"/>
      <c r="S35" s="139"/>
      <c r="U35" s="139"/>
      <c r="V35" s="139"/>
      <c r="W35" s="139"/>
      <c r="X35" s="139"/>
      <c r="Y35" s="143"/>
      <c r="Z35" s="143"/>
      <c r="AA35" s="143"/>
      <c r="AB35" s="142"/>
      <c r="AC35" s="142"/>
      <c r="AD35" s="142"/>
      <c r="AE35" s="142"/>
      <c r="AF35" s="142"/>
      <c r="AG35" s="142"/>
      <c r="AH35" s="142"/>
    </row>
    <row r="36" customFormat="false" ht="13.5" hidden="false" customHeight="true" outlineLevel="0" collapsed="false">
      <c r="B36" s="149" t="s">
        <v>102</v>
      </c>
      <c r="C36" s="149"/>
      <c r="D36" s="149"/>
      <c r="E36" s="149"/>
      <c r="F36" s="149"/>
      <c r="G36" s="139"/>
      <c r="H36" s="150" t="s">
        <v>26</v>
      </c>
      <c r="I36" s="151" t="s">
        <v>27</v>
      </c>
      <c r="J36" s="152"/>
      <c r="K36" s="139"/>
      <c r="L36" s="139"/>
      <c r="M36" s="139"/>
      <c r="N36" s="139"/>
      <c r="O36" s="139"/>
      <c r="P36" s="139"/>
      <c r="Q36" s="139"/>
      <c r="R36" s="139"/>
      <c r="S36" s="139"/>
      <c r="U36" s="153"/>
      <c r="V36" s="153"/>
      <c r="W36" s="153"/>
      <c r="X36" s="153"/>
      <c r="Y36" s="167"/>
      <c r="Z36" s="167"/>
      <c r="AA36" s="167"/>
      <c r="AB36" s="142"/>
      <c r="AC36" s="142"/>
      <c r="AD36" s="142"/>
      <c r="AE36" s="142"/>
      <c r="AF36" s="142"/>
      <c r="AG36" s="142"/>
      <c r="AH36" s="142"/>
    </row>
    <row r="37" customFormat="false" ht="13.5" hidden="false" customHeight="true" outlineLevel="0" collapsed="false">
      <c r="B37" s="154" t="s">
        <v>103</v>
      </c>
      <c r="C37" s="155" t="n">
        <v>3</v>
      </c>
      <c r="D37" s="153" t="s">
        <v>29</v>
      </c>
      <c r="E37" s="156" t="n">
        <v>0</v>
      </c>
      <c r="F37" s="168" t="s">
        <v>104</v>
      </c>
      <c r="G37" s="139"/>
      <c r="H37" s="158" t="n">
        <v>46187</v>
      </c>
      <c r="I37" s="159" t="n">
        <v>0.583333333333333</v>
      </c>
      <c r="J37" s="160"/>
      <c r="K37" s="161"/>
      <c r="L37" s="162" t="s">
        <v>31</v>
      </c>
      <c r="M37" s="162" t="s">
        <v>32</v>
      </c>
      <c r="N37" s="162" t="s">
        <v>33</v>
      </c>
      <c r="O37" s="162" t="s">
        <v>34</v>
      </c>
      <c r="P37" s="162" t="s">
        <v>35</v>
      </c>
      <c r="Q37" s="162" t="s">
        <v>36</v>
      </c>
      <c r="R37" s="163" t="s">
        <v>37</v>
      </c>
      <c r="S37" s="164"/>
      <c r="T37" s="165" t="str">
        <f aca="false">IF(NOT(AND(ISNUMBER(C37),ISNUMBER(E37))),"XXX","")</f>
        <v/>
      </c>
      <c r="U37" s="166" t="n">
        <f aca="false">SUM(Y37,Z37,AA37)</f>
        <v>0</v>
      </c>
      <c r="V37" s="166"/>
      <c r="W37" s="166"/>
      <c r="X37" s="166"/>
      <c r="Y37" s="167" t="n">
        <f aca="false">IF(AND(ISNUMBER(RESULTADOS!C37),ISNUMBER(RESULTADOS!E37),ISNUMBER(C37),ISNUMBER(E37),C37=RESULTADOS!C37,E37=RESULTADOS!E37),2,0)</f>
        <v>0</v>
      </c>
      <c r="Z37" s="167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67" t="n">
        <f aca="false">IF(AND(ISNUMBER(RESULTADOS!C37),ISNUMBER(RESULTADOS!E37),ISNUMBER(C37),ISNUMBER(E37),AND(Z37=1,OR(C37=RESULTADOS!C37,E37=RESULTADOS!E37))),1,0)</f>
        <v>0</v>
      </c>
      <c r="AB37" s="142"/>
      <c r="AC37" s="142"/>
      <c r="AD37" s="142"/>
      <c r="AE37" s="142"/>
      <c r="AF37" s="142"/>
      <c r="AG37" s="142"/>
      <c r="AH37" s="142"/>
    </row>
    <row r="38" customFormat="false" ht="13.5" hidden="false" customHeight="true" outlineLevel="0" collapsed="false">
      <c r="B38" s="154" t="s">
        <v>105</v>
      </c>
      <c r="C38" s="155"/>
      <c r="D38" s="153" t="s">
        <v>29</v>
      </c>
      <c r="E38" s="156"/>
      <c r="F38" s="168" t="s">
        <v>106</v>
      </c>
      <c r="G38" s="139"/>
      <c r="H38" s="158" t="n">
        <v>46187</v>
      </c>
      <c r="I38" s="159" t="n">
        <v>0.833333333333333</v>
      </c>
      <c r="J38" s="160"/>
      <c r="K38" s="183" t="s">
        <v>103</v>
      </c>
      <c r="L38" s="153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53" t="n">
        <f aca="false">N38-O38</f>
        <v>3</v>
      </c>
      <c r="N38" s="153" t="n">
        <f aca="true">SUM(INDIRECT($AC38),INDIRECT($AD38),INDIRECT($AE38))</f>
        <v>3</v>
      </c>
      <c r="O38" s="153" t="n">
        <f aca="true">SUM(INDIRECT($AF38),INDIRECT($AG38),INDIRECT($AH38))</f>
        <v>0</v>
      </c>
      <c r="P38" s="153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53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70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164"/>
      <c r="T38" s="165" t="str">
        <f aca="false">IF(NOT(AND(ISNUMBER(C38),ISNUMBER(E38))),"XXX","")</f>
        <v>XXX</v>
      </c>
      <c r="U38" s="166" t="n">
        <f aca="false">SUM(Y38,Z38,AA38)</f>
        <v>0</v>
      </c>
      <c r="V38" s="166"/>
      <c r="W38" s="166"/>
      <c r="X38" s="166"/>
      <c r="Y38" s="167" t="n">
        <f aca="false">IF(AND(ISNUMBER(RESULTADOS!C38),ISNUMBER(RESULTADOS!E38),ISNUMBER(C38),ISNUMBER(E38),C38=RESULTADOS!C38,E38=RESULTADOS!E38),2,0)</f>
        <v>0</v>
      </c>
      <c r="Z38" s="167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67" t="n">
        <f aca="false">IF(AND(ISNUMBER(RESULTADOS!C38),ISNUMBER(RESULTADOS!E38),ISNUMBER(C38),ISNUMBER(E38),AND(Z38=1,OR(C38=RESULTADOS!C38,E38=RESULTADOS!E38))),1,0)</f>
        <v>0</v>
      </c>
      <c r="AB38" s="142"/>
      <c r="AC38" s="142" t="s">
        <v>107</v>
      </c>
      <c r="AD38" s="142" t="s">
        <v>108</v>
      </c>
      <c r="AE38" s="142" t="s">
        <v>109</v>
      </c>
      <c r="AF38" s="142" t="str">
        <f aca="false">IF(ISNUMBER(FIND("C", AC38, 1)), SUBSTITUTE(AC38, "C", "E"), SUBSTITUTE(AC38, "E", "C"))</f>
        <v>E37</v>
      </c>
      <c r="AG38" s="142" t="str">
        <f aca="false">IF(ISNUMBER(FIND("C", AD38, 1)), SUBSTITUTE(AD38, "C", "E"), SUBSTITUTE(AD38, "E", "C"))</f>
        <v>E39</v>
      </c>
      <c r="AH38" s="14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54" t="s">
        <v>103</v>
      </c>
      <c r="C39" s="155"/>
      <c r="D39" s="153" t="s">
        <v>29</v>
      </c>
      <c r="E39" s="156"/>
      <c r="F39" s="168" t="s">
        <v>105</v>
      </c>
      <c r="G39" s="139"/>
      <c r="H39" s="158" t="n">
        <v>46193</v>
      </c>
      <c r="I39" s="159" t="n">
        <v>0.708333333333333</v>
      </c>
      <c r="J39" s="160"/>
      <c r="K39" s="183" t="s">
        <v>105</v>
      </c>
      <c r="L39" s="153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53" t="n">
        <f aca="false">N39-O39</f>
        <v>0</v>
      </c>
      <c r="N39" s="153" t="n">
        <f aca="true">SUM(INDIRECT($AC39),INDIRECT($AD39),INDIRECT($AE39))</f>
        <v>0</v>
      </c>
      <c r="O39" s="153" t="n">
        <f aca="true">SUM(INDIRECT($AF39),INDIRECT($AG39),INDIRECT($AH39))</f>
        <v>0</v>
      </c>
      <c r="P39" s="153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53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170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139"/>
      <c r="T39" s="165" t="str">
        <f aca="false">IF(NOT(AND(ISNUMBER(C39),ISNUMBER(E39))),"XXX","")</f>
        <v>XXX</v>
      </c>
      <c r="U39" s="166" t="n">
        <f aca="false">SUM(Y39,Z39,AA39)</f>
        <v>0</v>
      </c>
      <c r="V39" s="166"/>
      <c r="W39" s="166"/>
      <c r="X39" s="166"/>
      <c r="Y39" s="167" t="n">
        <f aca="false">IF(AND(ISNUMBER(RESULTADOS!C39),ISNUMBER(RESULTADOS!E39),ISNUMBER(C39),ISNUMBER(E39),C39=RESULTADOS!C39,E39=RESULTADOS!E39),2,0)</f>
        <v>0</v>
      </c>
      <c r="Z39" s="167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67" t="n">
        <f aca="false">IF(AND(ISNUMBER(RESULTADOS!C39),ISNUMBER(RESULTADOS!E39),ISNUMBER(C39),ISNUMBER(E39),AND(Z39=1,OR(C39=RESULTADOS!C39,E39=RESULTADOS!E39))),1,0)</f>
        <v>0</v>
      </c>
      <c r="AB39" s="142"/>
      <c r="AC39" s="142" t="s">
        <v>110</v>
      </c>
      <c r="AD39" s="142" t="s">
        <v>111</v>
      </c>
      <c r="AE39" s="142" t="s">
        <v>112</v>
      </c>
      <c r="AF39" s="142" t="str">
        <f aca="false">IF(ISNUMBER(FIND("C", AC39, 1)), SUBSTITUTE(AC39, "C", "E"), SUBSTITUTE(AC39, "E", "C"))</f>
        <v>E38</v>
      </c>
      <c r="AG39" s="142" t="str">
        <f aca="false">IF(ISNUMBER(FIND("C", AD39, 1)), SUBSTITUTE(AD39, "C", "E"), SUBSTITUTE(AD39, "E", "C"))</f>
        <v>C39</v>
      </c>
      <c r="AH39" s="14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54" t="s">
        <v>106</v>
      </c>
      <c r="C40" s="155"/>
      <c r="D40" s="153" t="s">
        <v>29</v>
      </c>
      <c r="E40" s="156"/>
      <c r="F40" s="168" t="s">
        <v>104</v>
      </c>
      <c r="G40" s="139"/>
      <c r="H40" s="158" t="n">
        <v>46193</v>
      </c>
      <c r="I40" s="159" t="n">
        <v>0.875</v>
      </c>
      <c r="J40" s="160"/>
      <c r="K40" s="183" t="s">
        <v>104</v>
      </c>
      <c r="L40" s="153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53" t="n">
        <f aca="false">N40-O40</f>
        <v>-3</v>
      </c>
      <c r="N40" s="153" t="n">
        <f aca="true">SUM(INDIRECT($AC40),INDIRECT($AD40),INDIRECT($AE40))</f>
        <v>0</v>
      </c>
      <c r="O40" s="153" t="n">
        <f aca="true">SUM(INDIRECT($AF40),INDIRECT($AG40),INDIRECT($AH40))</f>
        <v>3</v>
      </c>
      <c r="P40" s="153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53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70" t="n">
        <f aca="true">SUM(IF(AND(ISNUMBER(INDIRECT($AC40)),INDIRECT($AC40)&lt;INDIRECT($AF40)),1,0),IF(AND(ISNUMBER(INDIRECT($AD40)),INDIRECT($AD40)&lt;INDIRECT($AG40)),1,0),IF(AND(ISNUMBER(INDIRECT($AE40)),INDIRECT($AE40)&lt;INDIRECT($AH40)),1,0))</f>
        <v>1</v>
      </c>
      <c r="S40" s="139"/>
      <c r="T40" s="165" t="str">
        <f aca="false">IF(NOT(AND(ISNUMBER(C40),ISNUMBER(E40))),"XXX","")</f>
        <v>XXX</v>
      </c>
      <c r="U40" s="166" t="n">
        <f aca="false">SUM(Y40,Z40,AA40)</f>
        <v>0</v>
      </c>
      <c r="V40" s="166"/>
      <c r="W40" s="166"/>
      <c r="X40" s="166"/>
      <c r="Y40" s="167" t="n">
        <f aca="false">IF(AND(ISNUMBER(RESULTADOS!C40),ISNUMBER(RESULTADOS!E40),ISNUMBER(C40),ISNUMBER(E40),C40=RESULTADOS!C40,E40=RESULTADOS!E40),2,0)</f>
        <v>0</v>
      </c>
      <c r="Z40" s="167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67" t="n">
        <f aca="false">IF(AND(ISNUMBER(RESULTADOS!C40),ISNUMBER(RESULTADOS!E40),ISNUMBER(C40),ISNUMBER(E40),AND(Z40=1,OR(C40=RESULTADOS!C40,E40=RESULTADOS!E40))),1,0)</f>
        <v>0</v>
      </c>
      <c r="AB40" s="142"/>
      <c r="AC40" s="142" t="s">
        <v>113</v>
      </c>
      <c r="AD40" s="142" t="s">
        <v>114</v>
      </c>
      <c r="AE40" s="142" t="s">
        <v>115</v>
      </c>
      <c r="AF40" s="142" t="str">
        <f aca="false">IF(ISNUMBER(FIND("C", AC40, 1)), SUBSTITUTE(AC40, "C", "E"), SUBSTITUTE(AC40, "E", "C"))</f>
        <v>C37</v>
      </c>
      <c r="AG40" s="142" t="str">
        <f aca="false">IF(ISNUMBER(FIND("C", AD40, 1)), SUBSTITUTE(AD40, "C", "E"), SUBSTITUTE(AD40, "E", "C"))</f>
        <v>C40</v>
      </c>
      <c r="AH40" s="14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54" t="s">
        <v>106</v>
      </c>
      <c r="C41" s="155"/>
      <c r="D41" s="153" t="s">
        <v>29</v>
      </c>
      <c r="E41" s="156"/>
      <c r="F41" s="168" t="s">
        <v>103</v>
      </c>
      <c r="G41" s="139"/>
      <c r="H41" s="158" t="n">
        <v>46198</v>
      </c>
      <c r="I41" s="159" t="n">
        <v>0.708333333333333</v>
      </c>
      <c r="J41" s="160"/>
      <c r="K41" s="184" t="s">
        <v>106</v>
      </c>
      <c r="L41" s="172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172" t="n">
        <f aca="false">N41-O41</f>
        <v>0</v>
      </c>
      <c r="N41" s="172" t="n">
        <f aca="true">SUM(INDIRECT($AC41),INDIRECT($AD41),INDIRECT($AE41))</f>
        <v>0</v>
      </c>
      <c r="O41" s="172" t="n">
        <f aca="true">SUM(INDIRECT($AF41),INDIRECT($AG41),INDIRECT($AH41))</f>
        <v>0</v>
      </c>
      <c r="P41" s="172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172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173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139"/>
      <c r="T41" s="165" t="str">
        <f aca="false">IF(NOT(AND(ISNUMBER(C41),ISNUMBER(E41))),"XXX","")</f>
        <v>XXX</v>
      </c>
      <c r="U41" s="166" t="n">
        <f aca="false">SUM(Y41,Z41,AA41)</f>
        <v>0</v>
      </c>
      <c r="V41" s="166"/>
      <c r="W41" s="166"/>
      <c r="X41" s="166"/>
      <c r="Y41" s="167" t="n">
        <f aca="false">IF(AND(ISNUMBER(RESULTADOS!C41),ISNUMBER(RESULTADOS!E41),ISNUMBER(C41),ISNUMBER(E41),C41=RESULTADOS!C41,E41=RESULTADOS!E41),2,0)</f>
        <v>0</v>
      </c>
      <c r="Z41" s="167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67" t="n">
        <f aca="false">IF(AND(ISNUMBER(RESULTADOS!C41),ISNUMBER(RESULTADOS!E41),ISNUMBER(C41),ISNUMBER(E41),AND(Z41=1,OR(C41=RESULTADOS!C41,E41=RESULTADOS!E41))),1,0)</f>
        <v>0</v>
      </c>
      <c r="AB41" s="142"/>
      <c r="AC41" s="142" t="s">
        <v>116</v>
      </c>
      <c r="AD41" s="142" t="s">
        <v>117</v>
      </c>
      <c r="AE41" s="142" t="s">
        <v>118</v>
      </c>
      <c r="AF41" s="142" t="str">
        <f aca="false">IF(ISNUMBER(FIND("C", AC41, 1)), SUBSTITUTE(AC41, "C", "E"), SUBSTITUTE(AC41, "E", "C"))</f>
        <v>C38</v>
      </c>
      <c r="AG41" s="142" t="str">
        <f aca="false">IF(ISNUMBER(FIND("C", AD41, 1)), SUBSTITUTE(AD41, "C", "E"), SUBSTITUTE(AD41, "E", "C"))</f>
        <v>E40</v>
      </c>
      <c r="AH41" s="14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174" t="s">
        <v>104</v>
      </c>
      <c r="C42" s="175"/>
      <c r="D42" s="172" t="s">
        <v>29</v>
      </c>
      <c r="E42" s="176"/>
      <c r="F42" s="177" t="s">
        <v>105</v>
      </c>
      <c r="G42" s="139"/>
      <c r="H42" s="178" t="n">
        <v>46198</v>
      </c>
      <c r="I42" s="179" t="n">
        <v>0.708333333333333</v>
      </c>
      <c r="J42" s="160"/>
      <c r="K42" s="180"/>
      <c r="S42" s="139"/>
      <c r="T42" s="165" t="str">
        <f aca="false">IF(NOT(AND(ISNUMBER(C42),ISNUMBER(E42))),"XXX","")</f>
        <v>XXX</v>
      </c>
      <c r="U42" s="166" t="n">
        <f aca="false">SUM(Y42,Z42,AA42)</f>
        <v>0</v>
      </c>
      <c r="V42" s="166"/>
      <c r="W42" s="166"/>
      <c r="X42" s="166"/>
      <c r="Y42" s="167" t="n">
        <f aca="false">IF(AND(ISNUMBER(RESULTADOS!C42),ISNUMBER(RESULTADOS!E42),ISNUMBER(C42),ISNUMBER(E42),C42=RESULTADOS!C42,E42=RESULTADOS!E42),2,0)</f>
        <v>0</v>
      </c>
      <c r="Z42" s="167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67" t="n">
        <f aca="false">IF(AND(ISNUMBER(RESULTADOS!C42),ISNUMBER(RESULTADOS!E42),ISNUMBER(C42),ISNUMBER(E42),AND(Z42=1,OR(C42=RESULTADOS!C42,E42=RESULTADOS!E42))),1,0)</f>
        <v>0</v>
      </c>
      <c r="AB42" s="142"/>
      <c r="AC42" s="142"/>
      <c r="AD42" s="142"/>
      <c r="AE42" s="142"/>
      <c r="AF42" s="142"/>
      <c r="AG42" s="142"/>
      <c r="AH42" s="142"/>
    </row>
    <row r="43" customFormat="false" ht="13.5" hidden="false" customHeight="true" outlineLevel="0" collapsed="false">
      <c r="B43" s="180"/>
      <c r="C43" s="139"/>
      <c r="D43" s="139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39"/>
      <c r="P43" s="139"/>
      <c r="Q43" s="139"/>
      <c r="R43" s="139"/>
      <c r="S43" s="139"/>
      <c r="U43" s="139"/>
      <c r="V43" s="139"/>
      <c r="W43" s="139"/>
      <c r="X43" s="139"/>
      <c r="Y43" s="143"/>
      <c r="Z43" s="143"/>
      <c r="AA43" s="143"/>
      <c r="AB43" s="142"/>
      <c r="AC43" s="142"/>
      <c r="AD43" s="142"/>
      <c r="AE43" s="142"/>
      <c r="AF43" s="142"/>
      <c r="AG43" s="142"/>
      <c r="AH43" s="142"/>
    </row>
    <row r="44" customFormat="false" ht="13.5" hidden="false" customHeight="true" outlineLevel="0" collapsed="false">
      <c r="B44" s="149" t="s">
        <v>119</v>
      </c>
      <c r="C44" s="149"/>
      <c r="D44" s="149"/>
      <c r="E44" s="149"/>
      <c r="F44" s="149"/>
      <c r="G44" s="139"/>
      <c r="H44" s="150" t="s">
        <v>26</v>
      </c>
      <c r="I44" s="151" t="s">
        <v>27</v>
      </c>
      <c r="J44" s="152"/>
      <c r="K44" s="139"/>
      <c r="L44" s="139"/>
      <c r="M44" s="139"/>
      <c r="N44" s="139"/>
      <c r="O44" s="139"/>
      <c r="P44" s="139"/>
      <c r="Q44" s="139"/>
      <c r="R44" s="139"/>
      <c r="S44" s="139"/>
      <c r="U44" s="153"/>
      <c r="V44" s="153"/>
      <c r="W44" s="153"/>
      <c r="X44" s="153"/>
      <c r="Y44" s="167"/>
      <c r="Z44" s="167"/>
      <c r="AA44" s="167"/>
      <c r="AB44" s="142"/>
      <c r="AC44" s="142"/>
      <c r="AD44" s="142"/>
      <c r="AE44" s="142"/>
      <c r="AF44" s="142"/>
      <c r="AG44" s="142"/>
      <c r="AH44" s="142"/>
    </row>
    <row r="45" customFormat="false" ht="13.5" hidden="false" customHeight="true" outlineLevel="0" collapsed="false">
      <c r="B45" s="154" t="s">
        <v>120</v>
      </c>
      <c r="C45" s="155"/>
      <c r="D45" s="153" t="s">
        <v>29</v>
      </c>
      <c r="E45" s="156"/>
      <c r="F45" s="168" t="s">
        <v>121</v>
      </c>
      <c r="G45" s="139"/>
      <c r="H45" s="158" t="n">
        <v>46187</v>
      </c>
      <c r="I45" s="159" t="n">
        <v>0.708333333333333</v>
      </c>
      <c r="J45" s="160"/>
      <c r="K45" s="161"/>
      <c r="L45" s="162" t="s">
        <v>31</v>
      </c>
      <c r="M45" s="162" t="s">
        <v>32</v>
      </c>
      <c r="N45" s="162" t="s">
        <v>33</v>
      </c>
      <c r="O45" s="162" t="s">
        <v>34</v>
      </c>
      <c r="P45" s="162" t="s">
        <v>35</v>
      </c>
      <c r="Q45" s="162" t="s">
        <v>36</v>
      </c>
      <c r="R45" s="163" t="s">
        <v>37</v>
      </c>
      <c r="S45" s="164"/>
      <c r="T45" s="165" t="str">
        <f aca="false">IF(NOT(AND(ISNUMBER(C45),ISNUMBER(E45))),"XXX","")</f>
        <v>XXX</v>
      </c>
      <c r="U45" s="166" t="n">
        <f aca="false">SUM(Y45,Z45,AA45)</f>
        <v>0</v>
      </c>
      <c r="V45" s="166"/>
      <c r="W45" s="166"/>
      <c r="X45" s="166"/>
      <c r="Y45" s="167" t="n">
        <f aca="false">IF(AND(ISNUMBER(RESULTADOS!C45),ISNUMBER(RESULTADOS!E45),ISNUMBER(C45),ISNUMBER(E45),C45=RESULTADOS!C45,E45=RESULTADOS!E45),2,0)</f>
        <v>0</v>
      </c>
      <c r="Z45" s="167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67" t="n">
        <f aca="false">IF(AND(ISNUMBER(RESULTADOS!C45),ISNUMBER(RESULTADOS!E45),ISNUMBER(C45),ISNUMBER(E45),AND(Z45=1,OR(C45=RESULTADOS!C45,E45=RESULTADOS!E45))),1,0)</f>
        <v>0</v>
      </c>
      <c r="AB45" s="142"/>
      <c r="AC45" s="142"/>
      <c r="AD45" s="142"/>
      <c r="AE45" s="142"/>
      <c r="AF45" s="142"/>
      <c r="AG45" s="142"/>
      <c r="AH45" s="142"/>
    </row>
    <row r="46" customFormat="false" ht="13.5" hidden="false" customHeight="true" outlineLevel="0" collapsed="false">
      <c r="B46" s="154" t="s">
        <v>122</v>
      </c>
      <c r="C46" s="155"/>
      <c r="D46" s="153" t="s">
        <v>29</v>
      </c>
      <c r="E46" s="156"/>
      <c r="F46" s="168" t="s">
        <v>123</v>
      </c>
      <c r="G46" s="139"/>
      <c r="H46" s="158" t="n">
        <v>46187</v>
      </c>
      <c r="I46" s="159" t="n">
        <v>0.958333333333333</v>
      </c>
      <c r="J46" s="160"/>
      <c r="K46" s="183" t="s">
        <v>120</v>
      </c>
      <c r="L46" s="153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53" t="n">
        <f aca="false">N46-O46</f>
        <v>0</v>
      </c>
      <c r="N46" s="153" t="n">
        <f aca="true">SUM(INDIRECT($AC46),INDIRECT($AD46),INDIRECT($AE46))</f>
        <v>0</v>
      </c>
      <c r="O46" s="153" t="n">
        <f aca="true">SUM(INDIRECT($AF46),INDIRECT($AG46),INDIRECT($AH46))</f>
        <v>0</v>
      </c>
      <c r="P46" s="153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53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70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164"/>
      <c r="T46" s="165" t="str">
        <f aca="false">IF(NOT(AND(ISNUMBER(C46),ISNUMBER(E46))),"XXX","")</f>
        <v>XXX</v>
      </c>
      <c r="U46" s="166" t="n">
        <f aca="false">SUM(Y46,Z46,AA46)</f>
        <v>0</v>
      </c>
      <c r="V46" s="166"/>
      <c r="W46" s="166"/>
      <c r="X46" s="166"/>
      <c r="Y46" s="167" t="n">
        <f aca="false">IF(AND(ISNUMBER(RESULTADOS!C46),ISNUMBER(RESULTADOS!E46),ISNUMBER(C46),ISNUMBER(E46),C46=RESULTADOS!C46,E46=RESULTADOS!E46),2,0)</f>
        <v>0</v>
      </c>
      <c r="Z46" s="167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67" t="n">
        <f aca="false">IF(AND(ISNUMBER(RESULTADOS!C46),ISNUMBER(RESULTADOS!E46),ISNUMBER(C46),ISNUMBER(E46),AND(Z46=1,OR(C46=RESULTADOS!C46,E46=RESULTADOS!E46))),1,0)</f>
        <v>0</v>
      </c>
      <c r="AB46" s="142"/>
      <c r="AC46" s="142" t="s">
        <v>124</v>
      </c>
      <c r="AD46" s="142" t="s">
        <v>125</v>
      </c>
      <c r="AE46" s="142" t="s">
        <v>126</v>
      </c>
      <c r="AF46" s="142" t="str">
        <f aca="false">IF(ISNUMBER(FIND("C", AC46, 1)), SUBSTITUTE(AC46, "C", "E"), SUBSTITUTE(AC46, "E", "C"))</f>
        <v>E45</v>
      </c>
      <c r="AG46" s="142" t="str">
        <f aca="false">IF(ISNUMBER(FIND("C", AD46, 1)), SUBSTITUTE(AD46, "C", "E"), SUBSTITUTE(AD46, "E", "C"))</f>
        <v>E47</v>
      </c>
      <c r="AH46" s="14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54" t="s">
        <v>120</v>
      </c>
      <c r="C47" s="155"/>
      <c r="D47" s="153" t="s">
        <v>29</v>
      </c>
      <c r="E47" s="156"/>
      <c r="F47" s="168" t="s">
        <v>122</v>
      </c>
      <c r="G47" s="139"/>
      <c r="H47" s="158" t="n">
        <v>46193</v>
      </c>
      <c r="I47" s="159" t="n">
        <v>0.583333333333333</v>
      </c>
      <c r="J47" s="160"/>
      <c r="K47" s="183" t="s">
        <v>121</v>
      </c>
      <c r="L47" s="153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53" t="n">
        <f aca="false">N47-O47</f>
        <v>0</v>
      </c>
      <c r="N47" s="153" t="n">
        <f aca="true">SUM(INDIRECT($AC47),INDIRECT($AD47),INDIRECT($AE47))</f>
        <v>0</v>
      </c>
      <c r="O47" s="153" t="n">
        <f aca="true">SUM(INDIRECT($AF47),INDIRECT($AG47),INDIRECT($AH47))</f>
        <v>0</v>
      </c>
      <c r="P47" s="153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53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170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139"/>
      <c r="T47" s="165" t="str">
        <f aca="false">IF(NOT(AND(ISNUMBER(C47),ISNUMBER(E47))),"XXX","")</f>
        <v>XXX</v>
      </c>
      <c r="U47" s="166" t="n">
        <f aca="false">SUM(Y47,Z47,AA47)</f>
        <v>0</v>
      </c>
      <c r="V47" s="166"/>
      <c r="W47" s="166"/>
      <c r="X47" s="166"/>
      <c r="Y47" s="167" t="n">
        <f aca="false">IF(AND(ISNUMBER(RESULTADOS!C47),ISNUMBER(RESULTADOS!E47),ISNUMBER(C47),ISNUMBER(E47),C47=RESULTADOS!C47,E47=RESULTADOS!E47),2,0)</f>
        <v>0</v>
      </c>
      <c r="Z47" s="167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67" t="n">
        <f aca="false">IF(AND(ISNUMBER(RESULTADOS!C47),ISNUMBER(RESULTADOS!E47),ISNUMBER(C47),ISNUMBER(E47),AND(Z47=1,OR(C47=RESULTADOS!C47,E47=RESULTADOS!E47))),1,0)</f>
        <v>0</v>
      </c>
      <c r="AB47" s="142"/>
      <c r="AC47" s="142" t="s">
        <v>127</v>
      </c>
      <c r="AD47" s="142" t="s">
        <v>128</v>
      </c>
      <c r="AE47" s="142" t="s">
        <v>129</v>
      </c>
      <c r="AF47" s="142" t="str">
        <f aca="false">IF(ISNUMBER(FIND("C", AC47, 1)), SUBSTITUTE(AC47, "C", "E"), SUBSTITUTE(AC47, "E", "C"))</f>
        <v>C45</v>
      </c>
      <c r="AG47" s="142" t="str">
        <f aca="false">IF(ISNUMBER(FIND("C", AD47, 1)), SUBSTITUTE(AD47, "C", "E"), SUBSTITUTE(AD47, "E", "C"))</f>
        <v>C48</v>
      </c>
      <c r="AH47" s="14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54" t="s">
        <v>123</v>
      </c>
      <c r="C48" s="155"/>
      <c r="D48" s="153" t="s">
        <v>29</v>
      </c>
      <c r="E48" s="156"/>
      <c r="F48" s="168" t="s">
        <v>121</v>
      </c>
      <c r="G48" s="139"/>
      <c r="H48" s="158" t="n">
        <v>46194</v>
      </c>
      <c r="I48" s="159" t="n">
        <v>0.0416666666666667</v>
      </c>
      <c r="J48" s="160"/>
      <c r="K48" s="183" t="s">
        <v>122</v>
      </c>
      <c r="L48" s="153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53" t="n">
        <f aca="false">N48-O48</f>
        <v>0</v>
      </c>
      <c r="N48" s="153" t="n">
        <f aca="true">SUM(INDIRECT($AC48),INDIRECT($AD48),INDIRECT($AE48))</f>
        <v>0</v>
      </c>
      <c r="O48" s="153" t="n">
        <f aca="true">SUM(INDIRECT($AF48),INDIRECT($AG48),INDIRECT($AH48))</f>
        <v>0</v>
      </c>
      <c r="P48" s="153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53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70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139"/>
      <c r="T48" s="165" t="str">
        <f aca="false">IF(NOT(AND(ISNUMBER(C48),ISNUMBER(E48))),"XXX","")</f>
        <v>XXX</v>
      </c>
      <c r="U48" s="166" t="n">
        <f aca="false">SUM(Y48,Z48,AA48)</f>
        <v>0</v>
      </c>
      <c r="V48" s="166"/>
      <c r="W48" s="166"/>
      <c r="X48" s="166"/>
      <c r="Y48" s="167" t="n">
        <f aca="false">IF(AND(ISNUMBER(RESULTADOS!C48),ISNUMBER(RESULTADOS!E48),ISNUMBER(C48),ISNUMBER(E48),C48=RESULTADOS!C48,E48=RESULTADOS!E48),2,0)</f>
        <v>0</v>
      </c>
      <c r="Z48" s="167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67" t="n">
        <f aca="false">IF(AND(ISNUMBER(RESULTADOS!C48),ISNUMBER(RESULTADOS!E48),ISNUMBER(C48),ISNUMBER(E48),AND(Z48=1,OR(C48=RESULTADOS!C48,E48=RESULTADOS!E48))),1,0)</f>
        <v>0</v>
      </c>
      <c r="AB48" s="142"/>
      <c r="AC48" s="142" t="s">
        <v>130</v>
      </c>
      <c r="AD48" s="142" t="s">
        <v>131</v>
      </c>
      <c r="AE48" s="142" t="s">
        <v>132</v>
      </c>
      <c r="AF48" s="142" t="str">
        <f aca="false">IF(ISNUMBER(FIND("C", AC48, 1)), SUBSTITUTE(AC48, "C", "E"), SUBSTITUTE(AC48, "E", "C"))</f>
        <v>E46</v>
      </c>
      <c r="AG48" s="142" t="str">
        <f aca="false">IF(ISNUMBER(FIND("C", AD48, 1)), SUBSTITUTE(AD48, "C", "E"), SUBSTITUTE(AD48, "E", "C"))</f>
        <v>C47</v>
      </c>
      <c r="AH48" s="14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54" t="s">
        <v>123</v>
      </c>
      <c r="C49" s="155"/>
      <c r="D49" s="153" t="s">
        <v>29</v>
      </c>
      <c r="E49" s="156"/>
      <c r="F49" s="168" t="s">
        <v>120</v>
      </c>
      <c r="G49" s="139"/>
      <c r="H49" s="158" t="n">
        <v>46198</v>
      </c>
      <c r="I49" s="159" t="n">
        <v>0.833333333333333</v>
      </c>
      <c r="J49" s="160"/>
      <c r="K49" s="184" t="s">
        <v>123</v>
      </c>
      <c r="L49" s="172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172" t="n">
        <f aca="false">N49-O49</f>
        <v>0</v>
      </c>
      <c r="N49" s="172" t="n">
        <f aca="true">SUM(INDIRECT($AC49),INDIRECT($AD49),INDIRECT($AE49))</f>
        <v>0</v>
      </c>
      <c r="O49" s="172" t="n">
        <f aca="true">SUM(INDIRECT($AF49),INDIRECT($AG49),INDIRECT($AH49))</f>
        <v>0</v>
      </c>
      <c r="P49" s="172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72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73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139"/>
      <c r="T49" s="165" t="str">
        <f aca="false">IF(NOT(AND(ISNUMBER(C49),ISNUMBER(E49))),"XXX","")</f>
        <v>XXX</v>
      </c>
      <c r="U49" s="166" t="n">
        <f aca="false">SUM(Y49,Z49,AA49)</f>
        <v>0</v>
      </c>
      <c r="V49" s="166"/>
      <c r="W49" s="166"/>
      <c r="X49" s="166"/>
      <c r="Y49" s="167" t="n">
        <f aca="false">IF(AND(ISNUMBER(RESULTADOS!C49),ISNUMBER(RESULTADOS!E49),ISNUMBER(C49),ISNUMBER(E49),C49=RESULTADOS!C49,E49=RESULTADOS!E49),2,0)</f>
        <v>0</v>
      </c>
      <c r="Z49" s="167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67" t="n">
        <f aca="false">IF(AND(ISNUMBER(RESULTADOS!C49),ISNUMBER(RESULTADOS!E49),ISNUMBER(C49),ISNUMBER(E49),AND(Z49=1,OR(C49=RESULTADOS!C49,E49=RESULTADOS!E49))),1,0)</f>
        <v>0</v>
      </c>
      <c r="AB49" s="142"/>
      <c r="AC49" s="142" t="s">
        <v>133</v>
      </c>
      <c r="AD49" s="142" t="s">
        <v>134</v>
      </c>
      <c r="AE49" s="142" t="s">
        <v>135</v>
      </c>
      <c r="AF49" s="142" t="str">
        <f aca="false">IF(ISNUMBER(FIND("C", AC49, 1)), SUBSTITUTE(AC49, "C", "E"), SUBSTITUTE(AC49, "E", "C"))</f>
        <v>C46</v>
      </c>
      <c r="AG49" s="142" t="str">
        <f aca="false">IF(ISNUMBER(FIND("C", AD49, 1)), SUBSTITUTE(AD49, "C", "E"), SUBSTITUTE(AD49, "E", "C"))</f>
        <v>E48</v>
      </c>
      <c r="AH49" s="14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174" t="s">
        <v>121</v>
      </c>
      <c r="C50" s="175"/>
      <c r="D50" s="172" t="s">
        <v>29</v>
      </c>
      <c r="E50" s="176"/>
      <c r="F50" s="177" t="s">
        <v>122</v>
      </c>
      <c r="G50" s="139"/>
      <c r="H50" s="178" t="n">
        <v>46198</v>
      </c>
      <c r="I50" s="179" t="n">
        <v>0.833333333333333</v>
      </c>
      <c r="J50" s="160"/>
      <c r="K50" s="180"/>
      <c r="S50" s="139"/>
      <c r="T50" s="165" t="str">
        <f aca="false">IF(NOT(AND(ISNUMBER(C50),ISNUMBER(E50))),"XXX","")</f>
        <v>XXX</v>
      </c>
      <c r="U50" s="166" t="n">
        <f aca="false">SUM(Y50,Z50,AA50)</f>
        <v>0</v>
      </c>
      <c r="V50" s="166"/>
      <c r="W50" s="166"/>
      <c r="X50" s="166"/>
      <c r="Y50" s="167" t="n">
        <f aca="false">IF(AND(ISNUMBER(RESULTADOS!C50),ISNUMBER(RESULTADOS!E50),ISNUMBER(C50),ISNUMBER(E50),C50=RESULTADOS!C50,E50=RESULTADOS!E50),2,0)</f>
        <v>0</v>
      </c>
      <c r="Z50" s="167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67" t="n">
        <f aca="false">IF(AND(ISNUMBER(RESULTADOS!C50),ISNUMBER(RESULTADOS!E50),ISNUMBER(C50),ISNUMBER(E50),AND(Z50=1,OR(C50=RESULTADOS!C50,E50=RESULTADOS!E50))),1,0)</f>
        <v>0</v>
      </c>
      <c r="AB50" s="142"/>
      <c r="AC50" s="142"/>
      <c r="AD50" s="142"/>
      <c r="AE50" s="142"/>
      <c r="AF50" s="142"/>
      <c r="AG50" s="142"/>
      <c r="AH50" s="142"/>
    </row>
    <row r="51" customFormat="false" ht="13.5" hidden="false" customHeight="true" outlineLevel="0" collapsed="false">
      <c r="B51" s="180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9"/>
      <c r="U51" s="139"/>
      <c r="V51" s="139"/>
      <c r="W51" s="139"/>
      <c r="X51" s="139"/>
      <c r="Y51" s="143"/>
      <c r="Z51" s="143"/>
      <c r="AA51" s="143"/>
      <c r="AB51" s="142"/>
      <c r="AC51" s="142"/>
      <c r="AD51" s="142"/>
      <c r="AE51" s="142"/>
      <c r="AF51" s="142"/>
      <c r="AG51" s="142"/>
      <c r="AH51" s="142"/>
    </row>
    <row r="52" customFormat="false" ht="13.5" hidden="false" customHeight="true" outlineLevel="0" collapsed="false">
      <c r="B52" s="149" t="s">
        <v>136</v>
      </c>
      <c r="C52" s="149"/>
      <c r="D52" s="149"/>
      <c r="E52" s="149"/>
      <c r="F52" s="149"/>
      <c r="G52" s="139"/>
      <c r="H52" s="150" t="s">
        <v>26</v>
      </c>
      <c r="I52" s="151" t="s">
        <v>27</v>
      </c>
      <c r="J52" s="152"/>
      <c r="K52" s="139"/>
      <c r="L52" s="139"/>
      <c r="M52" s="139"/>
      <c r="N52" s="139"/>
      <c r="O52" s="139"/>
      <c r="P52" s="139"/>
      <c r="Q52" s="139"/>
      <c r="R52" s="139"/>
      <c r="S52" s="139"/>
      <c r="U52" s="153"/>
      <c r="V52" s="153"/>
      <c r="W52" s="153"/>
      <c r="X52" s="153"/>
      <c r="Y52" s="167"/>
      <c r="Z52" s="167"/>
      <c r="AA52" s="167"/>
      <c r="AB52" s="142"/>
      <c r="AC52" s="142"/>
      <c r="AD52" s="142"/>
      <c r="AE52" s="142"/>
      <c r="AF52" s="142"/>
      <c r="AG52" s="142"/>
      <c r="AH52" s="142"/>
    </row>
    <row r="53" customFormat="false" ht="13.5" hidden="false" customHeight="true" outlineLevel="0" collapsed="false">
      <c r="B53" s="154" t="s">
        <v>137</v>
      </c>
      <c r="C53" s="155"/>
      <c r="D53" s="153" t="s">
        <v>29</v>
      </c>
      <c r="E53" s="156"/>
      <c r="F53" s="168" t="s">
        <v>138</v>
      </c>
      <c r="G53" s="139"/>
      <c r="H53" s="158" t="n">
        <v>46188</v>
      </c>
      <c r="I53" s="159" t="n">
        <v>0.666666666666667</v>
      </c>
      <c r="J53" s="160"/>
      <c r="K53" s="161"/>
      <c r="L53" s="162" t="s">
        <v>31</v>
      </c>
      <c r="M53" s="162" t="s">
        <v>32</v>
      </c>
      <c r="N53" s="162" t="s">
        <v>33</v>
      </c>
      <c r="O53" s="162" t="s">
        <v>34</v>
      </c>
      <c r="P53" s="162" t="s">
        <v>35</v>
      </c>
      <c r="Q53" s="162" t="s">
        <v>36</v>
      </c>
      <c r="R53" s="163" t="s">
        <v>37</v>
      </c>
      <c r="S53" s="164"/>
      <c r="T53" s="165" t="str">
        <f aca="false">IF(NOT(AND(ISNUMBER(C53),ISNUMBER(E53))),"XXX","")</f>
        <v>XXX</v>
      </c>
      <c r="U53" s="166" t="n">
        <f aca="false">SUM(Y53,Z53,AA53)</f>
        <v>0</v>
      </c>
      <c r="V53" s="166"/>
      <c r="W53" s="166"/>
      <c r="X53" s="166"/>
      <c r="Y53" s="167" t="n">
        <f aca="false">IF(AND(ISNUMBER(RESULTADOS!C53),ISNUMBER(RESULTADOS!E53),ISNUMBER(C53),ISNUMBER(E53),C53=RESULTADOS!C53,E53=RESULTADOS!E53),2,0)</f>
        <v>0</v>
      </c>
      <c r="Z53" s="167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67" t="n">
        <f aca="false">IF(AND(ISNUMBER(RESULTADOS!C53),ISNUMBER(RESULTADOS!E53),ISNUMBER(C53),ISNUMBER(E53),AND(Z53=1,OR(C53=RESULTADOS!C53,E53=RESULTADOS!E53))),1,0)</f>
        <v>0</v>
      </c>
      <c r="AB53" s="142"/>
      <c r="AC53" s="142"/>
      <c r="AD53" s="142"/>
      <c r="AE53" s="142"/>
      <c r="AF53" s="142"/>
      <c r="AG53" s="142"/>
      <c r="AH53" s="142"/>
    </row>
    <row r="54" customFormat="false" ht="13.5" hidden="false" customHeight="true" outlineLevel="0" collapsed="false">
      <c r="B54" s="154" t="s">
        <v>139</v>
      </c>
      <c r="C54" s="155"/>
      <c r="D54" s="153" t="s">
        <v>29</v>
      </c>
      <c r="E54" s="156"/>
      <c r="F54" s="168" t="s">
        <v>140</v>
      </c>
      <c r="G54" s="139"/>
      <c r="H54" s="158" t="n">
        <v>46188</v>
      </c>
      <c r="I54" s="159" t="n">
        <v>0.916666666666667</v>
      </c>
      <c r="J54" s="160"/>
      <c r="K54" s="183" t="s">
        <v>137</v>
      </c>
      <c r="L54" s="153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53" t="n">
        <f aca="false">N54-O54</f>
        <v>0</v>
      </c>
      <c r="N54" s="153" t="n">
        <f aca="true">SUM(INDIRECT($AC54),INDIRECT($AD54),INDIRECT($AE54))</f>
        <v>0</v>
      </c>
      <c r="O54" s="153" t="n">
        <f aca="true">SUM(INDIRECT($AF54),INDIRECT($AG54),INDIRECT($AH54))</f>
        <v>0</v>
      </c>
      <c r="P54" s="153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53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70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164"/>
      <c r="T54" s="165" t="str">
        <f aca="false">IF(NOT(AND(ISNUMBER(C54),ISNUMBER(E54))),"XXX","")</f>
        <v>XXX</v>
      </c>
      <c r="U54" s="166" t="n">
        <f aca="false">SUM(Y54,Z54,AA54)</f>
        <v>0</v>
      </c>
      <c r="V54" s="166"/>
      <c r="W54" s="166"/>
      <c r="X54" s="166"/>
      <c r="Y54" s="167" t="n">
        <f aca="false">IF(AND(ISNUMBER(RESULTADOS!C54),ISNUMBER(RESULTADOS!E54),ISNUMBER(C54),ISNUMBER(E54),C54=RESULTADOS!C54,E54=RESULTADOS!E54),2,0)</f>
        <v>0</v>
      </c>
      <c r="Z54" s="167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67" t="n">
        <f aca="false">IF(AND(ISNUMBER(RESULTADOS!C54),ISNUMBER(RESULTADOS!E54),ISNUMBER(C54),ISNUMBER(E54),AND(Z54=1,OR(C54=RESULTADOS!C54,E54=RESULTADOS!E54))),1,0)</f>
        <v>0</v>
      </c>
      <c r="AB54" s="142"/>
      <c r="AC54" s="142" t="s">
        <v>141</v>
      </c>
      <c r="AD54" s="142" t="s">
        <v>142</v>
      </c>
      <c r="AE54" s="142" t="s">
        <v>143</v>
      </c>
      <c r="AF54" s="142" t="str">
        <f aca="false">IF(ISNUMBER(FIND("C", AC54, 1)), SUBSTITUTE(AC54, "C", "E"), SUBSTITUTE(AC54, "E", "C"))</f>
        <v>E53</v>
      </c>
      <c r="AG54" s="142" t="str">
        <f aca="false">IF(ISNUMBER(FIND("C", AD54, 1)), SUBSTITUTE(AD54, "C", "E"), SUBSTITUTE(AD54, "E", "C"))</f>
        <v>E55</v>
      </c>
      <c r="AH54" s="14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54" t="s">
        <v>137</v>
      </c>
      <c r="C55" s="155"/>
      <c r="D55" s="153" t="s">
        <v>29</v>
      </c>
      <c r="E55" s="156"/>
      <c r="F55" s="168" t="s">
        <v>139</v>
      </c>
      <c r="G55" s="139"/>
      <c r="H55" s="158" t="n">
        <v>46194</v>
      </c>
      <c r="I55" s="159" t="n">
        <v>0.666666666666667</v>
      </c>
      <c r="J55" s="160"/>
      <c r="K55" s="183" t="s">
        <v>138</v>
      </c>
      <c r="L55" s="153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53" t="n">
        <f aca="false">N55-O55</f>
        <v>0</v>
      </c>
      <c r="N55" s="153" t="n">
        <f aca="true">SUM(INDIRECT($AC55),INDIRECT($AD55),INDIRECT($AE55))</f>
        <v>0</v>
      </c>
      <c r="O55" s="153" t="n">
        <f aca="true">SUM(INDIRECT($AF55),INDIRECT($AG55),INDIRECT($AH55))</f>
        <v>0</v>
      </c>
      <c r="P55" s="153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53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170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139"/>
      <c r="T55" s="165" t="str">
        <f aca="false">IF(NOT(AND(ISNUMBER(C55),ISNUMBER(E55))),"XXX","")</f>
        <v>XXX</v>
      </c>
      <c r="U55" s="166" t="n">
        <f aca="false">SUM(Y55,Z55,AA55)</f>
        <v>0</v>
      </c>
      <c r="V55" s="166"/>
      <c r="W55" s="166"/>
      <c r="X55" s="166"/>
      <c r="Y55" s="167" t="n">
        <f aca="false">IF(AND(ISNUMBER(RESULTADOS!C55),ISNUMBER(RESULTADOS!E55),ISNUMBER(C55),ISNUMBER(E55),C55=RESULTADOS!C55,E55=RESULTADOS!E55),2,0)</f>
        <v>0</v>
      </c>
      <c r="Z55" s="167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67" t="n">
        <f aca="false">IF(AND(ISNUMBER(RESULTADOS!C55),ISNUMBER(RESULTADOS!E55),ISNUMBER(C55),ISNUMBER(E55),AND(Z55=1,OR(C55=RESULTADOS!C55,E55=RESULTADOS!E55))),1,0)</f>
        <v>0</v>
      </c>
      <c r="AB55" s="142"/>
      <c r="AC55" s="142" t="s">
        <v>144</v>
      </c>
      <c r="AD55" s="142" t="s">
        <v>145</v>
      </c>
      <c r="AE55" s="142" t="s">
        <v>146</v>
      </c>
      <c r="AF55" s="142" t="str">
        <f aca="false">IF(ISNUMBER(FIND("C", AC55, 1)), SUBSTITUTE(AC55, "C", "E"), SUBSTITUTE(AC55, "E", "C"))</f>
        <v>C53</v>
      </c>
      <c r="AG55" s="142" t="str">
        <f aca="false">IF(ISNUMBER(FIND("C", AD55, 1)), SUBSTITUTE(AD55, "C", "E"), SUBSTITUTE(AD55, "E", "C"))</f>
        <v>C56</v>
      </c>
      <c r="AH55" s="14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54" t="s">
        <v>140</v>
      </c>
      <c r="C56" s="155"/>
      <c r="D56" s="153" t="s">
        <v>29</v>
      </c>
      <c r="E56" s="156"/>
      <c r="F56" s="168" t="s">
        <v>138</v>
      </c>
      <c r="G56" s="139"/>
      <c r="H56" s="158" t="n">
        <v>46194</v>
      </c>
      <c r="I56" s="159" t="n">
        <v>0.916666666666667</v>
      </c>
      <c r="J56" s="160"/>
      <c r="K56" s="183" t="s">
        <v>139</v>
      </c>
      <c r="L56" s="153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53" t="n">
        <f aca="false">N56-O56</f>
        <v>0</v>
      </c>
      <c r="N56" s="153" t="n">
        <f aca="true">SUM(INDIRECT($AC56),INDIRECT($AD56),INDIRECT($AE56))</f>
        <v>0</v>
      </c>
      <c r="O56" s="153" t="n">
        <f aca="true">SUM(INDIRECT($AF56),INDIRECT($AG56),INDIRECT($AH56))</f>
        <v>0</v>
      </c>
      <c r="P56" s="153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53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170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139"/>
      <c r="T56" s="165" t="str">
        <f aca="false">IF(NOT(AND(ISNUMBER(C56),ISNUMBER(E56))),"XXX","")</f>
        <v>XXX</v>
      </c>
      <c r="U56" s="166" t="n">
        <f aca="false">SUM(Y56,Z56,AA56)</f>
        <v>0</v>
      </c>
      <c r="V56" s="166"/>
      <c r="W56" s="166"/>
      <c r="X56" s="166"/>
      <c r="Y56" s="167" t="n">
        <f aca="false">IF(AND(ISNUMBER(RESULTADOS!C56),ISNUMBER(RESULTADOS!E56),ISNUMBER(C56),ISNUMBER(E56),C56=RESULTADOS!C56,E56=RESULTADOS!E56),2,0)</f>
        <v>0</v>
      </c>
      <c r="Z56" s="167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67" t="n">
        <f aca="false">IF(AND(ISNUMBER(RESULTADOS!C56),ISNUMBER(RESULTADOS!E56),ISNUMBER(C56),ISNUMBER(E56),AND(Z56=1,OR(C56=RESULTADOS!C56,E56=RESULTADOS!E56))),1,0)</f>
        <v>0</v>
      </c>
      <c r="AB56" s="142"/>
      <c r="AC56" s="142" t="s">
        <v>147</v>
      </c>
      <c r="AD56" s="142" t="s">
        <v>148</v>
      </c>
      <c r="AE56" s="142" t="s">
        <v>149</v>
      </c>
      <c r="AF56" s="142" t="str">
        <f aca="false">IF(ISNUMBER(FIND("C", AC56, 1)), SUBSTITUTE(AC56, "C", "E"), SUBSTITUTE(AC56, "E", "C"))</f>
        <v>E54</v>
      </c>
      <c r="AG56" s="142" t="str">
        <f aca="false">IF(ISNUMBER(FIND("C", AD56, 1)), SUBSTITUTE(AD56, "C", "E"), SUBSTITUTE(AD56, "E", "C"))</f>
        <v>C55</v>
      </c>
      <c r="AH56" s="14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54" t="s">
        <v>138</v>
      </c>
      <c r="C57" s="155"/>
      <c r="D57" s="153" t="s">
        <v>29</v>
      </c>
      <c r="E57" s="156"/>
      <c r="F57" s="168" t="s">
        <v>139</v>
      </c>
      <c r="G57" s="139"/>
      <c r="H57" s="158" t="n">
        <v>46200</v>
      </c>
      <c r="I57" s="159" t="n">
        <v>0</v>
      </c>
      <c r="J57" s="160"/>
      <c r="K57" s="184" t="s">
        <v>140</v>
      </c>
      <c r="L57" s="172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72" t="n">
        <f aca="false">N57-O57</f>
        <v>0</v>
      </c>
      <c r="N57" s="172" t="n">
        <f aca="true">SUM(INDIRECT($AC57),INDIRECT($AD57),INDIRECT($AE57))</f>
        <v>0</v>
      </c>
      <c r="O57" s="172" t="n">
        <f aca="true">SUM(INDIRECT($AF57),INDIRECT($AG57),INDIRECT($AH57))</f>
        <v>0</v>
      </c>
      <c r="P57" s="172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72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73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139"/>
      <c r="T57" s="165" t="str">
        <f aca="false">IF(NOT(AND(ISNUMBER(C57),ISNUMBER(E57))),"XXX","")</f>
        <v>XXX</v>
      </c>
      <c r="U57" s="166" t="n">
        <f aca="false">SUM(Y57,Z57,AA57)</f>
        <v>0</v>
      </c>
      <c r="V57" s="166"/>
      <c r="W57" s="166"/>
      <c r="X57" s="166"/>
      <c r="Y57" s="167" t="n">
        <f aca="false">IF(AND(ISNUMBER(RESULTADOS!C57),ISNUMBER(RESULTADOS!E57),ISNUMBER(C57),ISNUMBER(E57),C57=RESULTADOS!C57,E57=RESULTADOS!E57),2,0)</f>
        <v>0</v>
      </c>
      <c r="Z57" s="167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67" t="n">
        <f aca="false">IF(AND(ISNUMBER(RESULTADOS!C57),ISNUMBER(RESULTADOS!E57),ISNUMBER(C57),ISNUMBER(E57),AND(Z57=1,OR(C57=RESULTADOS!C57,E57=RESULTADOS!E57))),1,0)</f>
        <v>0</v>
      </c>
      <c r="AB57" s="142"/>
      <c r="AC57" s="142" t="s">
        <v>150</v>
      </c>
      <c r="AD57" s="142" t="s">
        <v>151</v>
      </c>
      <c r="AE57" s="142" t="s">
        <v>152</v>
      </c>
      <c r="AF57" s="142" t="str">
        <f aca="false">IF(ISNUMBER(FIND("C", AC57, 1)), SUBSTITUTE(AC57, "C", "E"), SUBSTITUTE(AC57, "E", "C"))</f>
        <v>C54</v>
      </c>
      <c r="AG57" s="142" t="str">
        <f aca="false">IF(ISNUMBER(FIND("C", AD57, 1)), SUBSTITUTE(AD57, "C", "E"), SUBSTITUTE(AD57, "E", "C"))</f>
        <v>E56</v>
      </c>
      <c r="AH57" s="14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174" t="s">
        <v>140</v>
      </c>
      <c r="C58" s="175"/>
      <c r="D58" s="172" t="s">
        <v>29</v>
      </c>
      <c r="E58" s="176"/>
      <c r="F58" s="177" t="s">
        <v>137</v>
      </c>
      <c r="G58" s="139"/>
      <c r="H58" s="178" t="n">
        <v>46200</v>
      </c>
      <c r="I58" s="179" t="n">
        <v>0</v>
      </c>
      <c r="J58" s="160"/>
      <c r="K58" s="180"/>
      <c r="S58" s="139"/>
      <c r="T58" s="165" t="str">
        <f aca="false">IF(NOT(AND(ISNUMBER(C58),ISNUMBER(E58))),"XXX","")</f>
        <v>XXX</v>
      </c>
      <c r="U58" s="166" t="n">
        <f aca="false">SUM(Y58,Z58,AA58)</f>
        <v>0</v>
      </c>
      <c r="V58" s="166"/>
      <c r="W58" s="166"/>
      <c r="X58" s="166"/>
      <c r="Y58" s="167" t="n">
        <f aca="false">IF(AND(ISNUMBER(RESULTADOS!C58),ISNUMBER(RESULTADOS!E58),ISNUMBER(C58),ISNUMBER(E58),C58=RESULTADOS!C58,E58=RESULTADOS!E58),2,0)</f>
        <v>0</v>
      </c>
      <c r="Z58" s="167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67" t="n">
        <f aca="false">IF(AND(ISNUMBER(RESULTADOS!C58),ISNUMBER(RESULTADOS!E58),ISNUMBER(C58),ISNUMBER(E58),AND(Z58=1,OR(C58=RESULTADOS!C58,E58=RESULTADOS!E58))),1,0)</f>
        <v>0</v>
      </c>
      <c r="AB58" s="142"/>
      <c r="AC58" s="142"/>
      <c r="AD58" s="142"/>
      <c r="AE58" s="142"/>
      <c r="AF58" s="142"/>
      <c r="AG58" s="142"/>
      <c r="AH58" s="142"/>
    </row>
    <row r="59" customFormat="false" ht="13.5" hidden="false" customHeight="true" outlineLevel="0" collapsed="false">
      <c r="B59" s="180"/>
      <c r="C59" s="139"/>
      <c r="D59" s="139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39"/>
      <c r="P59" s="139"/>
      <c r="Q59" s="139"/>
      <c r="R59" s="139"/>
      <c r="S59" s="139"/>
      <c r="U59" s="139"/>
      <c r="V59" s="139"/>
      <c r="W59" s="139"/>
      <c r="X59" s="139"/>
      <c r="Y59" s="143"/>
      <c r="Z59" s="143"/>
      <c r="AA59" s="143"/>
      <c r="AB59" s="142"/>
      <c r="AC59" s="142"/>
      <c r="AD59" s="142"/>
      <c r="AE59" s="142"/>
      <c r="AF59" s="142"/>
      <c r="AG59" s="142"/>
      <c r="AH59" s="142"/>
    </row>
    <row r="60" customFormat="false" ht="13.5" hidden="false" customHeight="true" outlineLevel="0" collapsed="false">
      <c r="B60" s="149" t="s">
        <v>153</v>
      </c>
      <c r="C60" s="149"/>
      <c r="D60" s="149"/>
      <c r="E60" s="149"/>
      <c r="F60" s="149"/>
      <c r="G60" s="139"/>
      <c r="H60" s="150" t="s">
        <v>26</v>
      </c>
      <c r="I60" s="151" t="s">
        <v>27</v>
      </c>
      <c r="J60" s="152"/>
      <c r="K60" s="139"/>
      <c r="L60" s="139"/>
      <c r="M60" s="139"/>
      <c r="N60" s="139"/>
      <c r="O60" s="139"/>
      <c r="P60" s="139"/>
      <c r="Q60" s="139"/>
      <c r="R60" s="139"/>
      <c r="S60" s="139"/>
      <c r="U60" s="153"/>
      <c r="V60" s="153"/>
      <c r="W60" s="153"/>
      <c r="X60" s="153"/>
      <c r="Y60" s="167"/>
      <c r="Z60" s="167"/>
      <c r="AA60" s="167"/>
      <c r="AB60" s="142"/>
      <c r="AC60" s="142"/>
      <c r="AD60" s="142"/>
      <c r="AE60" s="142"/>
      <c r="AF60" s="142"/>
      <c r="AG60" s="142"/>
      <c r="AH60" s="142"/>
    </row>
    <row r="61" customFormat="false" ht="13.5" hidden="false" customHeight="true" outlineLevel="0" collapsed="false">
      <c r="B61" s="154" t="s">
        <v>154</v>
      </c>
      <c r="C61" s="155"/>
      <c r="D61" s="153" t="s">
        <v>29</v>
      </c>
      <c r="E61" s="156"/>
      <c r="F61" s="168" t="s">
        <v>155</v>
      </c>
      <c r="G61" s="139"/>
      <c r="H61" s="158" t="n">
        <v>46188</v>
      </c>
      <c r="I61" s="159" t="n">
        <v>0.541666666666667</v>
      </c>
      <c r="J61" s="160"/>
      <c r="K61" s="161"/>
      <c r="L61" s="162" t="s">
        <v>31</v>
      </c>
      <c r="M61" s="162" t="s">
        <v>32</v>
      </c>
      <c r="N61" s="162" t="s">
        <v>33</v>
      </c>
      <c r="O61" s="162" t="s">
        <v>34</v>
      </c>
      <c r="P61" s="162" t="s">
        <v>35</v>
      </c>
      <c r="Q61" s="162" t="s">
        <v>36</v>
      </c>
      <c r="R61" s="163" t="s">
        <v>37</v>
      </c>
      <c r="S61" s="164"/>
      <c r="T61" s="165" t="str">
        <f aca="false">IF(NOT(AND(ISNUMBER(C61),ISNUMBER(E61))),"XXX","")</f>
        <v>XXX</v>
      </c>
      <c r="U61" s="166" t="n">
        <f aca="false">SUM(Y61,Z61,AA61)</f>
        <v>0</v>
      </c>
      <c r="V61" s="166"/>
      <c r="W61" s="166"/>
      <c r="X61" s="166"/>
      <c r="Y61" s="167" t="n">
        <f aca="false">IF(AND(ISNUMBER(RESULTADOS!C61),ISNUMBER(RESULTADOS!E61),ISNUMBER(C61),ISNUMBER(E61),C61=RESULTADOS!C61,E61=RESULTADOS!E61),2,0)</f>
        <v>0</v>
      </c>
      <c r="Z61" s="167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67" t="n">
        <f aca="false">IF(AND(ISNUMBER(RESULTADOS!C61),ISNUMBER(RESULTADOS!E61),ISNUMBER(C61),ISNUMBER(E61),AND(Z61=1,OR(C61=RESULTADOS!C61,E61=RESULTADOS!E61))),1,0)</f>
        <v>0</v>
      </c>
      <c r="AB61" s="142"/>
      <c r="AC61" s="142"/>
      <c r="AD61" s="142"/>
      <c r="AE61" s="142"/>
      <c r="AF61" s="142"/>
      <c r="AG61" s="142"/>
      <c r="AH61" s="142"/>
    </row>
    <row r="62" customFormat="false" ht="13.5" hidden="false" customHeight="true" outlineLevel="0" collapsed="false">
      <c r="B62" s="154" t="s">
        <v>156</v>
      </c>
      <c r="C62" s="155"/>
      <c r="D62" s="153" t="s">
        <v>29</v>
      </c>
      <c r="E62" s="156"/>
      <c r="F62" s="168" t="s">
        <v>157</v>
      </c>
      <c r="G62" s="139"/>
      <c r="H62" s="158" t="n">
        <v>46188</v>
      </c>
      <c r="I62" s="159" t="n">
        <v>0.791666666666667</v>
      </c>
      <c r="J62" s="160"/>
      <c r="K62" s="183" t="s">
        <v>156</v>
      </c>
      <c r="L62" s="153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53" t="n">
        <f aca="false">N62-O62</f>
        <v>0</v>
      </c>
      <c r="N62" s="153" t="n">
        <f aca="true">SUM(INDIRECT($AC62),INDIRECT($AD62),INDIRECT($AE62))</f>
        <v>0</v>
      </c>
      <c r="O62" s="153" t="n">
        <f aca="true">SUM(INDIRECT($AF62),INDIRECT($AG62),INDIRECT($AH62))</f>
        <v>0</v>
      </c>
      <c r="P62" s="153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53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70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164"/>
      <c r="T62" s="165" t="str">
        <f aca="false">IF(NOT(AND(ISNUMBER(C62),ISNUMBER(E62))),"XXX","")</f>
        <v>XXX</v>
      </c>
      <c r="U62" s="166" t="n">
        <f aca="false">SUM(Y62,Z62,AA62)</f>
        <v>0</v>
      </c>
      <c r="V62" s="166"/>
      <c r="W62" s="166"/>
      <c r="X62" s="166"/>
      <c r="Y62" s="167" t="n">
        <f aca="false">IF(AND(ISNUMBER(RESULTADOS!C62),ISNUMBER(RESULTADOS!E62),ISNUMBER(C62),ISNUMBER(E62),C62=RESULTADOS!C62,E62=RESULTADOS!E62),2,0)</f>
        <v>0</v>
      </c>
      <c r="Z62" s="167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67" t="n">
        <f aca="false">IF(AND(ISNUMBER(RESULTADOS!C62),ISNUMBER(RESULTADOS!E62),ISNUMBER(C62),ISNUMBER(E62),AND(Z62=1,OR(C62=RESULTADOS!C62,E62=RESULTADOS!E62))),1,0)</f>
        <v>0</v>
      </c>
      <c r="AB62" s="142"/>
      <c r="AC62" s="142" t="s">
        <v>158</v>
      </c>
      <c r="AD62" s="142" t="s">
        <v>159</v>
      </c>
      <c r="AE62" s="142" t="s">
        <v>160</v>
      </c>
      <c r="AF62" s="142" t="str">
        <f aca="false">IF(ISNUMBER(FIND("C", AC62, 1)), SUBSTITUTE(AC62, "C", "E"), SUBSTITUTE(AC62, "E", "C"))</f>
        <v>E62</v>
      </c>
      <c r="AG62" s="142" t="str">
        <f aca="false">IF(ISNUMBER(FIND("C", AD62, 1)), SUBSTITUTE(AD62, "C", "E"), SUBSTITUTE(AD62, "E", "C"))</f>
        <v>C63</v>
      </c>
      <c r="AH62" s="14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54" t="s">
        <v>154</v>
      </c>
      <c r="C63" s="155"/>
      <c r="D63" s="153" t="s">
        <v>29</v>
      </c>
      <c r="E63" s="156"/>
      <c r="F63" s="168" t="s">
        <v>156</v>
      </c>
      <c r="G63" s="139"/>
      <c r="H63" s="158" t="n">
        <v>46194</v>
      </c>
      <c r="I63" s="159" t="n">
        <v>0.541666666666667</v>
      </c>
      <c r="J63" s="160"/>
      <c r="K63" s="183" t="s">
        <v>155</v>
      </c>
      <c r="L63" s="153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53" t="n">
        <f aca="false">N63-O63</f>
        <v>0</v>
      </c>
      <c r="N63" s="153" t="n">
        <f aca="true">SUM(INDIRECT($AC63),INDIRECT($AD63),INDIRECT($AE63))</f>
        <v>0</v>
      </c>
      <c r="O63" s="153" t="n">
        <f aca="true">SUM(INDIRECT($AF63),INDIRECT($AG63),INDIRECT($AH63))</f>
        <v>0</v>
      </c>
      <c r="P63" s="153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53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70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139"/>
      <c r="T63" s="165" t="str">
        <f aca="false">IF(NOT(AND(ISNUMBER(C63),ISNUMBER(E63))),"XXX","")</f>
        <v>XXX</v>
      </c>
      <c r="U63" s="166" t="n">
        <f aca="false">SUM(Y63,Z63,AA63)</f>
        <v>0</v>
      </c>
      <c r="V63" s="166"/>
      <c r="W63" s="166"/>
      <c r="X63" s="166"/>
      <c r="Y63" s="167" t="n">
        <f aca="false">IF(AND(ISNUMBER(RESULTADOS!C63),ISNUMBER(RESULTADOS!E63),ISNUMBER(C63),ISNUMBER(E63),C63=RESULTADOS!C63,E63=RESULTADOS!E63),2,0)</f>
        <v>0</v>
      </c>
      <c r="Z63" s="167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67" t="n">
        <f aca="false">IF(AND(ISNUMBER(RESULTADOS!C63),ISNUMBER(RESULTADOS!E63),ISNUMBER(C63),ISNUMBER(E63),AND(Z63=1,OR(C63=RESULTADOS!C63,E63=RESULTADOS!E63))),1,0)</f>
        <v>0</v>
      </c>
      <c r="AB63" s="142"/>
      <c r="AC63" s="142" t="s">
        <v>161</v>
      </c>
      <c r="AD63" s="142" t="s">
        <v>162</v>
      </c>
      <c r="AE63" s="142" t="s">
        <v>163</v>
      </c>
      <c r="AF63" s="142" t="str">
        <f aca="false">IF(ISNUMBER(FIND("C", AC63, 1)), SUBSTITUTE(AC63, "C", "E"), SUBSTITUTE(AC63, "E", "C"))</f>
        <v>C61</v>
      </c>
      <c r="AG63" s="142" t="str">
        <f aca="false">IF(ISNUMBER(FIND("C", AD63, 1)), SUBSTITUTE(AD63, "C", "E"), SUBSTITUTE(AD63, "E", "C"))</f>
        <v>C64</v>
      </c>
      <c r="AH63" s="14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54" t="s">
        <v>157</v>
      </c>
      <c r="C64" s="155"/>
      <c r="D64" s="153" t="s">
        <v>29</v>
      </c>
      <c r="E64" s="156"/>
      <c r="F64" s="168" t="s">
        <v>155</v>
      </c>
      <c r="G64" s="139"/>
      <c r="H64" s="158" t="n">
        <v>46194</v>
      </c>
      <c r="I64" s="159" t="n">
        <v>0.791666666666667</v>
      </c>
      <c r="J64" s="160"/>
      <c r="K64" s="183" t="s">
        <v>154</v>
      </c>
      <c r="L64" s="153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53" t="n">
        <f aca="false">N64-O64</f>
        <v>0</v>
      </c>
      <c r="N64" s="153" t="n">
        <f aca="true">SUM(INDIRECT($AC64),INDIRECT($AD64),INDIRECT($AE64))</f>
        <v>0</v>
      </c>
      <c r="O64" s="153" t="n">
        <f aca="true">SUM(INDIRECT($AF64),INDIRECT($AG64),INDIRECT($AH64))</f>
        <v>0</v>
      </c>
      <c r="P64" s="153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53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70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39"/>
      <c r="T64" s="165" t="str">
        <f aca="false">IF(NOT(AND(ISNUMBER(C64),ISNUMBER(E64))),"XXX","")</f>
        <v>XXX</v>
      </c>
      <c r="U64" s="166" t="n">
        <f aca="false">SUM(Y64,Z64,AA64)</f>
        <v>0</v>
      </c>
      <c r="V64" s="166"/>
      <c r="W64" s="166"/>
      <c r="X64" s="166"/>
      <c r="Y64" s="167" t="n">
        <f aca="false">IF(AND(ISNUMBER(RESULTADOS!C64),ISNUMBER(RESULTADOS!E64),ISNUMBER(C64),ISNUMBER(E64),C64=RESULTADOS!C64,E64=RESULTADOS!E64),2,0)</f>
        <v>0</v>
      </c>
      <c r="Z64" s="167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67" t="n">
        <f aca="false">IF(AND(ISNUMBER(RESULTADOS!C64),ISNUMBER(RESULTADOS!E64),ISNUMBER(C64),ISNUMBER(E64),AND(Z64=1,OR(C64=RESULTADOS!C64,E64=RESULTADOS!E64))),1,0)</f>
        <v>0</v>
      </c>
      <c r="AB64" s="142"/>
      <c r="AC64" s="142" t="s">
        <v>164</v>
      </c>
      <c r="AD64" s="142" t="s">
        <v>165</v>
      </c>
      <c r="AE64" s="142" t="s">
        <v>166</v>
      </c>
      <c r="AF64" s="142" t="str">
        <f aca="false">IF(ISNUMBER(FIND("C", AC64, 1)), SUBSTITUTE(AC64, "C", "E"), SUBSTITUTE(AC64, "E", "C"))</f>
        <v>E61</v>
      </c>
      <c r="AG64" s="142" t="str">
        <f aca="false">IF(ISNUMBER(FIND("C", AD64, 1)), SUBSTITUTE(AD64, "C", "E"), SUBSTITUTE(AD64, "E", "C"))</f>
        <v>E63</v>
      </c>
      <c r="AH64" s="14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54" t="s">
        <v>155</v>
      </c>
      <c r="C65" s="155"/>
      <c r="D65" s="153" t="s">
        <v>29</v>
      </c>
      <c r="E65" s="156"/>
      <c r="F65" s="168" t="s">
        <v>156</v>
      </c>
      <c r="G65" s="139"/>
      <c r="H65" s="158" t="n">
        <v>46199</v>
      </c>
      <c r="I65" s="159" t="n">
        <v>0.875</v>
      </c>
      <c r="J65" s="160"/>
      <c r="K65" s="184" t="s">
        <v>157</v>
      </c>
      <c r="L65" s="172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172" t="n">
        <f aca="false">N65-O65</f>
        <v>0</v>
      </c>
      <c r="N65" s="172" t="n">
        <f aca="true">SUM(INDIRECT($AC65),INDIRECT($AD65),INDIRECT($AE65))</f>
        <v>0</v>
      </c>
      <c r="O65" s="172" t="n">
        <f aca="true">SUM(INDIRECT($AF65),INDIRECT($AG65),INDIRECT($AH65))</f>
        <v>0</v>
      </c>
      <c r="P65" s="172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172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73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139"/>
      <c r="T65" s="165" t="str">
        <f aca="false">IF(NOT(AND(ISNUMBER(C65),ISNUMBER(E65))),"XXX","")</f>
        <v>XXX</v>
      </c>
      <c r="U65" s="166" t="n">
        <f aca="false">SUM(Y65,Z65,AA65)</f>
        <v>0</v>
      </c>
      <c r="V65" s="166"/>
      <c r="W65" s="166"/>
      <c r="X65" s="166"/>
      <c r="Y65" s="167" t="n">
        <f aca="false">IF(AND(ISNUMBER(RESULTADOS!C65),ISNUMBER(RESULTADOS!E65),ISNUMBER(C65),ISNUMBER(E65),C65=RESULTADOS!C65,E65=RESULTADOS!E65),2,0)</f>
        <v>0</v>
      </c>
      <c r="Z65" s="167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67" t="n">
        <f aca="false">IF(AND(ISNUMBER(RESULTADOS!C65),ISNUMBER(RESULTADOS!E65),ISNUMBER(C65),ISNUMBER(E65),AND(Z65=1,OR(C65=RESULTADOS!C65,E65=RESULTADOS!E65))),1,0)</f>
        <v>0</v>
      </c>
      <c r="AB65" s="142"/>
      <c r="AC65" s="142" t="s">
        <v>167</v>
      </c>
      <c r="AD65" s="142" t="s">
        <v>168</v>
      </c>
      <c r="AE65" s="142" t="s">
        <v>169</v>
      </c>
      <c r="AF65" s="142" t="str">
        <f aca="false">IF(ISNUMBER(FIND("C", AC65, 1)), SUBSTITUTE(AC65, "C", "E"), SUBSTITUTE(AC65, "E", "C"))</f>
        <v>C62</v>
      </c>
      <c r="AG65" s="142" t="str">
        <f aca="false">IF(ISNUMBER(FIND("C", AD65, 1)), SUBSTITUTE(AD65, "C", "E"), SUBSTITUTE(AD65, "E", "C"))</f>
        <v>E64</v>
      </c>
      <c r="AH65" s="14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174" t="s">
        <v>157</v>
      </c>
      <c r="C66" s="175"/>
      <c r="D66" s="172" t="s">
        <v>29</v>
      </c>
      <c r="E66" s="176"/>
      <c r="F66" s="177" t="s">
        <v>154</v>
      </c>
      <c r="G66" s="139"/>
      <c r="H66" s="178" t="n">
        <v>46199</v>
      </c>
      <c r="I66" s="179" t="n">
        <v>0.875</v>
      </c>
      <c r="J66" s="160"/>
      <c r="K66" s="180"/>
      <c r="S66" s="139"/>
      <c r="T66" s="165" t="str">
        <f aca="false">IF(NOT(AND(ISNUMBER(C66),ISNUMBER(E66))),"XXX","")</f>
        <v>XXX</v>
      </c>
      <c r="U66" s="166" t="n">
        <f aca="false">SUM(Y66,Z66,AA66)</f>
        <v>0</v>
      </c>
      <c r="V66" s="166"/>
      <c r="W66" s="166"/>
      <c r="X66" s="166"/>
      <c r="Y66" s="167" t="n">
        <f aca="false">IF(AND(ISNUMBER(RESULTADOS!C66),ISNUMBER(RESULTADOS!E66),ISNUMBER(C66),ISNUMBER(E66),C66=RESULTADOS!C66,E66=RESULTADOS!E66),2,0)</f>
        <v>0</v>
      </c>
      <c r="Z66" s="167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67" t="n">
        <f aca="false">IF(AND(ISNUMBER(RESULTADOS!C66),ISNUMBER(RESULTADOS!E66),ISNUMBER(C66),ISNUMBER(E66),AND(Z66=1,OR(C66=RESULTADOS!C66,E66=RESULTADOS!E66))),1,0)</f>
        <v>0</v>
      </c>
      <c r="AB66" s="142"/>
      <c r="AC66" s="142"/>
      <c r="AD66" s="142"/>
      <c r="AE66" s="142"/>
      <c r="AF66" s="142"/>
      <c r="AG66" s="142"/>
      <c r="AH66" s="142"/>
    </row>
    <row r="67" customFormat="false" ht="12.75" hidden="false" customHeight="true" outlineLevel="0" collapsed="false">
      <c r="C67" s="139"/>
      <c r="D67" s="139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39"/>
      <c r="P67" s="139"/>
      <c r="Q67" s="139"/>
      <c r="R67" s="139"/>
      <c r="S67" s="139"/>
      <c r="T67" s="139"/>
      <c r="U67" s="139"/>
      <c r="V67" s="139"/>
      <c r="W67" s="139"/>
      <c r="X67" s="139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</row>
    <row r="68" customFormat="false" ht="12.75" hidden="false" customHeight="true" outlineLevel="0" collapsed="false">
      <c r="B68" s="149" t="s">
        <v>170</v>
      </c>
      <c r="C68" s="149"/>
      <c r="D68" s="149"/>
      <c r="E68" s="149"/>
      <c r="F68" s="149"/>
      <c r="G68" s="139"/>
      <c r="H68" s="150" t="s">
        <v>26</v>
      </c>
      <c r="I68" s="151" t="s">
        <v>27</v>
      </c>
      <c r="J68" s="152"/>
      <c r="K68" s="139"/>
      <c r="L68" s="139"/>
      <c r="M68" s="139"/>
      <c r="N68" s="139"/>
      <c r="O68" s="139"/>
      <c r="P68" s="139"/>
      <c r="Q68" s="139"/>
      <c r="R68" s="139"/>
      <c r="S68" s="139"/>
      <c r="U68" s="153"/>
      <c r="V68" s="153"/>
      <c r="W68" s="153"/>
      <c r="X68" s="153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</row>
    <row r="69" customFormat="false" ht="12.75" hidden="false" customHeight="true" outlineLevel="0" collapsed="false">
      <c r="B69" s="154" t="s">
        <v>171</v>
      </c>
      <c r="C69" s="155"/>
      <c r="D69" s="153" t="s">
        <v>29</v>
      </c>
      <c r="E69" s="156"/>
      <c r="F69" s="168" t="s">
        <v>172</v>
      </c>
      <c r="G69" s="139"/>
      <c r="H69" s="158" t="n">
        <v>46189</v>
      </c>
      <c r="I69" s="159" t="n">
        <v>0.666666666666667</v>
      </c>
      <c r="J69" s="160"/>
      <c r="K69" s="161"/>
      <c r="L69" s="162" t="s">
        <v>31</v>
      </c>
      <c r="M69" s="162" t="s">
        <v>32</v>
      </c>
      <c r="N69" s="162" t="s">
        <v>33</v>
      </c>
      <c r="O69" s="162" t="s">
        <v>34</v>
      </c>
      <c r="P69" s="162" t="s">
        <v>35</v>
      </c>
      <c r="Q69" s="162" t="s">
        <v>36</v>
      </c>
      <c r="R69" s="163" t="s">
        <v>37</v>
      </c>
      <c r="S69" s="164"/>
      <c r="T69" s="165" t="str">
        <f aca="false">IF(NOT(AND(ISNUMBER(C69),ISNUMBER(E69))),"XXX","")</f>
        <v>XXX</v>
      </c>
      <c r="U69" s="166" t="n">
        <f aca="false">SUM(Y69,Z69,AA69)</f>
        <v>0</v>
      </c>
      <c r="V69" s="166"/>
      <c r="W69" s="166"/>
      <c r="X69" s="166"/>
      <c r="Y69" s="167" t="n">
        <f aca="false">IF(AND(ISNUMBER(RESULTADOS!C69),ISNUMBER(RESULTADOS!E69),ISNUMBER(C69),ISNUMBER(E69),C69=RESULTADOS!C69,E69=RESULTADOS!E69),2,0)</f>
        <v>0</v>
      </c>
      <c r="Z69" s="167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67" t="n">
        <f aca="false">IF(AND(ISNUMBER(RESULTADOS!C69),ISNUMBER(RESULTADOS!E69),ISNUMBER(C69),ISNUMBER(E69),AND(Z69=1,OR(C69=RESULTADOS!C69,E69=RESULTADOS!E69))),1,0)</f>
        <v>0</v>
      </c>
      <c r="AB69" s="142"/>
      <c r="AC69" s="142"/>
      <c r="AD69" s="142"/>
      <c r="AE69" s="142"/>
      <c r="AF69" s="142"/>
      <c r="AG69" s="142"/>
      <c r="AH69" s="142"/>
    </row>
    <row r="70" customFormat="false" ht="12.75" hidden="false" customHeight="true" outlineLevel="0" collapsed="false">
      <c r="B70" s="154" t="s">
        <v>173</v>
      </c>
      <c r="C70" s="155"/>
      <c r="D70" s="153" t="s">
        <v>29</v>
      </c>
      <c r="E70" s="156"/>
      <c r="F70" s="168" t="s">
        <v>174</v>
      </c>
      <c r="G70" s="139"/>
      <c r="H70" s="158" t="n">
        <v>46189</v>
      </c>
      <c r="I70" s="159" t="n">
        <v>0.791666666666667</v>
      </c>
      <c r="J70" s="160"/>
      <c r="K70" s="183" t="s">
        <v>171</v>
      </c>
      <c r="L70" s="153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53" t="n">
        <f aca="false">N70-O70</f>
        <v>0</v>
      </c>
      <c r="N70" s="153" t="n">
        <f aca="true">SUM(INDIRECT($AC70),INDIRECT($AD70),INDIRECT($AE70))</f>
        <v>0</v>
      </c>
      <c r="O70" s="153" t="n">
        <f aca="true">SUM(INDIRECT($AF70),INDIRECT($AG70),INDIRECT($AH70))</f>
        <v>0</v>
      </c>
      <c r="P70" s="153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53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70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164"/>
      <c r="T70" s="165" t="str">
        <f aca="false">IF(NOT(AND(ISNUMBER(C70),ISNUMBER(E70))),"XXX","")</f>
        <v>XXX</v>
      </c>
      <c r="U70" s="166" t="n">
        <f aca="false">SUM(Y70,Z70,AA70)</f>
        <v>0</v>
      </c>
      <c r="V70" s="166"/>
      <c r="W70" s="166"/>
      <c r="X70" s="166"/>
      <c r="Y70" s="167" t="n">
        <f aca="false">IF(AND(ISNUMBER(RESULTADOS!C70),ISNUMBER(RESULTADOS!E70),ISNUMBER(C70),ISNUMBER(E70),C70=RESULTADOS!C70,E70=RESULTADOS!E70),2,0)</f>
        <v>0</v>
      </c>
      <c r="Z70" s="167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67" t="n">
        <f aca="false">IF(AND(ISNUMBER(RESULTADOS!C70),ISNUMBER(RESULTADOS!E70),ISNUMBER(C70),ISNUMBER(E70),AND(Z70=1,OR(C70=RESULTADOS!C70,E70=RESULTADOS!E70))),1,0)</f>
        <v>0</v>
      </c>
      <c r="AB70" s="142"/>
      <c r="AC70" s="142" t="s">
        <v>175</v>
      </c>
      <c r="AD70" s="142" t="s">
        <v>176</v>
      </c>
      <c r="AE70" s="142" t="s">
        <v>177</v>
      </c>
      <c r="AF70" s="142" t="str">
        <f aca="false">IF(ISNUMBER(FIND("C", AC70, 1)), SUBSTITUTE(AC70, "C", "E"), SUBSTITUTE(AC70, "E", "C"))</f>
        <v>E69</v>
      </c>
      <c r="AG70" s="142" t="str">
        <f aca="false">IF(ISNUMBER(FIND("C", AD70, 1)), SUBSTITUTE(AD70, "C", "E"), SUBSTITUTE(AD70, "E", "C"))</f>
        <v>E71</v>
      </c>
      <c r="AH70" s="14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54" t="s">
        <v>171</v>
      </c>
      <c r="C71" s="155"/>
      <c r="D71" s="153" t="s">
        <v>29</v>
      </c>
      <c r="E71" s="156"/>
      <c r="F71" s="168" t="s">
        <v>173</v>
      </c>
      <c r="G71" s="139"/>
      <c r="H71" s="158" t="n">
        <v>46195</v>
      </c>
      <c r="I71" s="159" t="n">
        <v>0.75</v>
      </c>
      <c r="J71" s="160"/>
      <c r="K71" s="183" t="s">
        <v>173</v>
      </c>
      <c r="L71" s="153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53" t="n">
        <f aca="false">N71-O71</f>
        <v>0</v>
      </c>
      <c r="N71" s="153" t="n">
        <f aca="true">SUM(INDIRECT($AC71),INDIRECT($AD71),INDIRECT($AE71))</f>
        <v>0</v>
      </c>
      <c r="O71" s="153" t="n">
        <f aca="true">SUM(INDIRECT($AF71),INDIRECT($AG71),INDIRECT($AH71))</f>
        <v>0</v>
      </c>
      <c r="P71" s="153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53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70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139"/>
      <c r="T71" s="165" t="str">
        <f aca="false">IF(NOT(AND(ISNUMBER(C71),ISNUMBER(E71))),"XXX","")</f>
        <v>XXX</v>
      </c>
      <c r="U71" s="166" t="n">
        <f aca="false">SUM(Y71,Z71,AA71)</f>
        <v>0</v>
      </c>
      <c r="V71" s="166"/>
      <c r="W71" s="166"/>
      <c r="X71" s="166"/>
      <c r="Y71" s="167" t="n">
        <f aca="false">IF(AND(ISNUMBER(RESULTADOS!C71),ISNUMBER(RESULTADOS!E71),ISNUMBER(C71),ISNUMBER(E71),C71=RESULTADOS!C71,E71=RESULTADOS!E71),2,0)</f>
        <v>0</v>
      </c>
      <c r="Z71" s="167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67" t="n">
        <f aca="false">IF(AND(ISNUMBER(RESULTADOS!C71),ISNUMBER(RESULTADOS!E71),ISNUMBER(C71),ISNUMBER(E71),AND(Z71=1,OR(C71=RESULTADOS!C71,E71=RESULTADOS!E71))),1,0)</f>
        <v>0</v>
      </c>
      <c r="AB71" s="142"/>
      <c r="AC71" s="142" t="s">
        <v>178</v>
      </c>
      <c r="AD71" s="142" t="s">
        <v>179</v>
      </c>
      <c r="AE71" s="142" t="s">
        <v>180</v>
      </c>
      <c r="AF71" s="142" t="str">
        <f aca="false">IF(ISNUMBER(FIND("C", AC71, 1)), SUBSTITUTE(AC71, "C", "E"), SUBSTITUTE(AC71, "E", "C"))</f>
        <v>E70</v>
      </c>
      <c r="AG71" s="142" t="str">
        <f aca="false">IF(ISNUMBER(FIND("C", AD71, 1)), SUBSTITUTE(AD71, "C", "E"), SUBSTITUTE(AD71, "E", "C"))</f>
        <v>C71</v>
      </c>
      <c r="AH71" s="14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54" t="s">
        <v>174</v>
      </c>
      <c r="C72" s="155"/>
      <c r="D72" s="153" t="s">
        <v>29</v>
      </c>
      <c r="E72" s="156"/>
      <c r="F72" s="168" t="s">
        <v>172</v>
      </c>
      <c r="G72" s="139"/>
      <c r="H72" s="158" t="n">
        <v>46195</v>
      </c>
      <c r="I72" s="159" t="n">
        <v>0.875</v>
      </c>
      <c r="J72" s="160"/>
      <c r="K72" s="183" t="s">
        <v>174</v>
      </c>
      <c r="L72" s="153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53" t="n">
        <f aca="false">N72-O72</f>
        <v>0</v>
      </c>
      <c r="N72" s="153" t="n">
        <f aca="true">SUM(INDIRECT($AC72),INDIRECT($AD72),INDIRECT($AE72))</f>
        <v>0</v>
      </c>
      <c r="O72" s="153" t="n">
        <f aca="true">SUM(INDIRECT($AF72),INDIRECT($AG72),INDIRECT($AH72))</f>
        <v>0</v>
      </c>
      <c r="P72" s="153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53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170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139"/>
      <c r="T72" s="165" t="str">
        <f aca="false">IF(NOT(AND(ISNUMBER(C72),ISNUMBER(E72))),"XXX","")</f>
        <v>XXX</v>
      </c>
      <c r="U72" s="166" t="n">
        <f aca="false">SUM(Y72,Z72,AA72)</f>
        <v>0</v>
      </c>
      <c r="V72" s="166"/>
      <c r="W72" s="166"/>
      <c r="X72" s="166"/>
      <c r="Y72" s="167" t="n">
        <f aca="false">IF(AND(ISNUMBER(RESULTADOS!C72),ISNUMBER(RESULTADOS!E72),ISNUMBER(C72),ISNUMBER(E72),C72=RESULTADOS!C72,E72=RESULTADOS!E72),2,0)</f>
        <v>0</v>
      </c>
      <c r="Z72" s="167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67" t="n">
        <f aca="false">IF(AND(ISNUMBER(RESULTADOS!C72),ISNUMBER(RESULTADOS!E72),ISNUMBER(C72),ISNUMBER(E72),AND(Z72=1,OR(C72=RESULTADOS!C72,E72=RESULTADOS!E72))),1,0)</f>
        <v>0</v>
      </c>
      <c r="AB72" s="142"/>
      <c r="AC72" s="142" t="s">
        <v>181</v>
      </c>
      <c r="AD72" s="142" t="s">
        <v>182</v>
      </c>
      <c r="AE72" s="142" t="s">
        <v>183</v>
      </c>
      <c r="AF72" s="142" t="str">
        <f aca="false">IF(ISNUMBER(FIND("C", AC72, 1)), SUBSTITUTE(AC72, "C", "E"), SUBSTITUTE(AC72, "E", "C"))</f>
        <v>C70</v>
      </c>
      <c r="AG72" s="142" t="str">
        <f aca="false">IF(ISNUMBER(FIND("C", AD72, 1)), SUBSTITUTE(AD72, "C", "E"), SUBSTITUTE(AD72, "E", "C"))</f>
        <v>E72</v>
      </c>
      <c r="AH72" s="14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54" t="s">
        <v>172</v>
      </c>
      <c r="C73" s="155"/>
      <c r="D73" s="153" t="s">
        <v>29</v>
      </c>
      <c r="E73" s="156"/>
      <c r="F73" s="168" t="s">
        <v>173</v>
      </c>
      <c r="G73" s="139"/>
      <c r="H73" s="158" t="n">
        <v>46199</v>
      </c>
      <c r="I73" s="159" t="n">
        <v>0.666666666666667</v>
      </c>
      <c r="J73" s="160"/>
      <c r="K73" s="184" t="s">
        <v>172</v>
      </c>
      <c r="L73" s="172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172" t="n">
        <f aca="false">N73-O73</f>
        <v>0</v>
      </c>
      <c r="N73" s="172" t="n">
        <f aca="true">SUM(INDIRECT($AC73),INDIRECT($AD73),INDIRECT($AE73))</f>
        <v>0</v>
      </c>
      <c r="O73" s="172" t="n">
        <f aca="true">SUM(INDIRECT($AF73),INDIRECT($AG73),INDIRECT($AH73))</f>
        <v>0</v>
      </c>
      <c r="P73" s="172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172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173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139"/>
      <c r="T73" s="165" t="str">
        <f aca="false">IF(NOT(AND(ISNUMBER(C73),ISNUMBER(E73))),"XXX","")</f>
        <v>XXX</v>
      </c>
      <c r="U73" s="166" t="n">
        <f aca="false">SUM(Y73,Z73,AA73)</f>
        <v>0</v>
      </c>
      <c r="V73" s="166"/>
      <c r="W73" s="166"/>
      <c r="X73" s="166"/>
      <c r="Y73" s="167" t="n">
        <f aca="false">IF(AND(ISNUMBER(RESULTADOS!C73),ISNUMBER(RESULTADOS!E73),ISNUMBER(C73),ISNUMBER(E73),C73=RESULTADOS!C73,E73=RESULTADOS!E73),2,0)</f>
        <v>0</v>
      </c>
      <c r="Z73" s="167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67" t="n">
        <f aca="false">IF(AND(ISNUMBER(RESULTADOS!C73),ISNUMBER(RESULTADOS!E73),ISNUMBER(C73),ISNUMBER(E73),AND(Z73=1,OR(C73=RESULTADOS!C73,E73=RESULTADOS!E73))),1,0)</f>
        <v>0</v>
      </c>
      <c r="AB73" s="142"/>
      <c r="AC73" s="142" t="s">
        <v>184</v>
      </c>
      <c r="AD73" s="142" t="s">
        <v>185</v>
      </c>
      <c r="AE73" s="142" t="s">
        <v>186</v>
      </c>
      <c r="AF73" s="142" t="str">
        <f aca="false">IF(ISNUMBER(FIND("C", AC73, 1)), SUBSTITUTE(AC73, "C", "E"), SUBSTITUTE(AC73, "E", "C"))</f>
        <v>C69</v>
      </c>
      <c r="AG73" s="142" t="str">
        <f aca="false">IF(ISNUMBER(FIND("C", AD73, 1)), SUBSTITUTE(AD73, "C", "E"), SUBSTITUTE(AD73, "E", "C"))</f>
        <v>C72</v>
      </c>
      <c r="AH73" s="14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174" t="s">
        <v>174</v>
      </c>
      <c r="C74" s="175"/>
      <c r="D74" s="172" t="s">
        <v>29</v>
      </c>
      <c r="E74" s="176"/>
      <c r="F74" s="177" t="s">
        <v>171</v>
      </c>
      <c r="G74" s="139"/>
      <c r="H74" s="178" t="n">
        <v>46199</v>
      </c>
      <c r="I74" s="179" t="n">
        <v>0.666666666666667</v>
      </c>
      <c r="J74" s="160"/>
      <c r="K74" s="180"/>
      <c r="S74" s="139"/>
      <c r="T74" s="165" t="str">
        <f aca="false">IF(NOT(AND(ISNUMBER(C74),ISNUMBER(E74))),"XXX","")</f>
        <v>XXX</v>
      </c>
      <c r="U74" s="166" t="n">
        <f aca="false">SUM(Y74,Z74,AA74)</f>
        <v>0</v>
      </c>
      <c r="V74" s="166"/>
      <c r="W74" s="166"/>
      <c r="X74" s="166"/>
      <c r="Y74" s="167" t="n">
        <f aca="false">IF(AND(ISNUMBER(RESULTADOS!C74),ISNUMBER(RESULTADOS!E74),ISNUMBER(C74),ISNUMBER(E74),C74=RESULTADOS!C74,E74=RESULTADOS!E74),2,0)</f>
        <v>0</v>
      </c>
      <c r="Z74" s="167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67" t="n">
        <f aca="false">IF(AND(ISNUMBER(RESULTADOS!C74),ISNUMBER(RESULTADOS!E74),ISNUMBER(C74),ISNUMBER(E74),AND(Z74=1,OR(C74=RESULTADOS!C74,E74=RESULTADOS!E74))),1,0)</f>
        <v>0</v>
      </c>
      <c r="AB74" s="142"/>
      <c r="AC74" s="142"/>
      <c r="AD74" s="142"/>
      <c r="AE74" s="142"/>
      <c r="AF74" s="142"/>
      <c r="AG74" s="142"/>
      <c r="AH74" s="142"/>
    </row>
    <row r="75" customFormat="false" ht="12.75" hidden="false" customHeight="true" outlineLevel="0" collapsed="false">
      <c r="B75" s="180"/>
      <c r="C75" s="139"/>
      <c r="D75" s="139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39"/>
      <c r="P75" s="139"/>
      <c r="Q75" s="139"/>
      <c r="R75" s="139"/>
      <c r="S75" s="139"/>
      <c r="U75" s="139"/>
      <c r="V75" s="139"/>
      <c r="W75" s="139"/>
      <c r="X75" s="139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</row>
    <row r="76" customFormat="false" ht="12.75" hidden="false" customHeight="true" outlineLevel="0" collapsed="false">
      <c r="B76" s="149" t="s">
        <v>187</v>
      </c>
      <c r="C76" s="149"/>
      <c r="D76" s="149"/>
      <c r="E76" s="149"/>
      <c r="F76" s="149"/>
      <c r="G76" s="139"/>
      <c r="H76" s="150" t="s">
        <v>26</v>
      </c>
      <c r="I76" s="151" t="s">
        <v>27</v>
      </c>
      <c r="J76" s="152"/>
      <c r="K76" s="139"/>
      <c r="L76" s="139"/>
      <c r="M76" s="139"/>
      <c r="N76" s="139"/>
      <c r="O76" s="139"/>
      <c r="P76" s="139"/>
      <c r="Q76" s="139"/>
      <c r="R76" s="139"/>
      <c r="S76" s="139"/>
      <c r="U76" s="153"/>
      <c r="V76" s="153"/>
      <c r="W76" s="153"/>
      <c r="X76" s="153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</row>
    <row r="77" customFormat="false" ht="12.75" hidden="false" customHeight="true" outlineLevel="0" collapsed="false">
      <c r="B77" s="154" t="s">
        <v>188</v>
      </c>
      <c r="C77" s="155"/>
      <c r="D77" s="153" t="s">
        <v>29</v>
      </c>
      <c r="E77" s="156"/>
      <c r="F77" s="168" t="s">
        <v>189</v>
      </c>
      <c r="G77" s="139"/>
      <c r="H77" s="158" t="n">
        <v>46189</v>
      </c>
      <c r="I77" s="159" t="n">
        <v>0.916666666666667</v>
      </c>
      <c r="J77" s="160"/>
      <c r="K77" s="161"/>
      <c r="L77" s="162" t="s">
        <v>31</v>
      </c>
      <c r="M77" s="162" t="s">
        <v>32</v>
      </c>
      <c r="N77" s="162" t="s">
        <v>33</v>
      </c>
      <c r="O77" s="162" t="s">
        <v>34</v>
      </c>
      <c r="P77" s="162" t="s">
        <v>35</v>
      </c>
      <c r="Q77" s="162" t="s">
        <v>36</v>
      </c>
      <c r="R77" s="163" t="s">
        <v>37</v>
      </c>
      <c r="S77" s="164"/>
      <c r="T77" s="165" t="str">
        <f aca="false">IF(NOT(AND(ISNUMBER(C77),ISNUMBER(E77))),"XXX","")</f>
        <v>XXX</v>
      </c>
      <c r="U77" s="166" t="n">
        <f aca="false">SUM(Y77,Z77,AA77)</f>
        <v>0</v>
      </c>
      <c r="V77" s="166"/>
      <c r="W77" s="166"/>
      <c r="X77" s="166"/>
      <c r="Y77" s="167" t="n">
        <f aca="false">IF(AND(ISNUMBER(RESULTADOS!C77),ISNUMBER(RESULTADOS!E77),ISNUMBER(C77),ISNUMBER(E77),C77=RESULTADOS!C77,E77=RESULTADOS!E77),2,0)</f>
        <v>0</v>
      </c>
      <c r="Z77" s="167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67" t="n">
        <f aca="false">IF(AND(ISNUMBER(RESULTADOS!C77),ISNUMBER(RESULTADOS!E77),ISNUMBER(C77),ISNUMBER(E77),AND(Z77=1,OR(C77=RESULTADOS!C77,E77=RESULTADOS!E77))),1,0)</f>
        <v>0</v>
      </c>
      <c r="AB77" s="142"/>
      <c r="AC77" s="142"/>
      <c r="AD77" s="142"/>
      <c r="AE77" s="142"/>
      <c r="AF77" s="142"/>
      <c r="AG77" s="142"/>
      <c r="AH77" s="142"/>
    </row>
    <row r="78" customFormat="false" ht="12.75" hidden="false" customHeight="true" outlineLevel="0" collapsed="false">
      <c r="B78" s="154" t="s">
        <v>190</v>
      </c>
      <c r="C78" s="155"/>
      <c r="D78" s="153" t="s">
        <v>29</v>
      </c>
      <c r="E78" s="156"/>
      <c r="F78" s="168" t="s">
        <v>191</v>
      </c>
      <c r="G78" s="139"/>
      <c r="H78" s="158" t="n">
        <v>46190</v>
      </c>
      <c r="I78" s="159" t="n">
        <v>0.0416666666666667</v>
      </c>
      <c r="J78" s="160"/>
      <c r="K78" s="183" t="s">
        <v>188</v>
      </c>
      <c r="L78" s="153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53" t="n">
        <f aca="false">N78-O78</f>
        <v>0</v>
      </c>
      <c r="N78" s="153" t="n">
        <f aca="true">SUM(INDIRECT($AC78),INDIRECT($AD78),INDIRECT($AE78))</f>
        <v>0</v>
      </c>
      <c r="O78" s="153" t="n">
        <f aca="true">SUM(INDIRECT($AF78),INDIRECT($AG78),INDIRECT($AH78))</f>
        <v>0</v>
      </c>
      <c r="P78" s="153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53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70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164"/>
      <c r="T78" s="165" t="str">
        <f aca="false">IF(NOT(AND(ISNUMBER(C78),ISNUMBER(E78))),"XXX","")</f>
        <v>XXX</v>
      </c>
      <c r="U78" s="166" t="n">
        <f aca="false">SUM(Y78,Z78,AA78)</f>
        <v>0</v>
      </c>
      <c r="V78" s="166"/>
      <c r="W78" s="166"/>
      <c r="X78" s="166"/>
      <c r="Y78" s="167" t="n">
        <f aca="false">IF(AND(ISNUMBER(RESULTADOS!C78),ISNUMBER(RESULTADOS!E78),ISNUMBER(C78),ISNUMBER(E78),C78=RESULTADOS!C78,E78=RESULTADOS!E78),2,0)</f>
        <v>0</v>
      </c>
      <c r="Z78" s="167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67" t="n">
        <f aca="false">IF(AND(ISNUMBER(RESULTADOS!C78),ISNUMBER(RESULTADOS!E78),ISNUMBER(C78),ISNUMBER(E78),AND(Z78=1,OR(C78=RESULTADOS!C78,E78=RESULTADOS!E78))),1,0)</f>
        <v>0</v>
      </c>
      <c r="AB78" s="142"/>
      <c r="AC78" s="142" t="s">
        <v>192</v>
      </c>
      <c r="AD78" s="142" t="s">
        <v>193</v>
      </c>
      <c r="AE78" s="142" t="s">
        <v>194</v>
      </c>
      <c r="AF78" s="142" t="str">
        <f aca="false">IF(ISNUMBER(FIND("C", AC78, 1)), SUBSTITUTE(AC78, "C", "E"), SUBSTITUTE(AC78, "E", "C"))</f>
        <v>E77</v>
      </c>
      <c r="AG78" s="142" t="str">
        <f aca="false">IF(ISNUMBER(FIND("C", AD78, 1)), SUBSTITUTE(AD78, "C", "E"), SUBSTITUTE(AD78, "E", "C"))</f>
        <v>E79</v>
      </c>
      <c r="AH78" s="14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54" t="s">
        <v>188</v>
      </c>
      <c r="C79" s="155"/>
      <c r="D79" s="153" t="s">
        <v>29</v>
      </c>
      <c r="E79" s="156"/>
      <c r="F79" s="168" t="s">
        <v>190</v>
      </c>
      <c r="G79" s="139"/>
      <c r="H79" s="158" t="n">
        <v>46195</v>
      </c>
      <c r="I79" s="159" t="n">
        <v>0.583333333333333</v>
      </c>
      <c r="J79" s="160"/>
      <c r="K79" s="183" t="s">
        <v>189</v>
      </c>
      <c r="L79" s="153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53" t="n">
        <f aca="false">N79-O79</f>
        <v>0</v>
      </c>
      <c r="N79" s="153" t="n">
        <f aca="true">SUM(INDIRECT($AC79),INDIRECT($AD79),INDIRECT($AE79))</f>
        <v>0</v>
      </c>
      <c r="O79" s="153" t="n">
        <f aca="true">SUM(INDIRECT($AF79),INDIRECT($AG79),INDIRECT($AH79))</f>
        <v>0</v>
      </c>
      <c r="P79" s="153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53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170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139"/>
      <c r="T79" s="165" t="str">
        <f aca="false">IF(NOT(AND(ISNUMBER(C79),ISNUMBER(E79))),"XXX","")</f>
        <v>XXX</v>
      </c>
      <c r="U79" s="166" t="n">
        <f aca="false">SUM(Y79,Z79,AA79)</f>
        <v>0</v>
      </c>
      <c r="V79" s="166"/>
      <c r="W79" s="166"/>
      <c r="X79" s="166"/>
      <c r="Y79" s="167" t="n">
        <f aca="false">IF(AND(ISNUMBER(RESULTADOS!C79),ISNUMBER(RESULTADOS!E79),ISNUMBER(C79),ISNUMBER(E79),C79=RESULTADOS!C79,E79=RESULTADOS!E79),2,0)</f>
        <v>0</v>
      </c>
      <c r="Z79" s="167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67" t="n">
        <f aca="false">IF(AND(ISNUMBER(RESULTADOS!C79),ISNUMBER(RESULTADOS!E79),ISNUMBER(C79),ISNUMBER(E79),AND(Z79=1,OR(C79=RESULTADOS!C79,E79=RESULTADOS!E79))),1,0)</f>
        <v>0</v>
      </c>
      <c r="AB79" s="142"/>
      <c r="AC79" s="142" t="s">
        <v>195</v>
      </c>
      <c r="AD79" s="142" t="s">
        <v>196</v>
      </c>
      <c r="AE79" s="142" t="s">
        <v>197</v>
      </c>
      <c r="AF79" s="142" t="str">
        <f aca="false">IF(ISNUMBER(FIND("C", AC79, 1)), SUBSTITUTE(AC79, "C", "E"), SUBSTITUTE(AC79, "E", "C"))</f>
        <v>C77</v>
      </c>
      <c r="AG79" s="142" t="str">
        <f aca="false">IF(ISNUMBER(FIND("C", AD79, 1)), SUBSTITUTE(AD79, "C", "E"), SUBSTITUTE(AD79, "E", "C"))</f>
        <v>C80</v>
      </c>
      <c r="AH79" s="14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54" t="s">
        <v>191</v>
      </c>
      <c r="C80" s="155"/>
      <c r="D80" s="153" t="s">
        <v>29</v>
      </c>
      <c r="E80" s="156"/>
      <c r="F80" s="168" t="s">
        <v>189</v>
      </c>
      <c r="G80" s="139"/>
      <c r="H80" s="158" t="n">
        <v>46196</v>
      </c>
      <c r="I80" s="159" t="n">
        <v>0</v>
      </c>
      <c r="J80" s="160"/>
      <c r="K80" s="183" t="s">
        <v>191</v>
      </c>
      <c r="L80" s="153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53" t="n">
        <f aca="false">N80-O80</f>
        <v>0</v>
      </c>
      <c r="N80" s="153" t="n">
        <f aca="true">SUM(INDIRECT($AC80),INDIRECT($AD80),INDIRECT($AE80))</f>
        <v>0</v>
      </c>
      <c r="O80" s="153" t="n">
        <f aca="true">SUM(INDIRECT($AF80),INDIRECT($AG80),INDIRECT($AH80))</f>
        <v>0</v>
      </c>
      <c r="P80" s="153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53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170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139"/>
      <c r="T80" s="165" t="str">
        <f aca="false">IF(NOT(AND(ISNUMBER(C80),ISNUMBER(E80))),"XXX","")</f>
        <v>XXX</v>
      </c>
      <c r="U80" s="166" t="n">
        <f aca="false">SUM(Y80,Z80,AA80)</f>
        <v>0</v>
      </c>
      <c r="V80" s="166"/>
      <c r="W80" s="166"/>
      <c r="X80" s="166"/>
      <c r="Y80" s="167" t="n">
        <f aca="false">IF(AND(ISNUMBER(RESULTADOS!C80),ISNUMBER(RESULTADOS!E80),ISNUMBER(C80),ISNUMBER(E80),C80=RESULTADOS!C80,E80=RESULTADOS!E80),2,0)</f>
        <v>0</v>
      </c>
      <c r="Z80" s="167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67" t="n">
        <f aca="false">IF(AND(ISNUMBER(RESULTADOS!C80),ISNUMBER(RESULTADOS!E80),ISNUMBER(C80),ISNUMBER(E80),AND(Z80=1,OR(C80=RESULTADOS!C80,E80=RESULTADOS!E80))),1,0)</f>
        <v>0</v>
      </c>
      <c r="AB80" s="142"/>
      <c r="AC80" s="142" t="s">
        <v>198</v>
      </c>
      <c r="AD80" s="142" t="s">
        <v>199</v>
      </c>
      <c r="AE80" s="142" t="s">
        <v>200</v>
      </c>
      <c r="AF80" s="142" t="str">
        <f aca="false">IF(ISNUMBER(FIND("C", AC80, 1)), SUBSTITUTE(AC80, "C", "E"), SUBSTITUTE(AC80, "E", "C"))</f>
        <v>C78</v>
      </c>
      <c r="AG80" s="142" t="str">
        <f aca="false">IF(ISNUMBER(FIND("C", AD80, 1)), SUBSTITUTE(AD80, "C", "E"), SUBSTITUTE(AD80, "E", "C"))</f>
        <v>E80</v>
      </c>
      <c r="AH80" s="14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54" t="s">
        <v>191</v>
      </c>
      <c r="C81" s="155"/>
      <c r="D81" s="153" t="s">
        <v>29</v>
      </c>
      <c r="E81" s="156"/>
      <c r="F81" s="168" t="s">
        <v>188</v>
      </c>
      <c r="G81" s="139"/>
      <c r="H81" s="158" t="n">
        <v>46200</v>
      </c>
      <c r="I81" s="159" t="n">
        <v>0.958333333333333</v>
      </c>
      <c r="J81" s="160"/>
      <c r="K81" s="184" t="s">
        <v>190</v>
      </c>
      <c r="L81" s="172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172" t="n">
        <f aca="false">N81-O81</f>
        <v>0</v>
      </c>
      <c r="N81" s="172" t="n">
        <f aca="true">SUM(INDIRECT($AC81),INDIRECT($AD81),INDIRECT($AE81))</f>
        <v>0</v>
      </c>
      <c r="O81" s="172" t="n">
        <f aca="true">SUM(INDIRECT($AF81),INDIRECT($AG81),INDIRECT($AH81))</f>
        <v>0</v>
      </c>
      <c r="P81" s="172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172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173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139"/>
      <c r="T81" s="165" t="str">
        <f aca="false">IF(NOT(AND(ISNUMBER(C81),ISNUMBER(E81))),"XXX","")</f>
        <v>XXX</v>
      </c>
      <c r="U81" s="166" t="n">
        <f aca="false">SUM(Y81,Z81,AA81)</f>
        <v>0</v>
      </c>
      <c r="V81" s="166"/>
      <c r="W81" s="166"/>
      <c r="X81" s="166"/>
      <c r="Y81" s="167" t="n">
        <f aca="false">IF(AND(ISNUMBER(RESULTADOS!C81),ISNUMBER(RESULTADOS!E81),ISNUMBER(C81),ISNUMBER(E81),C81=RESULTADOS!C81,E81=RESULTADOS!E81),2,0)</f>
        <v>0</v>
      </c>
      <c r="Z81" s="167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67" t="n">
        <f aca="false">IF(AND(ISNUMBER(RESULTADOS!C81),ISNUMBER(RESULTADOS!E81),ISNUMBER(C81),ISNUMBER(E81),AND(Z81=1,OR(C81=RESULTADOS!C81,E81=RESULTADOS!E81))),1,0)</f>
        <v>0</v>
      </c>
      <c r="AB81" s="142"/>
      <c r="AC81" s="142" t="s">
        <v>201</v>
      </c>
      <c r="AD81" s="142" t="s">
        <v>202</v>
      </c>
      <c r="AE81" s="142" t="s">
        <v>203</v>
      </c>
      <c r="AF81" s="142" t="str">
        <f aca="false">IF(ISNUMBER(FIND("C", AC81, 1)), SUBSTITUTE(AC81, "C", "E"), SUBSTITUTE(AC81, "E", "C"))</f>
        <v>E78</v>
      </c>
      <c r="AG81" s="142" t="str">
        <f aca="false">IF(ISNUMBER(FIND("C", AD81, 1)), SUBSTITUTE(AD81, "C", "E"), SUBSTITUTE(AD81, "E", "C"))</f>
        <v>C79</v>
      </c>
      <c r="AH81" s="14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174" t="s">
        <v>189</v>
      </c>
      <c r="C82" s="175"/>
      <c r="D82" s="172" t="s">
        <v>29</v>
      </c>
      <c r="E82" s="176"/>
      <c r="F82" s="177" t="s">
        <v>190</v>
      </c>
      <c r="G82" s="139"/>
      <c r="H82" s="178" t="n">
        <v>46200</v>
      </c>
      <c r="I82" s="179" t="n">
        <v>0.958333333333333</v>
      </c>
      <c r="J82" s="160"/>
      <c r="K82" s="180"/>
      <c r="S82" s="139"/>
      <c r="T82" s="165" t="str">
        <f aca="false">IF(NOT(AND(ISNUMBER(C82),ISNUMBER(E82))),"XXX","")</f>
        <v>XXX</v>
      </c>
      <c r="U82" s="166" t="n">
        <f aca="false">SUM(Y82,Z82,AA82)</f>
        <v>0</v>
      </c>
      <c r="V82" s="166"/>
      <c r="W82" s="166"/>
      <c r="X82" s="166"/>
      <c r="Y82" s="167" t="n">
        <f aca="false">IF(AND(ISNUMBER(RESULTADOS!C82),ISNUMBER(RESULTADOS!E82),ISNUMBER(C82),ISNUMBER(E82),C82=RESULTADOS!C82,E82=RESULTADOS!E82),2,0)</f>
        <v>0</v>
      </c>
      <c r="Z82" s="167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67" t="n">
        <f aca="false">IF(AND(ISNUMBER(RESULTADOS!C82),ISNUMBER(RESULTADOS!E82),ISNUMBER(C82),ISNUMBER(E82),AND(Z82=1,OR(C82=RESULTADOS!C82,E82=RESULTADOS!E82))),1,0)</f>
        <v>0</v>
      </c>
      <c r="AB82" s="142"/>
      <c r="AC82" s="142"/>
      <c r="AD82" s="142"/>
      <c r="AE82" s="142"/>
      <c r="AF82" s="142"/>
      <c r="AG82" s="142"/>
      <c r="AH82" s="142"/>
    </row>
    <row r="83" customFormat="false" ht="12.75" hidden="false" customHeight="true" outlineLevel="0" collapsed="false">
      <c r="B83" s="180"/>
      <c r="C83" s="139"/>
      <c r="D83" s="139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39"/>
      <c r="P83" s="139"/>
      <c r="Q83" s="139"/>
      <c r="R83" s="139"/>
      <c r="S83" s="139"/>
      <c r="U83" s="139"/>
      <c r="V83" s="139"/>
      <c r="W83" s="139"/>
      <c r="X83" s="139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</row>
    <row r="84" customFormat="false" ht="12.75" hidden="false" customHeight="true" outlineLevel="0" collapsed="false">
      <c r="B84" s="149" t="s">
        <v>204</v>
      </c>
      <c r="C84" s="149"/>
      <c r="D84" s="149"/>
      <c r="E84" s="149"/>
      <c r="F84" s="149"/>
      <c r="G84" s="139"/>
      <c r="H84" s="150" t="s">
        <v>26</v>
      </c>
      <c r="I84" s="151" t="s">
        <v>27</v>
      </c>
      <c r="J84" s="152"/>
      <c r="K84" s="139"/>
      <c r="L84" s="139"/>
      <c r="M84" s="139"/>
      <c r="N84" s="139"/>
      <c r="O84" s="139"/>
      <c r="P84" s="139"/>
      <c r="Q84" s="139"/>
      <c r="R84" s="139"/>
      <c r="S84" s="139"/>
      <c r="U84" s="153"/>
      <c r="V84" s="153"/>
      <c r="W84" s="153"/>
      <c r="X84" s="153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</row>
    <row r="85" customFormat="false" ht="12.75" hidden="false" customHeight="true" outlineLevel="0" collapsed="false">
      <c r="B85" s="154" t="s">
        <v>205</v>
      </c>
      <c r="C85" s="155"/>
      <c r="D85" s="153" t="s">
        <v>29</v>
      </c>
      <c r="E85" s="156"/>
      <c r="F85" s="168" t="s">
        <v>206</v>
      </c>
      <c r="G85" s="139"/>
      <c r="H85" s="158" t="n">
        <v>46190</v>
      </c>
      <c r="I85" s="159" t="n">
        <v>0.583333333333333</v>
      </c>
      <c r="J85" s="160"/>
      <c r="K85" s="161"/>
      <c r="L85" s="162" t="s">
        <v>31</v>
      </c>
      <c r="M85" s="162" t="s">
        <v>32</v>
      </c>
      <c r="N85" s="162" t="s">
        <v>33</v>
      </c>
      <c r="O85" s="162" t="s">
        <v>34</v>
      </c>
      <c r="P85" s="162" t="s">
        <v>35</v>
      </c>
      <c r="Q85" s="162" t="s">
        <v>36</v>
      </c>
      <c r="R85" s="163" t="s">
        <v>37</v>
      </c>
      <c r="S85" s="164"/>
      <c r="T85" s="165" t="str">
        <f aca="false">IF(NOT(AND(ISNUMBER(C85),ISNUMBER(E85))),"XXX","")</f>
        <v>XXX</v>
      </c>
      <c r="U85" s="166" t="n">
        <f aca="false">SUM(Y85,Z85,AA85)</f>
        <v>0</v>
      </c>
      <c r="V85" s="166"/>
      <c r="W85" s="166"/>
      <c r="X85" s="166"/>
      <c r="Y85" s="167" t="n">
        <f aca="false">IF(AND(ISNUMBER(RESULTADOS!C85),ISNUMBER(RESULTADOS!E85),ISNUMBER(C85),ISNUMBER(E85),C85=RESULTADOS!C85,E85=RESULTADOS!E85),2,0)</f>
        <v>0</v>
      </c>
      <c r="Z85" s="167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67" t="n">
        <f aca="false">IF(AND(ISNUMBER(RESULTADOS!C85),ISNUMBER(RESULTADOS!E85),ISNUMBER(C85),ISNUMBER(E85),AND(Z85=1,OR(C85=RESULTADOS!C85,E85=RESULTADOS!E85))),1,0)</f>
        <v>0</v>
      </c>
      <c r="AB85" s="142"/>
      <c r="AC85" s="142"/>
      <c r="AD85" s="142"/>
      <c r="AE85" s="142"/>
      <c r="AF85" s="142"/>
      <c r="AG85" s="142"/>
      <c r="AH85" s="142"/>
    </row>
    <row r="86" customFormat="false" ht="12.75" hidden="false" customHeight="true" outlineLevel="0" collapsed="false">
      <c r="B86" s="154" t="s">
        <v>207</v>
      </c>
      <c r="C86" s="155"/>
      <c r="D86" s="153" t="s">
        <v>29</v>
      </c>
      <c r="E86" s="156"/>
      <c r="F86" s="168" t="s">
        <v>208</v>
      </c>
      <c r="G86" s="139"/>
      <c r="H86" s="158" t="n">
        <v>46190</v>
      </c>
      <c r="I86" s="159" t="n">
        <v>0.958333333333333</v>
      </c>
      <c r="J86" s="160"/>
      <c r="K86" s="183" t="s">
        <v>208</v>
      </c>
      <c r="L86" s="153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53" t="n">
        <f aca="false">N86-O86</f>
        <v>0</v>
      </c>
      <c r="N86" s="153" t="n">
        <f aca="true">SUM(INDIRECT($AC86),INDIRECT($AD86),INDIRECT($AE86))</f>
        <v>0</v>
      </c>
      <c r="O86" s="153" t="n">
        <f aca="true">SUM(INDIRECT($AF86),INDIRECT($AG86),INDIRECT($AH86))</f>
        <v>0</v>
      </c>
      <c r="P86" s="153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53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70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164"/>
      <c r="T86" s="165" t="str">
        <f aca="false">IF(NOT(AND(ISNUMBER(C86),ISNUMBER(E86))),"XXX","")</f>
        <v>XXX</v>
      </c>
      <c r="U86" s="166" t="n">
        <f aca="false">SUM(Y86,Z86,AA86)</f>
        <v>0</v>
      </c>
      <c r="V86" s="166"/>
      <c r="W86" s="166"/>
      <c r="X86" s="166"/>
      <c r="Y86" s="167" t="n">
        <f aca="false">IF(AND(ISNUMBER(RESULTADOS!C86),ISNUMBER(RESULTADOS!E86),ISNUMBER(C86),ISNUMBER(E86),C86=RESULTADOS!C86,E86=RESULTADOS!E86),2,0)</f>
        <v>0</v>
      </c>
      <c r="Z86" s="167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67" t="n">
        <f aca="false">IF(AND(ISNUMBER(RESULTADOS!C86),ISNUMBER(RESULTADOS!E86),ISNUMBER(C86),ISNUMBER(E86),AND(Z86=1,OR(C86=RESULTADOS!C86,E86=RESULTADOS!E86))),1,0)</f>
        <v>0</v>
      </c>
      <c r="AB86" s="142"/>
      <c r="AC86" s="142" t="s">
        <v>209</v>
      </c>
      <c r="AD86" s="142" t="s">
        <v>210</v>
      </c>
      <c r="AE86" s="142" t="s">
        <v>211</v>
      </c>
      <c r="AF86" s="142" t="str">
        <f aca="false">IF(ISNUMBER(FIND("C", AC86, 1)), SUBSTITUTE(AC86, "C", "E"), SUBSTITUTE(AC86, "E", "C"))</f>
        <v>C86</v>
      </c>
      <c r="AG86" s="142" t="str">
        <f aca="false">IF(ISNUMBER(FIND("C", AD86, 1)), SUBSTITUTE(AD86, "C", "E"), SUBSTITUTE(AD86, "E", "C"))</f>
        <v>E88</v>
      </c>
      <c r="AH86" s="14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54" t="s">
        <v>205</v>
      </c>
      <c r="C87" s="155"/>
      <c r="D87" s="153" t="s">
        <v>29</v>
      </c>
      <c r="E87" s="156"/>
      <c r="F87" s="168" t="s">
        <v>207</v>
      </c>
      <c r="G87" s="139"/>
      <c r="H87" s="158" t="n">
        <v>46196</v>
      </c>
      <c r="I87" s="159" t="n">
        <v>0.583333333333333</v>
      </c>
      <c r="J87" s="160"/>
      <c r="K87" s="183" t="s">
        <v>205</v>
      </c>
      <c r="L87" s="153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53" t="n">
        <f aca="false">N87-O87</f>
        <v>0</v>
      </c>
      <c r="N87" s="153" t="n">
        <f aca="true">SUM(INDIRECT($AC87),INDIRECT($AD87),INDIRECT($AE87))</f>
        <v>0</v>
      </c>
      <c r="O87" s="153" t="n">
        <f aca="true">SUM(INDIRECT($AF87),INDIRECT($AG87),INDIRECT($AH87))</f>
        <v>0</v>
      </c>
      <c r="P87" s="153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53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70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39"/>
      <c r="T87" s="165" t="str">
        <f aca="false">IF(NOT(AND(ISNUMBER(C87),ISNUMBER(E87))),"XXX","")</f>
        <v>XXX</v>
      </c>
      <c r="U87" s="166" t="n">
        <f aca="false">SUM(Y87,Z87,AA87)</f>
        <v>0</v>
      </c>
      <c r="V87" s="166"/>
      <c r="W87" s="166"/>
      <c r="X87" s="166"/>
      <c r="Y87" s="167" t="n">
        <f aca="false">IF(AND(ISNUMBER(RESULTADOS!C87),ISNUMBER(RESULTADOS!E87),ISNUMBER(C87),ISNUMBER(E87),C87=RESULTADOS!C87,E87=RESULTADOS!E87),2,0)</f>
        <v>0</v>
      </c>
      <c r="Z87" s="167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67" t="n">
        <f aca="false">IF(AND(ISNUMBER(RESULTADOS!C87),ISNUMBER(RESULTADOS!E87),ISNUMBER(C87),ISNUMBER(E87),AND(Z87=1,OR(C87=RESULTADOS!C87,E87=RESULTADOS!E87))),1,0)</f>
        <v>0</v>
      </c>
      <c r="AB87" s="142"/>
      <c r="AC87" s="142" t="s">
        <v>212</v>
      </c>
      <c r="AD87" s="142" t="s">
        <v>213</v>
      </c>
      <c r="AE87" s="142" t="s">
        <v>214</v>
      </c>
      <c r="AF87" s="142" t="str">
        <f aca="false">IF(ISNUMBER(FIND("C", AC87, 1)), SUBSTITUTE(AC87, "C", "E"), SUBSTITUTE(AC87, "E", "C"))</f>
        <v>E85</v>
      </c>
      <c r="AG87" s="142" t="str">
        <f aca="false">IF(ISNUMBER(FIND("C", AD87, 1)), SUBSTITUTE(AD87, "C", "E"), SUBSTITUTE(AD87, "E", "C"))</f>
        <v>E87</v>
      </c>
      <c r="AH87" s="14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54" t="s">
        <v>208</v>
      </c>
      <c r="C88" s="155"/>
      <c r="D88" s="153" t="s">
        <v>29</v>
      </c>
      <c r="E88" s="156"/>
      <c r="F88" s="168" t="s">
        <v>206</v>
      </c>
      <c r="G88" s="139"/>
      <c r="H88" s="158" t="n">
        <v>46196</v>
      </c>
      <c r="I88" s="159" t="n">
        <v>0.958333333333333</v>
      </c>
      <c r="J88" s="160"/>
      <c r="K88" s="183" t="s">
        <v>206</v>
      </c>
      <c r="L88" s="153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53" t="n">
        <f aca="false">N88-O88</f>
        <v>0</v>
      </c>
      <c r="N88" s="153" t="n">
        <f aca="true">SUM(INDIRECT($AC88),INDIRECT($AD88),INDIRECT($AE88))</f>
        <v>0</v>
      </c>
      <c r="O88" s="153" t="n">
        <f aca="true">SUM(INDIRECT($AF88),INDIRECT($AG88),INDIRECT($AH88))</f>
        <v>0</v>
      </c>
      <c r="P88" s="153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53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70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139"/>
      <c r="T88" s="165" t="str">
        <f aca="false">IF(NOT(AND(ISNUMBER(C88),ISNUMBER(E88))),"XXX","")</f>
        <v>XXX</v>
      </c>
      <c r="U88" s="166" t="n">
        <f aca="false">SUM(Y88,Z88,AA88)</f>
        <v>0</v>
      </c>
      <c r="V88" s="166"/>
      <c r="W88" s="166"/>
      <c r="X88" s="166"/>
      <c r="Y88" s="167" t="n">
        <f aca="false">IF(AND(ISNUMBER(RESULTADOS!C88),ISNUMBER(RESULTADOS!E88),ISNUMBER(C88),ISNUMBER(E88),C88=RESULTADOS!C88,E88=RESULTADOS!E88),2,0)</f>
        <v>0</v>
      </c>
      <c r="Z88" s="167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67" t="n">
        <f aca="false">IF(AND(ISNUMBER(RESULTADOS!C88),ISNUMBER(RESULTADOS!E88),ISNUMBER(C88),ISNUMBER(E88),AND(Z88=1,OR(C88=RESULTADOS!C88,E88=RESULTADOS!E88))),1,0)</f>
        <v>0</v>
      </c>
      <c r="AB88" s="142"/>
      <c r="AC88" s="142" t="s">
        <v>215</v>
      </c>
      <c r="AD88" s="142" t="s">
        <v>216</v>
      </c>
      <c r="AE88" s="142" t="s">
        <v>217</v>
      </c>
      <c r="AF88" s="142" t="str">
        <f aca="false">IF(ISNUMBER(FIND("C", AC88, 1)), SUBSTITUTE(AC88, "C", "E"), SUBSTITUTE(AC88, "E", "C"))</f>
        <v>C85</v>
      </c>
      <c r="AG88" s="142" t="str">
        <f aca="false">IF(ISNUMBER(FIND("C", AD88, 1)), SUBSTITUTE(AD88, "C", "E"), SUBSTITUTE(AD88, "E", "C"))</f>
        <v>C88</v>
      </c>
      <c r="AH88" s="14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54" t="s">
        <v>206</v>
      </c>
      <c r="C89" s="155"/>
      <c r="D89" s="153" t="s">
        <v>29</v>
      </c>
      <c r="E89" s="156"/>
      <c r="F89" s="168" t="s">
        <v>207</v>
      </c>
      <c r="G89" s="139"/>
      <c r="H89" s="158" t="n">
        <v>46200</v>
      </c>
      <c r="I89" s="159" t="n">
        <v>0.854166666666667</v>
      </c>
      <c r="J89" s="160"/>
      <c r="K89" s="184" t="s">
        <v>207</v>
      </c>
      <c r="L89" s="172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72" t="n">
        <f aca="false">N89-O89</f>
        <v>0</v>
      </c>
      <c r="N89" s="172" t="n">
        <f aca="true">SUM(INDIRECT($AC89),INDIRECT($AD89),INDIRECT($AE89))</f>
        <v>0</v>
      </c>
      <c r="O89" s="172" t="n">
        <f aca="true">SUM(INDIRECT($AF89),INDIRECT($AG89),INDIRECT($AH89))</f>
        <v>0</v>
      </c>
      <c r="P89" s="172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72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73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139"/>
      <c r="T89" s="165" t="str">
        <f aca="false">IF(NOT(AND(ISNUMBER(C89),ISNUMBER(E89))),"XXX","")</f>
        <v>XXX</v>
      </c>
      <c r="U89" s="166" t="n">
        <f aca="false">SUM(Y89,Z89,AA89)</f>
        <v>0</v>
      </c>
      <c r="V89" s="166"/>
      <c r="W89" s="166"/>
      <c r="X89" s="166"/>
      <c r="Y89" s="167" t="n">
        <f aca="false">IF(AND(ISNUMBER(RESULTADOS!C89),ISNUMBER(RESULTADOS!E89),ISNUMBER(C89),ISNUMBER(E89),C89=RESULTADOS!C89,E89=RESULTADOS!E89),2,0)</f>
        <v>0</v>
      </c>
      <c r="Z89" s="167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67" t="n">
        <f aca="false">IF(AND(ISNUMBER(RESULTADOS!C89),ISNUMBER(RESULTADOS!E89),ISNUMBER(C89),ISNUMBER(E89),AND(Z89=1,OR(C89=RESULTADOS!C89,E89=RESULTADOS!E89))),1,0)</f>
        <v>0</v>
      </c>
      <c r="AB89" s="142"/>
      <c r="AC89" s="142" t="s">
        <v>218</v>
      </c>
      <c r="AD89" s="142" t="s">
        <v>219</v>
      </c>
      <c r="AE89" s="142" t="s">
        <v>220</v>
      </c>
      <c r="AF89" s="142" t="str">
        <f aca="false">IF(ISNUMBER(FIND("C", AC89, 1)), SUBSTITUTE(AC89, "C", "E"), SUBSTITUTE(AC89, "E", "C"))</f>
        <v>E86</v>
      </c>
      <c r="AG89" s="142" t="str">
        <f aca="false">IF(ISNUMBER(FIND("C", AD89, 1)), SUBSTITUTE(AD89, "C", "E"), SUBSTITUTE(AD89, "E", "C"))</f>
        <v>C87</v>
      </c>
      <c r="AH89" s="14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174" t="s">
        <v>208</v>
      </c>
      <c r="C90" s="175"/>
      <c r="D90" s="172" t="s">
        <v>29</v>
      </c>
      <c r="E90" s="176"/>
      <c r="F90" s="177" t="s">
        <v>205</v>
      </c>
      <c r="G90" s="139"/>
      <c r="H90" s="178" t="n">
        <v>46200</v>
      </c>
      <c r="I90" s="179" t="n">
        <v>0.854166666666667</v>
      </c>
      <c r="J90" s="160"/>
      <c r="K90" s="180"/>
      <c r="S90" s="139"/>
      <c r="T90" s="165" t="str">
        <f aca="false">IF(NOT(AND(ISNUMBER(C90),ISNUMBER(E90))),"XXX","")</f>
        <v>XXX</v>
      </c>
      <c r="U90" s="166" t="n">
        <f aca="false">SUM(Y90,Z90,AA90)</f>
        <v>0</v>
      </c>
      <c r="V90" s="166"/>
      <c r="W90" s="166"/>
      <c r="X90" s="166"/>
      <c r="Y90" s="167" t="n">
        <f aca="false">IF(AND(ISNUMBER(RESULTADOS!C90),ISNUMBER(RESULTADOS!E90),ISNUMBER(C90),ISNUMBER(E90),C90=RESULTADOS!C90,E90=RESULTADOS!E90),2,0)</f>
        <v>0</v>
      </c>
      <c r="Z90" s="167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67" t="n">
        <f aca="false">IF(AND(ISNUMBER(RESULTADOS!C90),ISNUMBER(RESULTADOS!E90),ISNUMBER(C90),ISNUMBER(E90),AND(Z90=1,OR(C90=RESULTADOS!C90,E90=RESULTADOS!E90))),1,0)</f>
        <v>0</v>
      </c>
      <c r="AB90" s="142"/>
      <c r="AC90" s="142"/>
      <c r="AD90" s="142"/>
      <c r="AE90" s="142"/>
      <c r="AF90" s="142"/>
      <c r="AG90" s="142"/>
      <c r="AH90" s="142"/>
    </row>
    <row r="91" customFormat="false" ht="12.75" hidden="false" customHeight="true" outlineLevel="0" collapsed="false">
      <c r="B91" s="180"/>
      <c r="C91" s="139"/>
      <c r="D91" s="139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39"/>
      <c r="P91" s="139"/>
      <c r="Q91" s="139"/>
      <c r="R91" s="139"/>
      <c r="S91" s="139"/>
      <c r="U91" s="139"/>
      <c r="V91" s="139"/>
      <c r="W91" s="139"/>
      <c r="X91" s="139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</row>
    <row r="92" customFormat="false" ht="12.75" hidden="false" customHeight="true" outlineLevel="0" collapsed="false">
      <c r="B92" s="149" t="s">
        <v>221</v>
      </c>
      <c r="C92" s="149"/>
      <c r="D92" s="149"/>
      <c r="E92" s="149"/>
      <c r="F92" s="149"/>
      <c r="G92" s="139"/>
      <c r="H92" s="150" t="s">
        <v>26</v>
      </c>
      <c r="I92" s="151" t="s">
        <v>27</v>
      </c>
      <c r="J92" s="152"/>
      <c r="K92" s="139"/>
      <c r="L92" s="139"/>
      <c r="M92" s="139"/>
      <c r="N92" s="139"/>
      <c r="O92" s="139"/>
      <c r="P92" s="139"/>
      <c r="Q92" s="139"/>
      <c r="R92" s="139"/>
      <c r="S92" s="139"/>
      <c r="U92" s="153"/>
      <c r="V92" s="153"/>
      <c r="W92" s="153"/>
      <c r="X92" s="153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</row>
    <row r="93" customFormat="false" ht="12.75" hidden="false" customHeight="true" outlineLevel="0" collapsed="false">
      <c r="B93" s="154" t="s">
        <v>222</v>
      </c>
      <c r="C93" s="155"/>
      <c r="D93" s="153" t="s">
        <v>29</v>
      </c>
      <c r="E93" s="156"/>
      <c r="F93" s="168" t="s">
        <v>223</v>
      </c>
      <c r="G93" s="139"/>
      <c r="H93" s="158" t="n">
        <v>46190</v>
      </c>
      <c r="I93" s="159" t="n">
        <v>0.708333333333333</v>
      </c>
      <c r="J93" s="160"/>
      <c r="K93" s="161"/>
      <c r="L93" s="162" t="s">
        <v>31</v>
      </c>
      <c r="M93" s="162" t="s">
        <v>32</v>
      </c>
      <c r="N93" s="162" t="s">
        <v>33</v>
      </c>
      <c r="O93" s="162" t="s">
        <v>34</v>
      </c>
      <c r="P93" s="162" t="s">
        <v>35</v>
      </c>
      <c r="Q93" s="162" t="s">
        <v>36</v>
      </c>
      <c r="R93" s="163" t="s">
        <v>37</v>
      </c>
      <c r="S93" s="164"/>
      <c r="T93" s="165" t="str">
        <f aca="false">IF(NOT(AND(ISNUMBER(C93),ISNUMBER(E93))),"XXX","")</f>
        <v>XXX</v>
      </c>
      <c r="U93" s="166" t="n">
        <f aca="false">SUM(Y93,Z93,AA93)</f>
        <v>0</v>
      </c>
      <c r="V93" s="166"/>
      <c r="W93" s="166"/>
      <c r="X93" s="166"/>
      <c r="Y93" s="167" t="n">
        <f aca="false">IF(AND(ISNUMBER(RESULTADOS!C93),ISNUMBER(RESULTADOS!E93),ISNUMBER(C93),ISNUMBER(E93),C93=RESULTADOS!C93,E93=RESULTADOS!E93),2,0)</f>
        <v>0</v>
      </c>
      <c r="Z93" s="167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67" t="n">
        <f aca="false">IF(AND(ISNUMBER(RESULTADOS!C93),ISNUMBER(RESULTADOS!E93),ISNUMBER(C93),ISNUMBER(E93),AND(Z93=1,OR(C93=RESULTADOS!C93,E93=RESULTADOS!E93))),1,0)</f>
        <v>0</v>
      </c>
      <c r="AB93" s="142"/>
      <c r="AC93" s="142"/>
      <c r="AD93" s="142"/>
      <c r="AE93" s="142"/>
      <c r="AF93" s="142"/>
      <c r="AG93" s="142"/>
      <c r="AH93" s="142"/>
    </row>
    <row r="94" customFormat="false" ht="12.75" hidden="false" customHeight="true" outlineLevel="0" collapsed="false">
      <c r="B94" s="154" t="s">
        <v>224</v>
      </c>
      <c r="C94" s="155"/>
      <c r="D94" s="153" t="s">
        <v>29</v>
      </c>
      <c r="E94" s="156"/>
      <c r="F94" s="168" t="s">
        <v>225</v>
      </c>
      <c r="G94" s="139"/>
      <c r="H94" s="158" t="n">
        <v>46190</v>
      </c>
      <c r="I94" s="159" t="n">
        <v>0.833333333333333</v>
      </c>
      <c r="J94" s="160"/>
      <c r="K94" s="183" t="s">
        <v>223</v>
      </c>
      <c r="L94" s="153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53" t="n">
        <f aca="false">N94-O94</f>
        <v>0</v>
      </c>
      <c r="N94" s="153" t="n">
        <f aca="true">SUM(INDIRECT($AC94),INDIRECT($AD94),INDIRECT($AE94))</f>
        <v>0</v>
      </c>
      <c r="O94" s="153" t="n">
        <f aca="true">SUM(INDIRECT($AF94),INDIRECT($AG94),INDIRECT($AH94))</f>
        <v>0</v>
      </c>
      <c r="P94" s="153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53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170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164"/>
      <c r="T94" s="165" t="str">
        <f aca="false">IF(NOT(AND(ISNUMBER(C94),ISNUMBER(E94))),"XXX","")</f>
        <v>XXX</v>
      </c>
      <c r="U94" s="166" t="n">
        <f aca="false">SUM(Y94,Z94,AA94)</f>
        <v>0</v>
      </c>
      <c r="V94" s="166"/>
      <c r="W94" s="166"/>
      <c r="X94" s="166"/>
      <c r="Y94" s="167" t="n">
        <f aca="false">IF(AND(ISNUMBER(RESULTADOS!C94),ISNUMBER(RESULTADOS!E94),ISNUMBER(C94),ISNUMBER(E94),C94=RESULTADOS!C94,E94=RESULTADOS!E94),2,0)</f>
        <v>0</v>
      </c>
      <c r="Z94" s="167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67" t="n">
        <f aca="false">IF(AND(ISNUMBER(RESULTADOS!C94),ISNUMBER(RESULTADOS!E94),ISNUMBER(C94),ISNUMBER(E94),AND(Z94=1,OR(C94=RESULTADOS!C94,E94=RESULTADOS!E94))),1,0)</f>
        <v>0</v>
      </c>
      <c r="AB94" s="142"/>
      <c r="AC94" s="142" t="s">
        <v>226</v>
      </c>
      <c r="AD94" s="142" t="s">
        <v>227</v>
      </c>
      <c r="AE94" s="142" t="s">
        <v>228</v>
      </c>
      <c r="AF94" s="142" t="str">
        <f aca="false">IF(ISNUMBER(FIND("C", AC94, 1)), SUBSTITUTE(AC94, "C", "E"), SUBSTITUTE(AC94, "E", "C"))</f>
        <v>C93</v>
      </c>
      <c r="AG94" s="142" t="str">
        <f aca="false">IF(ISNUMBER(FIND("C", AD94, 1)), SUBSTITUTE(AD94, "C", "E"), SUBSTITUTE(AD94, "E", "C"))</f>
        <v>C96</v>
      </c>
      <c r="AH94" s="14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54" t="s">
        <v>222</v>
      </c>
      <c r="C95" s="155"/>
      <c r="D95" s="153" t="s">
        <v>29</v>
      </c>
      <c r="E95" s="156"/>
      <c r="F95" s="168" t="s">
        <v>224</v>
      </c>
      <c r="G95" s="139"/>
      <c r="H95" s="158" t="n">
        <v>46196</v>
      </c>
      <c r="I95" s="159" t="n">
        <v>0.708333333333333</v>
      </c>
      <c r="J95" s="160"/>
      <c r="K95" s="183" t="s">
        <v>224</v>
      </c>
      <c r="L95" s="153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53" t="n">
        <f aca="false">N95-O95</f>
        <v>0</v>
      </c>
      <c r="N95" s="153" t="n">
        <f aca="true">SUM(INDIRECT($AC95),INDIRECT($AD95),INDIRECT($AE95))</f>
        <v>0</v>
      </c>
      <c r="O95" s="153" t="n">
        <f aca="true">SUM(INDIRECT($AF95),INDIRECT($AG95),INDIRECT($AH95))</f>
        <v>0</v>
      </c>
      <c r="P95" s="153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53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70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139"/>
      <c r="T95" s="165" t="str">
        <f aca="false">IF(NOT(AND(ISNUMBER(C95),ISNUMBER(E95))),"XXX","")</f>
        <v>XXX</v>
      </c>
      <c r="U95" s="166" t="n">
        <f aca="false">SUM(Y95,Z95,AA95)</f>
        <v>0</v>
      </c>
      <c r="V95" s="166"/>
      <c r="W95" s="166"/>
      <c r="X95" s="166"/>
      <c r="Y95" s="167" t="n">
        <f aca="false">IF(AND(ISNUMBER(RESULTADOS!C95),ISNUMBER(RESULTADOS!E95),ISNUMBER(C95),ISNUMBER(E95),C95=RESULTADOS!C95,E95=RESULTADOS!E95),2,0)</f>
        <v>0</v>
      </c>
      <c r="Z95" s="167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67" t="n">
        <f aca="false">IF(AND(ISNUMBER(RESULTADOS!C95),ISNUMBER(RESULTADOS!E95),ISNUMBER(C95),ISNUMBER(E95),AND(Z95=1,OR(C95=RESULTADOS!C95,E95=RESULTADOS!E95))),1,0)</f>
        <v>0</v>
      </c>
      <c r="AB95" s="142"/>
      <c r="AC95" s="142" t="s">
        <v>229</v>
      </c>
      <c r="AD95" s="142" t="s">
        <v>230</v>
      </c>
      <c r="AE95" s="142" t="s">
        <v>231</v>
      </c>
      <c r="AF95" s="142" t="str">
        <f aca="false">IF(ISNUMBER(FIND("C", AC95, 1)), SUBSTITUTE(AC95, "C", "E"), SUBSTITUTE(AC95, "E", "C"))</f>
        <v>E94</v>
      </c>
      <c r="AG95" s="142" t="str">
        <f aca="false">IF(ISNUMBER(FIND("C", AD95, 1)), SUBSTITUTE(AD95, "C", "E"), SUBSTITUTE(AD95, "E", "C"))</f>
        <v>C95</v>
      </c>
      <c r="AH95" s="14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54" t="s">
        <v>225</v>
      </c>
      <c r="C96" s="155"/>
      <c r="D96" s="153" t="s">
        <v>29</v>
      </c>
      <c r="E96" s="156"/>
      <c r="F96" s="168" t="s">
        <v>223</v>
      </c>
      <c r="G96" s="139"/>
      <c r="H96" s="158" t="n">
        <v>46196</v>
      </c>
      <c r="I96" s="159" t="n">
        <v>0.833333333333333</v>
      </c>
      <c r="J96" s="160"/>
      <c r="K96" s="183" t="s">
        <v>222</v>
      </c>
      <c r="L96" s="153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53" t="n">
        <f aca="false">N96-O96</f>
        <v>0</v>
      </c>
      <c r="N96" s="153" t="n">
        <f aca="true">SUM(INDIRECT($AC96),INDIRECT($AD96),INDIRECT($AE96))</f>
        <v>0</v>
      </c>
      <c r="O96" s="153" t="n">
        <f aca="true">SUM(INDIRECT($AF96),INDIRECT($AG96),INDIRECT($AH96))</f>
        <v>0</v>
      </c>
      <c r="P96" s="153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53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70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39"/>
      <c r="T96" s="165" t="str">
        <f aca="false">IF(NOT(AND(ISNUMBER(C96),ISNUMBER(E96))),"XXX","")</f>
        <v>XXX</v>
      </c>
      <c r="U96" s="166" t="n">
        <f aca="false">SUM(Y96,Z96,AA96)</f>
        <v>0</v>
      </c>
      <c r="V96" s="166"/>
      <c r="W96" s="166"/>
      <c r="X96" s="166"/>
      <c r="Y96" s="167" t="n">
        <f aca="false">IF(AND(ISNUMBER(RESULTADOS!C96),ISNUMBER(RESULTADOS!E96),ISNUMBER(C96),ISNUMBER(E96),C96=RESULTADOS!C96,E96=RESULTADOS!E96),2,0)</f>
        <v>0</v>
      </c>
      <c r="Z96" s="167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67" t="n">
        <f aca="false">IF(AND(ISNUMBER(RESULTADOS!C96),ISNUMBER(RESULTADOS!E96),ISNUMBER(C96),ISNUMBER(E96),AND(Z96=1,OR(C96=RESULTADOS!C96,E96=RESULTADOS!E96))),1,0)</f>
        <v>0</v>
      </c>
      <c r="AB96" s="142"/>
      <c r="AC96" s="142" t="s">
        <v>232</v>
      </c>
      <c r="AD96" s="142" t="s">
        <v>233</v>
      </c>
      <c r="AE96" s="142" t="s">
        <v>234</v>
      </c>
      <c r="AF96" s="142" t="str">
        <f aca="false">IF(ISNUMBER(FIND("C", AC96, 1)), SUBSTITUTE(AC96, "C", "E"), SUBSTITUTE(AC96, "E", "C"))</f>
        <v>E93</v>
      </c>
      <c r="AG96" s="142" t="str">
        <f aca="false">IF(ISNUMBER(FIND("C", AD96, 1)), SUBSTITUTE(AD96, "C", "E"), SUBSTITUTE(AD96, "E", "C"))</f>
        <v>E95</v>
      </c>
      <c r="AH96" s="14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54" t="s">
        <v>223</v>
      </c>
      <c r="C97" s="155"/>
      <c r="D97" s="153" t="s">
        <v>29</v>
      </c>
      <c r="E97" s="156"/>
      <c r="F97" s="168" t="s">
        <v>224</v>
      </c>
      <c r="G97" s="139"/>
      <c r="H97" s="158" t="n">
        <v>46200</v>
      </c>
      <c r="I97" s="159" t="n">
        <v>0.75</v>
      </c>
      <c r="J97" s="160"/>
      <c r="K97" s="184" t="s">
        <v>225</v>
      </c>
      <c r="L97" s="172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72" t="n">
        <f aca="false">N97-O97</f>
        <v>0</v>
      </c>
      <c r="N97" s="172" t="n">
        <f aca="true">SUM(INDIRECT($AC97),INDIRECT($AD97),INDIRECT($AE97))</f>
        <v>0</v>
      </c>
      <c r="O97" s="172" t="n">
        <f aca="true">SUM(INDIRECT($AF97),INDIRECT($AG97),INDIRECT($AH97))</f>
        <v>0</v>
      </c>
      <c r="P97" s="172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72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73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139"/>
      <c r="T97" s="165" t="str">
        <f aca="false">IF(NOT(AND(ISNUMBER(C97),ISNUMBER(E97))),"XXX","")</f>
        <v>XXX</v>
      </c>
      <c r="U97" s="166" t="n">
        <f aca="false">SUM(Y97,Z97,AA97)</f>
        <v>0</v>
      </c>
      <c r="V97" s="166"/>
      <c r="W97" s="166"/>
      <c r="X97" s="166"/>
      <c r="Y97" s="167" t="n">
        <f aca="false">IF(AND(ISNUMBER(RESULTADOS!C97),ISNUMBER(RESULTADOS!E97),ISNUMBER(C97),ISNUMBER(E97),C97=RESULTADOS!C97,E97=RESULTADOS!E97),2,0)</f>
        <v>0</v>
      </c>
      <c r="Z97" s="167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67" t="n">
        <f aca="false">IF(AND(ISNUMBER(RESULTADOS!C97),ISNUMBER(RESULTADOS!E97),ISNUMBER(C97),ISNUMBER(E97),AND(Z97=1,OR(C97=RESULTADOS!C97,E97=RESULTADOS!E97))),1,0)</f>
        <v>0</v>
      </c>
      <c r="AB97" s="142"/>
      <c r="AC97" s="142" t="s">
        <v>235</v>
      </c>
      <c r="AD97" s="142" t="s">
        <v>236</v>
      </c>
      <c r="AE97" s="142" t="s">
        <v>237</v>
      </c>
      <c r="AF97" s="142" t="str">
        <f aca="false">IF(ISNUMBER(FIND("C", AC97, 1)), SUBSTITUTE(AC97, "C", "E"), SUBSTITUTE(AC97, "E", "C"))</f>
        <v>C94</v>
      </c>
      <c r="AG97" s="142" t="str">
        <f aca="false">IF(ISNUMBER(FIND("C", AD97, 1)), SUBSTITUTE(AD97, "C", "E"), SUBSTITUTE(AD97, "E", "C"))</f>
        <v>E96</v>
      </c>
      <c r="AH97" s="14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174" t="s">
        <v>225</v>
      </c>
      <c r="C98" s="175"/>
      <c r="D98" s="172" t="s">
        <v>29</v>
      </c>
      <c r="E98" s="176"/>
      <c r="F98" s="177" t="s">
        <v>222</v>
      </c>
      <c r="G98" s="139"/>
      <c r="H98" s="178" t="n">
        <v>46200</v>
      </c>
      <c r="I98" s="179" t="n">
        <v>0.75</v>
      </c>
      <c r="J98" s="160"/>
      <c r="K98" s="180"/>
      <c r="S98" s="139"/>
      <c r="T98" s="165" t="str">
        <f aca="false">IF(NOT(AND(ISNUMBER(C98),ISNUMBER(E98))),"XXX","")</f>
        <v>XXX</v>
      </c>
      <c r="U98" s="166" t="n">
        <f aca="false">SUM(Y98,Z98,AA98)</f>
        <v>0</v>
      </c>
      <c r="V98" s="166"/>
      <c r="W98" s="166"/>
      <c r="X98" s="166"/>
      <c r="Y98" s="167" t="n">
        <f aca="false">IF(AND(ISNUMBER(RESULTADOS!C98),ISNUMBER(RESULTADOS!E98),ISNUMBER(C98),ISNUMBER(E98),C98=RESULTADOS!C98,E98=RESULTADOS!E98),2,0)</f>
        <v>0</v>
      </c>
      <c r="Z98" s="167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67" t="n">
        <f aca="false">IF(AND(ISNUMBER(RESULTADOS!C98),ISNUMBER(RESULTADOS!E98),ISNUMBER(C98),ISNUMBER(E98),AND(Z98=1,OR(C98=RESULTADOS!C98,E98=RESULTADOS!E98))),1,0)</f>
        <v>0</v>
      </c>
      <c r="AB98" s="142"/>
      <c r="AC98" s="142"/>
      <c r="AD98" s="142"/>
      <c r="AE98" s="142"/>
      <c r="AF98" s="142"/>
      <c r="AG98" s="142"/>
      <c r="AH98" s="142"/>
    </row>
    <row r="99" customFormat="false" ht="12.75" hidden="false" customHeight="true" outlineLevel="0" collapsed="false"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</row>
    <row r="100" customFormat="false" ht="12.75" hidden="false" customHeight="true" outlineLevel="0" collapsed="false"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</row>
    <row r="101" customFormat="false" ht="13.5" hidden="false" customHeight="true" outlineLevel="0" collapsed="false"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39"/>
      <c r="AJ101" s="139"/>
      <c r="AK101" s="139"/>
      <c r="AL101" s="139"/>
      <c r="AM101" s="139"/>
      <c r="AN101" s="139"/>
      <c r="AO101" s="139"/>
      <c r="AP101" s="139"/>
      <c r="AQ101" s="139"/>
      <c r="AR101" s="139"/>
    </row>
    <row r="102" customFormat="false" ht="12.75" hidden="false" customHeight="true" outlineLevel="0" collapsed="false">
      <c r="H102" s="185"/>
      <c r="I102" s="185"/>
      <c r="J102" s="185"/>
      <c r="U102" s="153"/>
      <c r="V102" s="153"/>
      <c r="W102" s="153"/>
      <c r="X102" s="153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</row>
    <row r="103" customFormat="false" ht="12.75" hidden="false" customHeight="true" outlineLevel="0" collapsed="false">
      <c r="H103" s="185"/>
      <c r="I103" s="185"/>
      <c r="J103" s="185"/>
      <c r="L103" s="186"/>
      <c r="M103" s="186"/>
      <c r="N103" s="186"/>
      <c r="O103" s="186"/>
      <c r="P103" s="186"/>
      <c r="Q103" s="186"/>
      <c r="R103" s="186"/>
      <c r="U103" s="153"/>
      <c r="V103" s="153"/>
      <c r="W103" s="153"/>
      <c r="X103" s="153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</row>
    <row r="104" customFormat="false" ht="12.75" hidden="false" customHeight="true" outlineLevel="0" collapsed="false">
      <c r="H104" s="185"/>
      <c r="I104" s="185"/>
      <c r="J104" s="185"/>
      <c r="L104" s="186"/>
      <c r="M104" s="186"/>
      <c r="N104" s="186"/>
      <c r="O104" s="186"/>
      <c r="P104" s="186"/>
      <c r="Q104" s="186"/>
      <c r="R104" s="186"/>
      <c r="U104" s="153"/>
      <c r="V104" s="153"/>
      <c r="W104" s="153"/>
      <c r="X104" s="153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</row>
    <row r="105" customFormat="false" ht="12.75" hidden="false" customHeight="true" outlineLevel="0" collapsed="false">
      <c r="H105" s="185"/>
      <c r="I105" s="185"/>
      <c r="J105" s="185"/>
      <c r="L105" s="186"/>
      <c r="M105" s="186"/>
      <c r="N105" s="186"/>
      <c r="O105" s="186"/>
      <c r="P105" s="186"/>
      <c r="Q105" s="186"/>
      <c r="R105" s="186"/>
      <c r="U105" s="153"/>
      <c r="V105" s="153"/>
      <c r="W105" s="153"/>
      <c r="X105" s="153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</row>
    <row r="106" customFormat="false" ht="12.75" hidden="false" customHeight="true" outlineLevel="0" collapsed="false">
      <c r="H106" s="185"/>
      <c r="I106" s="185"/>
      <c r="J106" s="185"/>
      <c r="L106" s="186"/>
      <c r="M106" s="186"/>
      <c r="N106" s="186"/>
      <c r="O106" s="186"/>
      <c r="P106" s="186"/>
      <c r="Q106" s="186"/>
      <c r="R106" s="186"/>
      <c r="U106" s="153"/>
      <c r="V106" s="153"/>
      <c r="W106" s="153"/>
      <c r="X106" s="153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</row>
    <row r="107" customFormat="false" ht="12.75" hidden="false" customHeight="true" outlineLevel="0" collapsed="false">
      <c r="H107" s="185"/>
      <c r="I107" s="185"/>
      <c r="J107" s="185"/>
      <c r="L107" s="186"/>
      <c r="M107" s="186"/>
      <c r="N107" s="186"/>
      <c r="O107" s="186"/>
      <c r="P107" s="186"/>
      <c r="Q107" s="186"/>
      <c r="R107" s="186"/>
      <c r="U107" s="153"/>
      <c r="V107" s="153"/>
      <c r="W107" s="153"/>
      <c r="X107" s="153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</row>
    <row r="108" customFormat="false" ht="12.75" hidden="false" customHeight="true" outlineLevel="0" collapsed="false">
      <c r="H108" s="185"/>
      <c r="I108" s="185"/>
      <c r="J108" s="185"/>
      <c r="L108" s="186"/>
      <c r="M108" s="186"/>
      <c r="N108" s="186"/>
      <c r="O108" s="186"/>
      <c r="P108" s="186"/>
      <c r="Q108" s="186"/>
      <c r="R108" s="186"/>
      <c r="U108" s="153"/>
      <c r="V108" s="153"/>
      <c r="W108" s="153"/>
      <c r="X108" s="153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</row>
    <row r="109" customFormat="false" ht="12.75" hidden="false" customHeight="true" outlineLevel="0" collapsed="false">
      <c r="H109" s="185"/>
      <c r="I109" s="185"/>
      <c r="J109" s="185"/>
      <c r="L109" s="186"/>
      <c r="M109" s="186"/>
      <c r="N109" s="186"/>
      <c r="O109" s="186"/>
      <c r="P109" s="186"/>
      <c r="Q109" s="186"/>
      <c r="R109" s="186"/>
      <c r="U109" s="153"/>
      <c r="V109" s="153"/>
      <c r="W109" s="153"/>
      <c r="X109" s="153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</row>
    <row r="110" customFormat="false" ht="12.75" hidden="false" customHeight="true" outlineLevel="0" collapsed="false">
      <c r="H110" s="185"/>
      <c r="I110" s="185"/>
      <c r="J110" s="185"/>
      <c r="L110" s="186"/>
      <c r="M110" s="186"/>
      <c r="N110" s="186"/>
      <c r="O110" s="186"/>
      <c r="P110" s="186"/>
      <c r="Q110" s="186"/>
      <c r="R110" s="186"/>
      <c r="U110" s="153"/>
      <c r="V110" s="153"/>
      <c r="W110" s="153"/>
      <c r="X110" s="153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</row>
    <row r="111" customFormat="false" ht="12.75" hidden="false" customHeight="true" outlineLevel="0" collapsed="false">
      <c r="H111" s="185"/>
      <c r="I111" s="185"/>
      <c r="J111" s="185"/>
      <c r="L111" s="186"/>
      <c r="M111" s="186"/>
      <c r="N111" s="186"/>
      <c r="O111" s="186"/>
      <c r="P111" s="186"/>
      <c r="Q111" s="186"/>
      <c r="R111" s="186"/>
      <c r="U111" s="153"/>
      <c r="V111" s="153"/>
      <c r="W111" s="153"/>
      <c r="X111" s="153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</row>
    <row r="112" customFormat="false" ht="12.75" hidden="false" customHeight="true" outlineLevel="0" collapsed="false">
      <c r="H112" s="185"/>
      <c r="I112" s="185"/>
      <c r="J112" s="185"/>
      <c r="L112" s="186"/>
      <c r="M112" s="186"/>
      <c r="N112" s="186"/>
      <c r="O112" s="186"/>
      <c r="P112" s="186"/>
      <c r="Q112" s="186"/>
      <c r="R112" s="186"/>
      <c r="U112" s="153"/>
      <c r="V112" s="153"/>
      <c r="W112" s="153"/>
      <c r="X112" s="153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</row>
    <row r="113" customFormat="false" ht="12.75" hidden="false" customHeight="true" outlineLevel="0" collapsed="false">
      <c r="H113" s="185"/>
      <c r="I113" s="185"/>
      <c r="J113" s="185"/>
      <c r="L113" s="186"/>
      <c r="M113" s="186"/>
      <c r="N113" s="186"/>
      <c r="O113" s="186"/>
      <c r="P113" s="186"/>
      <c r="Q113" s="186"/>
      <c r="R113" s="186"/>
      <c r="U113" s="153"/>
      <c r="V113" s="153"/>
      <c r="W113" s="153"/>
      <c r="X113" s="153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</row>
    <row r="114" customFormat="false" ht="12.75" hidden="false" customHeight="true" outlineLevel="0" collapsed="false">
      <c r="H114" s="185"/>
      <c r="I114" s="185"/>
      <c r="J114" s="185"/>
      <c r="L114" s="186"/>
      <c r="M114" s="186"/>
      <c r="N114" s="186"/>
      <c r="O114" s="186"/>
      <c r="P114" s="186"/>
      <c r="Q114" s="186"/>
      <c r="R114" s="186"/>
      <c r="U114" s="153"/>
      <c r="V114" s="153"/>
      <c r="W114" s="153"/>
      <c r="X114" s="153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</row>
    <row r="115" customFormat="false" ht="12.75" hidden="false" customHeight="true" outlineLevel="0" collapsed="false">
      <c r="H115" s="185"/>
      <c r="I115" s="185"/>
      <c r="J115" s="185"/>
      <c r="L115" s="186"/>
      <c r="M115" s="186"/>
      <c r="N115" s="186"/>
      <c r="O115" s="186"/>
      <c r="P115" s="186"/>
      <c r="Q115" s="186"/>
      <c r="R115" s="186"/>
      <c r="U115" s="153"/>
      <c r="V115" s="153"/>
      <c r="W115" s="153"/>
      <c r="X115" s="153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</row>
    <row r="116" customFormat="false" ht="12.75" hidden="false" customHeight="true" outlineLevel="0" collapsed="false">
      <c r="H116" s="185"/>
      <c r="I116" s="185"/>
      <c r="J116" s="185"/>
      <c r="L116" s="186"/>
      <c r="M116" s="186"/>
      <c r="N116" s="186"/>
      <c r="O116" s="186"/>
      <c r="P116" s="186"/>
      <c r="Q116" s="186"/>
      <c r="R116" s="186"/>
      <c r="U116" s="153"/>
      <c r="V116" s="153"/>
      <c r="W116" s="153"/>
      <c r="X116" s="153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</row>
    <row r="117" customFormat="false" ht="12.75" hidden="false" customHeight="true" outlineLevel="0" collapsed="false">
      <c r="H117" s="185"/>
      <c r="I117" s="185"/>
      <c r="J117" s="185"/>
      <c r="L117" s="186"/>
      <c r="M117" s="186"/>
      <c r="N117" s="186"/>
      <c r="O117" s="186"/>
      <c r="P117" s="186"/>
      <c r="Q117" s="186"/>
      <c r="R117" s="186"/>
      <c r="U117" s="153"/>
      <c r="V117" s="153"/>
      <c r="W117" s="153"/>
      <c r="X117" s="153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</row>
    <row r="118" customFormat="false" ht="12.75" hidden="false" customHeight="true" outlineLevel="0" collapsed="false">
      <c r="H118" s="185"/>
      <c r="I118" s="185"/>
      <c r="J118" s="185"/>
      <c r="L118" s="186"/>
      <c r="M118" s="186"/>
      <c r="N118" s="186"/>
      <c r="O118" s="186"/>
      <c r="P118" s="186"/>
      <c r="Q118" s="186"/>
      <c r="R118" s="186"/>
      <c r="U118" s="153"/>
      <c r="V118" s="153"/>
      <c r="W118" s="153"/>
      <c r="X118" s="153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</row>
    <row r="119" customFormat="false" ht="12.75" hidden="false" customHeight="true" outlineLevel="0" collapsed="false">
      <c r="H119" s="185"/>
      <c r="I119" s="185"/>
      <c r="J119" s="185"/>
      <c r="L119" s="186"/>
      <c r="M119" s="186"/>
      <c r="N119" s="186"/>
      <c r="O119" s="186"/>
      <c r="P119" s="186"/>
      <c r="Q119" s="186"/>
      <c r="R119" s="186"/>
      <c r="U119" s="153"/>
      <c r="V119" s="153"/>
      <c r="W119" s="153"/>
      <c r="X119" s="153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</row>
    <row r="120" customFormat="false" ht="12.75" hidden="false" customHeight="true" outlineLevel="0" collapsed="false">
      <c r="H120" s="185"/>
      <c r="I120" s="185"/>
      <c r="J120" s="185"/>
      <c r="L120" s="186"/>
      <c r="M120" s="186"/>
      <c r="N120" s="186"/>
      <c r="O120" s="186"/>
      <c r="P120" s="186"/>
      <c r="Q120" s="186"/>
      <c r="R120" s="186"/>
      <c r="U120" s="153"/>
      <c r="V120" s="153"/>
      <c r="W120" s="153"/>
      <c r="X120" s="153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</row>
    <row r="121" customFormat="false" ht="12.75" hidden="false" customHeight="true" outlineLevel="0" collapsed="false">
      <c r="H121" s="185"/>
      <c r="I121" s="185"/>
      <c r="J121" s="185"/>
      <c r="L121" s="186"/>
      <c r="M121" s="186"/>
      <c r="N121" s="186"/>
      <c r="O121" s="186"/>
      <c r="P121" s="186"/>
      <c r="Q121" s="186"/>
      <c r="R121" s="186"/>
      <c r="U121" s="153"/>
      <c r="V121" s="153"/>
      <c r="W121" s="153"/>
      <c r="X121" s="153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</row>
    <row r="122" customFormat="false" ht="12.75" hidden="false" customHeight="true" outlineLevel="0" collapsed="false">
      <c r="H122" s="185"/>
      <c r="I122" s="185"/>
      <c r="J122" s="185"/>
      <c r="L122" s="186"/>
      <c r="M122" s="186"/>
      <c r="N122" s="186"/>
      <c r="O122" s="186"/>
      <c r="P122" s="186"/>
      <c r="Q122" s="186"/>
      <c r="R122" s="186"/>
      <c r="U122" s="153"/>
      <c r="V122" s="153"/>
      <c r="W122" s="153"/>
      <c r="X122" s="153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</row>
    <row r="123" customFormat="false" ht="12.75" hidden="false" customHeight="true" outlineLevel="0" collapsed="false">
      <c r="H123" s="185"/>
      <c r="I123" s="185"/>
      <c r="J123" s="185"/>
      <c r="L123" s="186"/>
      <c r="M123" s="186"/>
      <c r="N123" s="186"/>
      <c r="O123" s="186"/>
      <c r="P123" s="186"/>
      <c r="Q123" s="186"/>
      <c r="R123" s="186"/>
      <c r="U123" s="153"/>
      <c r="V123" s="153"/>
      <c r="W123" s="153"/>
      <c r="X123" s="153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</row>
    <row r="124" customFormat="false" ht="12.75" hidden="false" customHeight="true" outlineLevel="0" collapsed="false">
      <c r="H124" s="185"/>
      <c r="I124" s="185"/>
      <c r="J124" s="185"/>
      <c r="L124" s="186"/>
      <c r="M124" s="186"/>
      <c r="N124" s="186"/>
      <c r="O124" s="186"/>
      <c r="P124" s="186"/>
      <c r="Q124" s="186"/>
      <c r="R124" s="186"/>
      <c r="U124" s="153"/>
      <c r="V124" s="153"/>
      <c r="W124" s="153"/>
      <c r="X124" s="153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</row>
    <row r="125" customFormat="false" ht="12.75" hidden="false" customHeight="true" outlineLevel="0" collapsed="false">
      <c r="H125" s="185"/>
      <c r="I125" s="185"/>
      <c r="J125" s="185"/>
      <c r="L125" s="186"/>
      <c r="M125" s="186"/>
      <c r="N125" s="186"/>
      <c r="O125" s="186"/>
      <c r="P125" s="186"/>
      <c r="Q125" s="186"/>
      <c r="R125" s="186"/>
      <c r="U125" s="153"/>
      <c r="V125" s="153"/>
      <c r="W125" s="153"/>
      <c r="X125" s="153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</row>
    <row r="126" customFormat="false" ht="12.75" hidden="false" customHeight="true" outlineLevel="0" collapsed="false">
      <c r="H126" s="185"/>
      <c r="I126" s="185"/>
      <c r="J126" s="185"/>
      <c r="L126" s="186"/>
      <c r="M126" s="186"/>
      <c r="N126" s="186"/>
      <c r="O126" s="186"/>
      <c r="P126" s="186"/>
      <c r="Q126" s="186"/>
      <c r="R126" s="186"/>
      <c r="U126" s="153"/>
      <c r="V126" s="153"/>
      <c r="W126" s="153"/>
      <c r="X126" s="153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</row>
    <row r="127" customFormat="false" ht="12.75" hidden="false" customHeight="true" outlineLevel="0" collapsed="false">
      <c r="H127" s="185"/>
      <c r="I127" s="185"/>
      <c r="J127" s="185"/>
      <c r="L127" s="186"/>
      <c r="M127" s="186"/>
      <c r="N127" s="186"/>
      <c r="O127" s="186"/>
      <c r="P127" s="186"/>
      <c r="Q127" s="186"/>
      <c r="R127" s="186"/>
      <c r="U127" s="153"/>
      <c r="V127" s="153"/>
      <c r="W127" s="153"/>
      <c r="X127" s="153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</row>
    <row r="128" customFormat="false" ht="12.75" hidden="false" customHeight="true" outlineLevel="0" collapsed="false">
      <c r="H128" s="185"/>
      <c r="I128" s="185"/>
      <c r="J128" s="185"/>
      <c r="L128" s="186"/>
      <c r="M128" s="186"/>
      <c r="N128" s="186"/>
      <c r="O128" s="186"/>
      <c r="P128" s="186"/>
      <c r="Q128" s="186"/>
      <c r="R128" s="186"/>
      <c r="U128" s="153"/>
      <c r="V128" s="153"/>
      <c r="W128" s="153"/>
      <c r="X128" s="153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</row>
    <row r="129" customFormat="false" ht="12.75" hidden="false" customHeight="true" outlineLevel="0" collapsed="false">
      <c r="H129" s="185"/>
      <c r="I129" s="185"/>
      <c r="J129" s="185"/>
      <c r="L129" s="186"/>
      <c r="M129" s="186"/>
      <c r="N129" s="186"/>
      <c r="O129" s="186"/>
      <c r="P129" s="186"/>
      <c r="Q129" s="186"/>
      <c r="R129" s="186"/>
      <c r="U129" s="153"/>
      <c r="V129" s="153"/>
      <c r="W129" s="153"/>
      <c r="X129" s="153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</row>
    <row r="130" customFormat="false" ht="12.75" hidden="false" customHeight="true" outlineLevel="0" collapsed="false">
      <c r="H130" s="185"/>
      <c r="I130" s="185"/>
      <c r="J130" s="185"/>
      <c r="L130" s="186"/>
      <c r="M130" s="186"/>
      <c r="N130" s="186"/>
      <c r="O130" s="186"/>
      <c r="P130" s="186"/>
      <c r="Q130" s="186"/>
      <c r="R130" s="186"/>
      <c r="U130" s="153"/>
      <c r="V130" s="153"/>
      <c r="W130" s="153"/>
      <c r="X130" s="153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</row>
    <row r="131" customFormat="false" ht="12.75" hidden="false" customHeight="true" outlineLevel="0" collapsed="false">
      <c r="H131" s="185"/>
      <c r="I131" s="185"/>
      <c r="J131" s="185"/>
      <c r="L131" s="186"/>
      <c r="M131" s="186"/>
      <c r="N131" s="186"/>
      <c r="O131" s="186"/>
      <c r="P131" s="186"/>
      <c r="Q131" s="186"/>
      <c r="R131" s="186"/>
      <c r="U131" s="153"/>
      <c r="V131" s="153"/>
      <c r="W131" s="153"/>
      <c r="X131" s="153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</row>
    <row r="132" customFormat="false" ht="12.75" hidden="false" customHeight="true" outlineLevel="0" collapsed="false">
      <c r="H132" s="185"/>
      <c r="I132" s="185"/>
      <c r="J132" s="185"/>
      <c r="L132" s="186"/>
      <c r="M132" s="186"/>
      <c r="N132" s="186"/>
      <c r="O132" s="186"/>
      <c r="P132" s="186"/>
      <c r="Q132" s="186"/>
      <c r="R132" s="186"/>
      <c r="U132" s="153"/>
      <c r="V132" s="153"/>
      <c r="W132" s="153"/>
      <c r="X132" s="153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</row>
    <row r="133" customFormat="false" ht="12.75" hidden="false" customHeight="true" outlineLevel="0" collapsed="false">
      <c r="H133" s="185"/>
      <c r="I133" s="185"/>
      <c r="J133" s="185"/>
      <c r="L133" s="186"/>
      <c r="M133" s="186"/>
      <c r="N133" s="186"/>
      <c r="O133" s="186"/>
      <c r="P133" s="186"/>
      <c r="Q133" s="186"/>
      <c r="R133" s="186"/>
      <c r="U133" s="153"/>
      <c r="V133" s="153"/>
      <c r="W133" s="153"/>
      <c r="X133" s="153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</row>
    <row r="134" customFormat="false" ht="12.75" hidden="false" customHeight="true" outlineLevel="0" collapsed="false">
      <c r="H134" s="185"/>
      <c r="I134" s="185"/>
      <c r="J134" s="185"/>
      <c r="L134" s="186"/>
      <c r="M134" s="186"/>
      <c r="N134" s="186"/>
      <c r="O134" s="186"/>
      <c r="P134" s="186"/>
      <c r="Q134" s="186"/>
      <c r="R134" s="186"/>
      <c r="U134" s="153"/>
      <c r="V134" s="153"/>
      <c r="W134" s="153"/>
      <c r="X134" s="153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</row>
    <row r="135" customFormat="false" ht="12.75" hidden="false" customHeight="true" outlineLevel="0" collapsed="false">
      <c r="H135" s="185"/>
      <c r="I135" s="185"/>
      <c r="J135" s="185"/>
      <c r="L135" s="186"/>
      <c r="M135" s="186"/>
      <c r="N135" s="186"/>
      <c r="O135" s="186"/>
      <c r="P135" s="186"/>
      <c r="Q135" s="186"/>
      <c r="R135" s="186"/>
      <c r="U135" s="153"/>
      <c r="V135" s="153"/>
      <c r="W135" s="153"/>
      <c r="X135" s="153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</row>
    <row r="136" customFormat="false" ht="12.75" hidden="false" customHeight="true" outlineLevel="0" collapsed="false">
      <c r="H136" s="185"/>
      <c r="I136" s="185"/>
      <c r="J136" s="185"/>
      <c r="L136" s="186"/>
      <c r="M136" s="186"/>
      <c r="N136" s="186"/>
      <c r="O136" s="186"/>
      <c r="P136" s="186"/>
      <c r="Q136" s="186"/>
      <c r="R136" s="186"/>
      <c r="U136" s="153"/>
      <c r="V136" s="153"/>
      <c r="W136" s="153"/>
      <c r="X136" s="153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</row>
    <row r="137" customFormat="false" ht="12.75" hidden="false" customHeight="true" outlineLevel="0" collapsed="false">
      <c r="H137" s="185"/>
      <c r="I137" s="185"/>
      <c r="J137" s="185"/>
      <c r="L137" s="186"/>
      <c r="M137" s="186"/>
      <c r="N137" s="186"/>
      <c r="O137" s="186"/>
      <c r="P137" s="186"/>
      <c r="Q137" s="186"/>
      <c r="R137" s="186"/>
      <c r="U137" s="153"/>
      <c r="V137" s="153"/>
      <c r="W137" s="153"/>
      <c r="X137" s="153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</row>
    <row r="138" customFormat="false" ht="12.75" hidden="false" customHeight="true" outlineLevel="0" collapsed="false">
      <c r="H138" s="185"/>
      <c r="I138" s="185"/>
      <c r="J138" s="185"/>
      <c r="L138" s="186"/>
      <c r="M138" s="186"/>
      <c r="N138" s="186"/>
      <c r="O138" s="186"/>
      <c r="P138" s="186"/>
      <c r="Q138" s="186"/>
      <c r="R138" s="186"/>
      <c r="U138" s="153"/>
      <c r="V138" s="153"/>
      <c r="W138" s="153"/>
      <c r="X138" s="153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</row>
    <row r="139" customFormat="false" ht="12.75" hidden="false" customHeight="true" outlineLevel="0" collapsed="false">
      <c r="H139" s="185"/>
      <c r="I139" s="185"/>
      <c r="J139" s="185"/>
      <c r="L139" s="186"/>
      <c r="M139" s="186"/>
      <c r="N139" s="186"/>
      <c r="O139" s="186"/>
      <c r="P139" s="186"/>
      <c r="Q139" s="186"/>
      <c r="R139" s="186"/>
      <c r="U139" s="153"/>
      <c r="V139" s="153"/>
      <c r="W139" s="153"/>
      <c r="X139" s="153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</row>
    <row r="140" customFormat="false" ht="12.75" hidden="false" customHeight="true" outlineLevel="0" collapsed="false">
      <c r="H140" s="185"/>
      <c r="I140" s="185"/>
      <c r="J140" s="185"/>
      <c r="L140" s="186"/>
      <c r="M140" s="186"/>
      <c r="N140" s="186"/>
      <c r="O140" s="186"/>
      <c r="P140" s="186"/>
      <c r="Q140" s="186"/>
      <c r="R140" s="186"/>
      <c r="U140" s="153"/>
      <c r="V140" s="153"/>
      <c r="W140" s="153"/>
      <c r="X140" s="153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</row>
    <row r="141" customFormat="false" ht="12.75" hidden="false" customHeight="true" outlineLevel="0" collapsed="false">
      <c r="H141" s="185"/>
      <c r="I141" s="185"/>
      <c r="J141" s="185"/>
      <c r="L141" s="186"/>
      <c r="M141" s="186"/>
      <c r="N141" s="186"/>
      <c r="O141" s="186"/>
      <c r="P141" s="186"/>
      <c r="Q141" s="186"/>
      <c r="R141" s="186"/>
      <c r="U141" s="153"/>
      <c r="V141" s="153"/>
      <c r="W141" s="153"/>
      <c r="X141" s="153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</row>
    <row r="142" customFormat="false" ht="12.75" hidden="false" customHeight="true" outlineLevel="0" collapsed="false">
      <c r="H142" s="185"/>
      <c r="I142" s="185"/>
      <c r="J142" s="185"/>
      <c r="L142" s="186"/>
      <c r="M142" s="186"/>
      <c r="N142" s="186"/>
      <c r="O142" s="186"/>
      <c r="P142" s="186"/>
      <c r="Q142" s="186"/>
      <c r="R142" s="186"/>
      <c r="U142" s="153"/>
      <c r="V142" s="153"/>
      <c r="W142" s="153"/>
      <c r="X142" s="153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</row>
    <row r="143" customFormat="false" ht="12.75" hidden="false" customHeight="true" outlineLevel="0" collapsed="false">
      <c r="H143" s="185"/>
      <c r="I143" s="185"/>
      <c r="J143" s="185"/>
      <c r="L143" s="186"/>
      <c r="M143" s="186"/>
      <c r="N143" s="186"/>
      <c r="O143" s="186"/>
      <c r="P143" s="186"/>
      <c r="Q143" s="186"/>
      <c r="R143" s="186"/>
      <c r="U143" s="153"/>
      <c r="V143" s="153"/>
      <c r="W143" s="153"/>
      <c r="X143" s="153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</row>
    <row r="144" customFormat="false" ht="12.75" hidden="false" customHeight="true" outlineLevel="0" collapsed="false">
      <c r="H144" s="185"/>
      <c r="I144" s="185"/>
      <c r="J144" s="185"/>
      <c r="L144" s="186"/>
      <c r="M144" s="186"/>
      <c r="N144" s="186"/>
      <c r="O144" s="186"/>
      <c r="P144" s="186"/>
      <c r="Q144" s="186"/>
      <c r="R144" s="186"/>
      <c r="U144" s="153"/>
      <c r="V144" s="153"/>
      <c r="W144" s="153"/>
      <c r="X144" s="153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</row>
    <row r="145" customFormat="false" ht="12.75" hidden="false" customHeight="true" outlineLevel="0" collapsed="false">
      <c r="H145" s="185"/>
      <c r="I145" s="185"/>
      <c r="J145" s="185"/>
      <c r="L145" s="186"/>
      <c r="M145" s="186"/>
      <c r="N145" s="186"/>
      <c r="O145" s="186"/>
      <c r="P145" s="186"/>
      <c r="Q145" s="186"/>
      <c r="R145" s="186"/>
      <c r="U145" s="153"/>
      <c r="V145" s="153"/>
      <c r="W145" s="153"/>
      <c r="X145" s="153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</row>
    <row r="146" customFormat="false" ht="12.75" hidden="false" customHeight="true" outlineLevel="0" collapsed="false">
      <c r="H146" s="185"/>
      <c r="I146" s="185"/>
      <c r="J146" s="185"/>
      <c r="L146" s="186"/>
      <c r="M146" s="186"/>
      <c r="N146" s="186"/>
      <c r="O146" s="186"/>
      <c r="P146" s="186"/>
      <c r="Q146" s="186"/>
      <c r="R146" s="186"/>
      <c r="U146" s="153"/>
      <c r="V146" s="153"/>
      <c r="W146" s="153"/>
      <c r="X146" s="153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</row>
    <row r="147" customFormat="false" ht="12.75" hidden="false" customHeight="true" outlineLevel="0" collapsed="false">
      <c r="H147" s="185"/>
      <c r="I147" s="185"/>
      <c r="J147" s="185"/>
      <c r="L147" s="186"/>
      <c r="M147" s="186"/>
      <c r="N147" s="186"/>
      <c r="O147" s="186"/>
      <c r="P147" s="186"/>
      <c r="Q147" s="186"/>
      <c r="R147" s="186"/>
      <c r="U147" s="153"/>
      <c r="V147" s="153"/>
      <c r="W147" s="153"/>
      <c r="X147" s="153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</row>
    <row r="148" customFormat="false" ht="12.75" hidden="false" customHeight="true" outlineLevel="0" collapsed="false">
      <c r="H148" s="185"/>
      <c r="I148" s="185"/>
      <c r="J148" s="185"/>
      <c r="L148" s="186"/>
      <c r="M148" s="186"/>
      <c r="N148" s="186"/>
      <c r="O148" s="186"/>
      <c r="P148" s="186"/>
      <c r="Q148" s="186"/>
      <c r="R148" s="186"/>
      <c r="U148" s="153"/>
      <c r="V148" s="153"/>
      <c r="W148" s="153"/>
      <c r="X148" s="153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</row>
    <row r="149" customFormat="false" ht="12.75" hidden="false" customHeight="true" outlineLevel="0" collapsed="false">
      <c r="H149" s="185"/>
      <c r="I149" s="185"/>
      <c r="J149" s="185"/>
      <c r="L149" s="186"/>
      <c r="M149" s="186"/>
      <c r="N149" s="186"/>
      <c r="O149" s="186"/>
      <c r="P149" s="186"/>
      <c r="Q149" s="186"/>
      <c r="R149" s="186"/>
      <c r="U149" s="153"/>
      <c r="V149" s="153"/>
      <c r="W149" s="153"/>
      <c r="X149" s="153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</row>
    <row r="150" customFormat="false" ht="12.75" hidden="false" customHeight="true" outlineLevel="0" collapsed="false">
      <c r="H150" s="185"/>
      <c r="I150" s="185"/>
      <c r="J150" s="185"/>
      <c r="L150" s="186"/>
      <c r="M150" s="186"/>
      <c r="N150" s="186"/>
      <c r="O150" s="186"/>
      <c r="P150" s="186"/>
      <c r="Q150" s="186"/>
      <c r="R150" s="186"/>
      <c r="U150" s="153"/>
      <c r="V150" s="153"/>
      <c r="W150" s="153"/>
      <c r="X150" s="153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</row>
    <row r="151" customFormat="false" ht="12.75" hidden="false" customHeight="true" outlineLevel="0" collapsed="false">
      <c r="H151" s="185"/>
      <c r="I151" s="185"/>
      <c r="J151" s="185"/>
      <c r="L151" s="186"/>
      <c r="M151" s="186"/>
      <c r="N151" s="186"/>
      <c r="O151" s="186"/>
      <c r="P151" s="186"/>
      <c r="Q151" s="186"/>
      <c r="R151" s="186"/>
      <c r="U151" s="153"/>
      <c r="V151" s="153"/>
      <c r="W151" s="153"/>
      <c r="X151" s="153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</row>
    <row r="152" customFormat="false" ht="12.75" hidden="false" customHeight="true" outlineLevel="0" collapsed="false">
      <c r="H152" s="185"/>
      <c r="I152" s="185"/>
      <c r="J152" s="185"/>
      <c r="L152" s="186"/>
      <c r="M152" s="186"/>
      <c r="N152" s="186"/>
      <c r="O152" s="186"/>
      <c r="P152" s="186"/>
      <c r="Q152" s="186"/>
      <c r="R152" s="186"/>
      <c r="U152" s="153"/>
      <c r="V152" s="153"/>
      <c r="W152" s="153"/>
      <c r="X152" s="153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</row>
    <row r="153" customFormat="false" ht="12.75" hidden="false" customHeight="true" outlineLevel="0" collapsed="false">
      <c r="H153" s="185"/>
      <c r="I153" s="185"/>
      <c r="J153" s="185"/>
      <c r="L153" s="186"/>
      <c r="M153" s="186"/>
      <c r="N153" s="186"/>
      <c r="O153" s="186"/>
      <c r="P153" s="186"/>
      <c r="Q153" s="186"/>
      <c r="R153" s="186"/>
      <c r="U153" s="153"/>
      <c r="V153" s="153"/>
      <c r="W153" s="153"/>
      <c r="X153" s="153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</row>
    <row r="154" customFormat="false" ht="12.75" hidden="false" customHeight="true" outlineLevel="0" collapsed="false">
      <c r="H154" s="185"/>
      <c r="I154" s="185"/>
      <c r="J154" s="185"/>
      <c r="L154" s="186"/>
      <c r="M154" s="186"/>
      <c r="N154" s="186"/>
      <c r="O154" s="186"/>
      <c r="P154" s="186"/>
      <c r="Q154" s="186"/>
      <c r="R154" s="186"/>
      <c r="U154" s="153"/>
      <c r="V154" s="153"/>
      <c r="W154" s="153"/>
      <c r="X154" s="153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</row>
    <row r="155" customFormat="false" ht="12.75" hidden="false" customHeight="true" outlineLevel="0" collapsed="false">
      <c r="H155" s="185"/>
      <c r="I155" s="185"/>
      <c r="J155" s="185"/>
      <c r="L155" s="186"/>
      <c r="M155" s="186"/>
      <c r="N155" s="186"/>
      <c r="O155" s="186"/>
      <c r="P155" s="186"/>
      <c r="Q155" s="186"/>
      <c r="R155" s="186"/>
      <c r="U155" s="153"/>
      <c r="V155" s="153"/>
      <c r="W155" s="153"/>
      <c r="X155" s="153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</row>
    <row r="156" customFormat="false" ht="12.75" hidden="false" customHeight="true" outlineLevel="0" collapsed="false">
      <c r="H156" s="185"/>
      <c r="I156" s="185"/>
      <c r="J156" s="185"/>
      <c r="L156" s="186"/>
      <c r="M156" s="186"/>
      <c r="N156" s="186"/>
      <c r="O156" s="186"/>
      <c r="P156" s="186"/>
      <c r="Q156" s="186"/>
      <c r="R156" s="186"/>
      <c r="U156" s="153"/>
      <c r="V156" s="153"/>
      <c r="W156" s="153"/>
      <c r="X156" s="153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</row>
    <row r="157" customFormat="false" ht="12.75" hidden="false" customHeight="true" outlineLevel="0" collapsed="false">
      <c r="H157" s="185"/>
      <c r="I157" s="185"/>
      <c r="J157" s="185"/>
      <c r="L157" s="186"/>
      <c r="M157" s="186"/>
      <c r="N157" s="186"/>
      <c r="O157" s="186"/>
      <c r="P157" s="186"/>
      <c r="Q157" s="186"/>
      <c r="R157" s="186"/>
      <c r="U157" s="153"/>
      <c r="V157" s="153"/>
      <c r="W157" s="153"/>
      <c r="X157" s="153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</row>
    <row r="158" customFormat="false" ht="12.75" hidden="false" customHeight="true" outlineLevel="0" collapsed="false">
      <c r="H158" s="185"/>
      <c r="I158" s="185"/>
      <c r="J158" s="185"/>
      <c r="L158" s="186"/>
      <c r="M158" s="186"/>
      <c r="N158" s="186"/>
      <c r="O158" s="186"/>
      <c r="P158" s="186"/>
      <c r="Q158" s="186"/>
      <c r="R158" s="186"/>
      <c r="U158" s="153"/>
      <c r="V158" s="153"/>
      <c r="W158" s="153"/>
      <c r="X158" s="153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</row>
    <row r="159" customFormat="false" ht="12.75" hidden="false" customHeight="true" outlineLevel="0" collapsed="false">
      <c r="H159" s="185"/>
      <c r="I159" s="185"/>
      <c r="J159" s="185"/>
      <c r="L159" s="186"/>
      <c r="M159" s="186"/>
      <c r="N159" s="186"/>
      <c r="O159" s="186"/>
      <c r="P159" s="186"/>
      <c r="Q159" s="186"/>
      <c r="R159" s="186"/>
      <c r="U159" s="153"/>
      <c r="V159" s="153"/>
      <c r="W159" s="153"/>
      <c r="X159" s="153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</row>
    <row r="160" customFormat="false" ht="12.75" hidden="false" customHeight="true" outlineLevel="0" collapsed="false">
      <c r="H160" s="185"/>
      <c r="I160" s="185"/>
      <c r="J160" s="185"/>
      <c r="L160" s="186"/>
      <c r="M160" s="186"/>
      <c r="N160" s="186"/>
      <c r="O160" s="186"/>
      <c r="P160" s="186"/>
      <c r="Q160" s="186"/>
      <c r="R160" s="186"/>
      <c r="U160" s="153"/>
      <c r="V160" s="153"/>
      <c r="W160" s="153"/>
      <c r="X160" s="153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</row>
    <row r="161" customFormat="false" ht="12.75" hidden="false" customHeight="true" outlineLevel="0" collapsed="false">
      <c r="H161" s="185"/>
      <c r="I161" s="185"/>
      <c r="J161" s="185"/>
      <c r="L161" s="186"/>
      <c r="M161" s="186"/>
      <c r="N161" s="186"/>
      <c r="O161" s="186"/>
      <c r="P161" s="186"/>
      <c r="Q161" s="186"/>
      <c r="R161" s="186"/>
      <c r="U161" s="153"/>
      <c r="V161" s="153"/>
      <c r="W161" s="153"/>
      <c r="X161" s="153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</row>
    <row r="162" customFormat="false" ht="12.75" hidden="false" customHeight="true" outlineLevel="0" collapsed="false">
      <c r="H162" s="185"/>
      <c r="I162" s="185"/>
      <c r="J162" s="185"/>
      <c r="L162" s="186"/>
      <c r="M162" s="186"/>
      <c r="N162" s="186"/>
      <c r="O162" s="186"/>
      <c r="P162" s="186"/>
      <c r="Q162" s="186"/>
      <c r="R162" s="186"/>
      <c r="U162" s="153"/>
      <c r="V162" s="153"/>
      <c r="W162" s="153"/>
      <c r="X162" s="153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</row>
    <row r="163" customFormat="false" ht="12.75" hidden="false" customHeight="true" outlineLevel="0" collapsed="false">
      <c r="H163" s="185"/>
      <c r="I163" s="185"/>
      <c r="J163" s="185"/>
      <c r="L163" s="186"/>
      <c r="M163" s="186"/>
      <c r="N163" s="186"/>
      <c r="O163" s="186"/>
      <c r="P163" s="186"/>
      <c r="Q163" s="186"/>
      <c r="R163" s="186"/>
      <c r="U163" s="153"/>
      <c r="V163" s="153"/>
      <c r="W163" s="153"/>
      <c r="X163" s="153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</row>
    <row r="164" customFormat="false" ht="12.75" hidden="false" customHeight="true" outlineLevel="0" collapsed="false">
      <c r="H164" s="185"/>
      <c r="I164" s="185"/>
      <c r="J164" s="185"/>
      <c r="L164" s="186"/>
      <c r="M164" s="186"/>
      <c r="N164" s="186"/>
      <c r="O164" s="186"/>
      <c r="P164" s="186"/>
      <c r="Q164" s="186"/>
      <c r="R164" s="186"/>
      <c r="U164" s="153"/>
      <c r="V164" s="153"/>
      <c r="W164" s="153"/>
      <c r="X164" s="153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</row>
    <row r="165" customFormat="false" ht="12.75" hidden="false" customHeight="true" outlineLevel="0" collapsed="false">
      <c r="H165" s="185"/>
      <c r="I165" s="185"/>
      <c r="J165" s="185"/>
      <c r="L165" s="186"/>
      <c r="M165" s="186"/>
      <c r="N165" s="186"/>
      <c r="O165" s="186"/>
      <c r="P165" s="186"/>
      <c r="Q165" s="186"/>
      <c r="R165" s="186"/>
      <c r="U165" s="153"/>
      <c r="V165" s="153"/>
      <c r="W165" s="153"/>
      <c r="X165" s="153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</row>
    <row r="166" customFormat="false" ht="12.75" hidden="false" customHeight="true" outlineLevel="0" collapsed="false">
      <c r="H166" s="185"/>
      <c r="I166" s="185"/>
      <c r="J166" s="185"/>
      <c r="L166" s="186"/>
      <c r="M166" s="186"/>
      <c r="N166" s="186"/>
      <c r="O166" s="186"/>
      <c r="P166" s="186"/>
      <c r="Q166" s="186"/>
      <c r="R166" s="186"/>
      <c r="U166" s="153"/>
      <c r="V166" s="153"/>
      <c r="W166" s="153"/>
      <c r="X166" s="153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</row>
    <row r="167" customFormat="false" ht="12.75" hidden="false" customHeight="true" outlineLevel="0" collapsed="false">
      <c r="H167" s="185"/>
      <c r="I167" s="185"/>
      <c r="J167" s="185"/>
      <c r="L167" s="186"/>
      <c r="M167" s="186"/>
      <c r="N167" s="186"/>
      <c r="O167" s="186"/>
      <c r="P167" s="186"/>
      <c r="Q167" s="186"/>
      <c r="R167" s="186"/>
      <c r="U167" s="153"/>
      <c r="V167" s="153"/>
      <c r="W167" s="153"/>
      <c r="X167" s="153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</row>
    <row r="168" customFormat="false" ht="12.75" hidden="false" customHeight="true" outlineLevel="0" collapsed="false">
      <c r="H168" s="185"/>
      <c r="I168" s="185"/>
      <c r="J168" s="185"/>
      <c r="L168" s="186"/>
      <c r="M168" s="186"/>
      <c r="N168" s="186"/>
      <c r="O168" s="186"/>
      <c r="P168" s="186"/>
      <c r="Q168" s="186"/>
      <c r="R168" s="186"/>
      <c r="U168" s="153"/>
      <c r="V168" s="153"/>
      <c r="W168" s="153"/>
      <c r="X168" s="153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</row>
    <row r="169" customFormat="false" ht="12.75" hidden="false" customHeight="true" outlineLevel="0" collapsed="false">
      <c r="H169" s="185"/>
      <c r="I169" s="185"/>
      <c r="J169" s="185"/>
      <c r="L169" s="186"/>
      <c r="M169" s="186"/>
      <c r="N169" s="186"/>
      <c r="O169" s="186"/>
      <c r="P169" s="186"/>
      <c r="Q169" s="186"/>
      <c r="R169" s="186"/>
      <c r="U169" s="153"/>
      <c r="V169" s="153"/>
      <c r="W169" s="153"/>
      <c r="X169" s="153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</row>
    <row r="170" customFormat="false" ht="12.75" hidden="false" customHeight="true" outlineLevel="0" collapsed="false">
      <c r="H170" s="185"/>
      <c r="I170" s="185"/>
      <c r="J170" s="185"/>
      <c r="L170" s="186"/>
      <c r="M170" s="186"/>
      <c r="N170" s="186"/>
      <c r="O170" s="186"/>
      <c r="P170" s="186"/>
      <c r="Q170" s="186"/>
      <c r="R170" s="186"/>
      <c r="U170" s="153"/>
      <c r="V170" s="153"/>
      <c r="W170" s="153"/>
      <c r="X170" s="153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</row>
    <row r="171" customFormat="false" ht="12.75" hidden="false" customHeight="true" outlineLevel="0" collapsed="false">
      <c r="H171" s="185"/>
      <c r="I171" s="185"/>
      <c r="J171" s="185"/>
      <c r="L171" s="186"/>
      <c r="M171" s="186"/>
      <c r="N171" s="186"/>
      <c r="O171" s="186"/>
      <c r="P171" s="186"/>
      <c r="Q171" s="186"/>
      <c r="R171" s="186"/>
      <c r="U171" s="153"/>
      <c r="V171" s="153"/>
      <c r="W171" s="153"/>
      <c r="X171" s="153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</row>
    <row r="172" customFormat="false" ht="12.75" hidden="false" customHeight="true" outlineLevel="0" collapsed="false">
      <c r="H172" s="185"/>
      <c r="I172" s="185"/>
      <c r="J172" s="185"/>
      <c r="L172" s="186"/>
      <c r="M172" s="186"/>
      <c r="N172" s="186"/>
      <c r="O172" s="186"/>
      <c r="P172" s="186"/>
      <c r="Q172" s="186"/>
      <c r="R172" s="186"/>
      <c r="U172" s="153"/>
      <c r="V172" s="153"/>
      <c r="W172" s="153"/>
      <c r="X172" s="153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</row>
    <row r="173" customFormat="false" ht="12.75" hidden="false" customHeight="true" outlineLevel="0" collapsed="false">
      <c r="H173" s="185"/>
      <c r="I173" s="185"/>
      <c r="J173" s="185"/>
      <c r="L173" s="186"/>
      <c r="M173" s="186"/>
      <c r="N173" s="186"/>
      <c r="O173" s="186"/>
      <c r="P173" s="186"/>
      <c r="Q173" s="186"/>
      <c r="R173" s="186"/>
      <c r="U173" s="153"/>
      <c r="V173" s="153"/>
      <c r="W173" s="153"/>
      <c r="X173" s="153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</row>
    <row r="174" customFormat="false" ht="12.75" hidden="false" customHeight="true" outlineLevel="0" collapsed="false">
      <c r="H174" s="185"/>
      <c r="I174" s="185"/>
      <c r="J174" s="185"/>
      <c r="L174" s="186"/>
      <c r="M174" s="186"/>
      <c r="N174" s="186"/>
      <c r="O174" s="186"/>
      <c r="P174" s="186"/>
      <c r="Q174" s="186"/>
      <c r="R174" s="186"/>
      <c r="U174" s="153"/>
      <c r="V174" s="153"/>
      <c r="W174" s="153"/>
      <c r="X174" s="153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</row>
    <row r="175" customFormat="false" ht="12.75" hidden="false" customHeight="true" outlineLevel="0" collapsed="false">
      <c r="H175" s="185"/>
      <c r="I175" s="185"/>
      <c r="J175" s="185"/>
      <c r="L175" s="186"/>
      <c r="M175" s="186"/>
      <c r="N175" s="186"/>
      <c r="O175" s="186"/>
      <c r="P175" s="186"/>
      <c r="Q175" s="186"/>
      <c r="R175" s="186"/>
      <c r="U175" s="153"/>
      <c r="V175" s="153"/>
      <c r="W175" s="153"/>
      <c r="X175" s="153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</row>
    <row r="176" customFormat="false" ht="12.75" hidden="false" customHeight="true" outlineLevel="0" collapsed="false">
      <c r="H176" s="185"/>
      <c r="I176" s="185"/>
      <c r="J176" s="185"/>
      <c r="L176" s="186"/>
      <c r="M176" s="186"/>
      <c r="N176" s="186"/>
      <c r="O176" s="186"/>
      <c r="P176" s="186"/>
      <c r="Q176" s="186"/>
      <c r="R176" s="186"/>
      <c r="U176" s="153"/>
      <c r="V176" s="153"/>
      <c r="W176" s="153"/>
      <c r="X176" s="153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</row>
    <row r="177" customFormat="false" ht="12.75" hidden="false" customHeight="true" outlineLevel="0" collapsed="false">
      <c r="H177" s="185"/>
      <c r="I177" s="185"/>
      <c r="J177" s="185"/>
      <c r="L177" s="186"/>
      <c r="M177" s="186"/>
      <c r="N177" s="186"/>
      <c r="O177" s="186"/>
      <c r="P177" s="186"/>
      <c r="Q177" s="186"/>
      <c r="R177" s="186"/>
      <c r="U177" s="153"/>
      <c r="V177" s="153"/>
      <c r="W177" s="153"/>
      <c r="X177" s="153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</row>
    <row r="178" customFormat="false" ht="12.75" hidden="false" customHeight="true" outlineLevel="0" collapsed="false">
      <c r="H178" s="185"/>
      <c r="I178" s="185"/>
      <c r="J178" s="185"/>
      <c r="L178" s="186"/>
      <c r="M178" s="186"/>
      <c r="N178" s="186"/>
      <c r="O178" s="186"/>
      <c r="P178" s="186"/>
      <c r="Q178" s="186"/>
      <c r="R178" s="186"/>
      <c r="U178" s="153"/>
      <c r="V178" s="153"/>
      <c r="W178" s="153"/>
      <c r="X178" s="153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</row>
    <row r="179" customFormat="false" ht="12.75" hidden="false" customHeight="true" outlineLevel="0" collapsed="false">
      <c r="H179" s="185"/>
      <c r="I179" s="185"/>
      <c r="J179" s="185"/>
      <c r="L179" s="186"/>
      <c r="M179" s="186"/>
      <c r="N179" s="186"/>
      <c r="O179" s="186"/>
      <c r="P179" s="186"/>
      <c r="Q179" s="186"/>
      <c r="R179" s="186"/>
      <c r="U179" s="153"/>
      <c r="V179" s="153"/>
      <c r="W179" s="153"/>
      <c r="X179" s="153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</row>
    <row r="180" customFormat="false" ht="12.75" hidden="false" customHeight="true" outlineLevel="0" collapsed="false">
      <c r="H180" s="185"/>
      <c r="I180" s="185"/>
      <c r="J180" s="185"/>
      <c r="L180" s="186"/>
      <c r="M180" s="186"/>
      <c r="N180" s="186"/>
      <c r="O180" s="186"/>
      <c r="P180" s="186"/>
      <c r="Q180" s="186"/>
      <c r="R180" s="186"/>
      <c r="U180" s="153"/>
      <c r="V180" s="153"/>
      <c r="W180" s="153"/>
      <c r="X180" s="153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</row>
    <row r="181" customFormat="false" ht="12.75" hidden="false" customHeight="true" outlineLevel="0" collapsed="false">
      <c r="H181" s="185"/>
      <c r="I181" s="185"/>
      <c r="J181" s="185"/>
      <c r="L181" s="186"/>
      <c r="M181" s="186"/>
      <c r="N181" s="186"/>
      <c r="O181" s="186"/>
      <c r="P181" s="186"/>
      <c r="Q181" s="186"/>
      <c r="R181" s="186"/>
      <c r="U181" s="153"/>
      <c r="V181" s="153"/>
      <c r="W181" s="153"/>
      <c r="X181" s="153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</row>
    <row r="182" customFormat="false" ht="12.75" hidden="false" customHeight="true" outlineLevel="0" collapsed="false">
      <c r="H182" s="185"/>
      <c r="I182" s="185"/>
      <c r="J182" s="185"/>
      <c r="L182" s="186"/>
      <c r="M182" s="186"/>
      <c r="N182" s="186"/>
      <c r="O182" s="186"/>
      <c r="P182" s="186"/>
      <c r="Q182" s="186"/>
      <c r="R182" s="186"/>
      <c r="U182" s="153"/>
      <c r="V182" s="153"/>
      <c r="W182" s="153"/>
      <c r="X182" s="153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</row>
    <row r="183" customFormat="false" ht="12.75" hidden="false" customHeight="true" outlineLevel="0" collapsed="false">
      <c r="H183" s="185"/>
      <c r="I183" s="185"/>
      <c r="J183" s="185"/>
      <c r="L183" s="186"/>
      <c r="M183" s="186"/>
      <c r="N183" s="186"/>
      <c r="O183" s="186"/>
      <c r="P183" s="186"/>
      <c r="Q183" s="186"/>
      <c r="R183" s="186"/>
      <c r="U183" s="153"/>
      <c r="V183" s="153"/>
      <c r="W183" s="153"/>
      <c r="X183" s="153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</row>
    <row r="184" customFormat="false" ht="12.75" hidden="false" customHeight="true" outlineLevel="0" collapsed="false">
      <c r="H184" s="185"/>
      <c r="I184" s="185"/>
      <c r="J184" s="185"/>
      <c r="L184" s="186"/>
      <c r="M184" s="186"/>
      <c r="N184" s="186"/>
      <c r="O184" s="186"/>
      <c r="P184" s="186"/>
      <c r="Q184" s="186"/>
      <c r="R184" s="186"/>
      <c r="U184" s="153"/>
      <c r="V184" s="153"/>
      <c r="W184" s="153"/>
      <c r="X184" s="153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</row>
    <row r="185" customFormat="false" ht="12.75" hidden="false" customHeight="true" outlineLevel="0" collapsed="false">
      <c r="H185" s="185"/>
      <c r="I185" s="185"/>
      <c r="J185" s="185"/>
      <c r="L185" s="186"/>
      <c r="M185" s="186"/>
      <c r="N185" s="186"/>
      <c r="O185" s="186"/>
      <c r="P185" s="186"/>
      <c r="Q185" s="186"/>
      <c r="R185" s="186"/>
      <c r="U185" s="153"/>
      <c r="V185" s="153"/>
      <c r="W185" s="153"/>
      <c r="X185" s="153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</row>
    <row r="186" customFormat="false" ht="12.75" hidden="false" customHeight="true" outlineLevel="0" collapsed="false">
      <c r="H186" s="185"/>
      <c r="I186" s="185"/>
      <c r="J186" s="185"/>
      <c r="L186" s="186"/>
      <c r="M186" s="186"/>
      <c r="N186" s="186"/>
      <c r="O186" s="186"/>
      <c r="P186" s="186"/>
      <c r="Q186" s="186"/>
      <c r="R186" s="186"/>
      <c r="U186" s="153"/>
      <c r="V186" s="153"/>
      <c r="W186" s="153"/>
      <c r="X186" s="153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</row>
    <row r="187" customFormat="false" ht="12.75" hidden="false" customHeight="true" outlineLevel="0" collapsed="false">
      <c r="H187" s="185"/>
      <c r="I187" s="185"/>
      <c r="J187" s="185"/>
      <c r="L187" s="186"/>
      <c r="M187" s="186"/>
      <c r="N187" s="186"/>
      <c r="O187" s="186"/>
      <c r="P187" s="186"/>
      <c r="Q187" s="186"/>
      <c r="R187" s="186"/>
      <c r="U187" s="153"/>
      <c r="V187" s="153"/>
      <c r="W187" s="153"/>
      <c r="X187" s="153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</row>
    <row r="188" customFormat="false" ht="12.75" hidden="false" customHeight="true" outlineLevel="0" collapsed="false">
      <c r="H188" s="185"/>
      <c r="I188" s="185"/>
      <c r="J188" s="185"/>
      <c r="L188" s="186"/>
      <c r="M188" s="186"/>
      <c r="N188" s="186"/>
      <c r="O188" s="186"/>
      <c r="P188" s="186"/>
      <c r="Q188" s="186"/>
      <c r="R188" s="186"/>
      <c r="U188" s="153"/>
      <c r="V188" s="153"/>
      <c r="W188" s="153"/>
      <c r="X188" s="153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</row>
    <row r="189" customFormat="false" ht="12.75" hidden="false" customHeight="true" outlineLevel="0" collapsed="false">
      <c r="H189" s="185"/>
      <c r="I189" s="185"/>
      <c r="J189" s="185"/>
      <c r="L189" s="186"/>
      <c r="M189" s="186"/>
      <c r="N189" s="186"/>
      <c r="O189" s="186"/>
      <c r="P189" s="186"/>
      <c r="Q189" s="186"/>
      <c r="R189" s="186"/>
      <c r="U189" s="153"/>
      <c r="V189" s="153"/>
      <c r="W189" s="153"/>
      <c r="X189" s="153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</row>
    <row r="190" customFormat="false" ht="12.75" hidden="false" customHeight="true" outlineLevel="0" collapsed="false">
      <c r="H190" s="185"/>
      <c r="I190" s="185"/>
      <c r="J190" s="185"/>
      <c r="L190" s="186"/>
      <c r="M190" s="186"/>
      <c r="N190" s="186"/>
      <c r="O190" s="186"/>
      <c r="P190" s="186"/>
      <c r="Q190" s="186"/>
      <c r="R190" s="186"/>
      <c r="U190" s="153"/>
      <c r="V190" s="153"/>
      <c r="W190" s="153"/>
      <c r="X190" s="153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</row>
    <row r="191" customFormat="false" ht="12.75" hidden="false" customHeight="true" outlineLevel="0" collapsed="false">
      <c r="H191" s="185"/>
      <c r="I191" s="185"/>
      <c r="J191" s="185"/>
      <c r="L191" s="186"/>
      <c r="M191" s="186"/>
      <c r="N191" s="186"/>
      <c r="O191" s="186"/>
      <c r="P191" s="186"/>
      <c r="Q191" s="186"/>
      <c r="R191" s="186"/>
      <c r="U191" s="153"/>
      <c r="V191" s="153"/>
      <c r="W191" s="153"/>
      <c r="X191" s="153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</row>
    <row r="192" customFormat="false" ht="12.75" hidden="false" customHeight="true" outlineLevel="0" collapsed="false">
      <c r="H192" s="185"/>
      <c r="I192" s="185"/>
      <c r="J192" s="185"/>
      <c r="L192" s="186"/>
      <c r="M192" s="186"/>
      <c r="N192" s="186"/>
      <c r="O192" s="186"/>
      <c r="P192" s="186"/>
      <c r="Q192" s="186"/>
      <c r="R192" s="186"/>
      <c r="U192" s="153"/>
      <c r="V192" s="153"/>
      <c r="W192" s="153"/>
      <c r="X192" s="153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</row>
    <row r="193" customFormat="false" ht="12.75" hidden="false" customHeight="true" outlineLevel="0" collapsed="false">
      <c r="H193" s="185"/>
      <c r="I193" s="185"/>
      <c r="J193" s="185"/>
      <c r="L193" s="186"/>
      <c r="M193" s="186"/>
      <c r="N193" s="186"/>
      <c r="O193" s="186"/>
      <c r="P193" s="186"/>
      <c r="Q193" s="186"/>
      <c r="R193" s="186"/>
      <c r="U193" s="153"/>
      <c r="V193" s="153"/>
      <c r="W193" s="153"/>
      <c r="X193" s="153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</row>
    <row r="194" customFormat="false" ht="12.75" hidden="false" customHeight="true" outlineLevel="0" collapsed="false">
      <c r="H194" s="185"/>
      <c r="I194" s="185"/>
      <c r="J194" s="185"/>
      <c r="L194" s="186"/>
      <c r="M194" s="186"/>
      <c r="N194" s="186"/>
      <c r="O194" s="186"/>
      <c r="P194" s="186"/>
      <c r="Q194" s="186"/>
      <c r="R194" s="186"/>
      <c r="U194" s="153"/>
      <c r="V194" s="153"/>
      <c r="W194" s="153"/>
      <c r="X194" s="153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</row>
    <row r="195" customFormat="false" ht="12.75" hidden="false" customHeight="true" outlineLevel="0" collapsed="false">
      <c r="H195" s="185"/>
      <c r="I195" s="185"/>
      <c r="J195" s="185"/>
      <c r="L195" s="186"/>
      <c r="M195" s="186"/>
      <c r="N195" s="186"/>
      <c r="O195" s="186"/>
      <c r="P195" s="186"/>
      <c r="Q195" s="186"/>
      <c r="R195" s="186"/>
      <c r="U195" s="153"/>
      <c r="V195" s="153"/>
      <c r="W195" s="153"/>
      <c r="X195" s="153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</row>
    <row r="196" customFormat="false" ht="12.75" hidden="false" customHeight="true" outlineLevel="0" collapsed="false">
      <c r="H196" s="185"/>
      <c r="I196" s="185"/>
      <c r="J196" s="185"/>
      <c r="L196" s="186"/>
      <c r="M196" s="186"/>
      <c r="N196" s="186"/>
      <c r="O196" s="186"/>
      <c r="P196" s="186"/>
      <c r="Q196" s="186"/>
      <c r="R196" s="186"/>
      <c r="U196" s="153"/>
      <c r="V196" s="153"/>
      <c r="W196" s="153"/>
      <c r="X196" s="153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</row>
    <row r="197" customFormat="false" ht="12.75" hidden="false" customHeight="true" outlineLevel="0" collapsed="false">
      <c r="H197" s="185"/>
      <c r="I197" s="185"/>
      <c r="J197" s="185"/>
      <c r="L197" s="186"/>
      <c r="M197" s="186"/>
      <c r="N197" s="186"/>
      <c r="O197" s="186"/>
      <c r="P197" s="186"/>
      <c r="Q197" s="186"/>
      <c r="R197" s="186"/>
      <c r="U197" s="153"/>
      <c r="V197" s="153"/>
      <c r="W197" s="153"/>
      <c r="X197" s="153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</row>
    <row r="198" customFormat="false" ht="12.75" hidden="false" customHeight="true" outlineLevel="0" collapsed="false">
      <c r="H198" s="185"/>
      <c r="I198" s="185"/>
      <c r="J198" s="185"/>
      <c r="L198" s="186"/>
      <c r="M198" s="186"/>
      <c r="N198" s="186"/>
      <c r="O198" s="186"/>
      <c r="P198" s="186"/>
      <c r="Q198" s="186"/>
      <c r="R198" s="186"/>
      <c r="U198" s="153"/>
      <c r="V198" s="153"/>
      <c r="W198" s="153"/>
      <c r="X198" s="153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</row>
    <row r="199" customFormat="false" ht="12.75" hidden="false" customHeight="true" outlineLevel="0" collapsed="false">
      <c r="H199" s="185"/>
      <c r="I199" s="185"/>
      <c r="J199" s="185"/>
      <c r="L199" s="186"/>
      <c r="M199" s="186"/>
      <c r="N199" s="186"/>
      <c r="O199" s="186"/>
      <c r="P199" s="186"/>
      <c r="Q199" s="186"/>
      <c r="R199" s="186"/>
      <c r="U199" s="153"/>
      <c r="V199" s="153"/>
      <c r="W199" s="153"/>
      <c r="X199" s="153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</row>
    <row r="200" customFormat="false" ht="12.75" hidden="false" customHeight="true" outlineLevel="0" collapsed="false">
      <c r="H200" s="185"/>
      <c r="I200" s="185"/>
      <c r="J200" s="185"/>
      <c r="L200" s="186"/>
      <c r="M200" s="186"/>
      <c r="N200" s="186"/>
      <c r="O200" s="186"/>
      <c r="P200" s="186"/>
      <c r="Q200" s="186"/>
      <c r="R200" s="186"/>
      <c r="U200" s="153"/>
      <c r="V200" s="153"/>
      <c r="W200" s="153"/>
      <c r="X200" s="153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</row>
    <row r="201" customFormat="false" ht="12.75" hidden="false" customHeight="true" outlineLevel="0" collapsed="false">
      <c r="H201" s="185"/>
      <c r="I201" s="185"/>
      <c r="J201" s="185"/>
      <c r="L201" s="186"/>
      <c r="M201" s="186"/>
      <c r="N201" s="186"/>
      <c r="O201" s="186"/>
      <c r="P201" s="186"/>
      <c r="Q201" s="186"/>
      <c r="R201" s="186"/>
      <c r="U201" s="153"/>
      <c r="V201" s="153"/>
      <c r="W201" s="153"/>
      <c r="X201" s="153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</row>
    <row r="202" customFormat="false" ht="12.75" hidden="false" customHeight="true" outlineLevel="0" collapsed="false">
      <c r="H202" s="185"/>
      <c r="I202" s="185"/>
      <c r="J202" s="185"/>
      <c r="L202" s="186"/>
      <c r="M202" s="186"/>
      <c r="N202" s="186"/>
      <c r="O202" s="186"/>
      <c r="P202" s="186"/>
      <c r="Q202" s="186"/>
      <c r="R202" s="186"/>
      <c r="U202" s="153"/>
      <c r="V202" s="153"/>
      <c r="W202" s="153"/>
      <c r="X202" s="153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</row>
    <row r="203" customFormat="false" ht="12.75" hidden="false" customHeight="true" outlineLevel="0" collapsed="false">
      <c r="H203" s="185"/>
      <c r="I203" s="185"/>
      <c r="J203" s="185"/>
      <c r="L203" s="186"/>
      <c r="M203" s="186"/>
      <c r="N203" s="186"/>
      <c r="O203" s="186"/>
      <c r="P203" s="186"/>
      <c r="Q203" s="186"/>
      <c r="R203" s="186"/>
      <c r="U203" s="153"/>
      <c r="V203" s="153"/>
      <c r="W203" s="153"/>
      <c r="X203" s="153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</row>
    <row r="204" customFormat="false" ht="12.75" hidden="false" customHeight="true" outlineLevel="0" collapsed="false">
      <c r="H204" s="185"/>
      <c r="I204" s="185"/>
      <c r="J204" s="185"/>
      <c r="L204" s="186"/>
      <c r="M204" s="186"/>
      <c r="N204" s="186"/>
      <c r="O204" s="186"/>
      <c r="P204" s="186"/>
      <c r="Q204" s="186"/>
      <c r="R204" s="186"/>
      <c r="U204" s="153"/>
      <c r="V204" s="153"/>
      <c r="W204" s="153"/>
      <c r="X204" s="153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</row>
    <row r="205" customFormat="false" ht="12.75" hidden="false" customHeight="true" outlineLevel="0" collapsed="false">
      <c r="H205" s="185"/>
      <c r="I205" s="185"/>
      <c r="J205" s="185"/>
      <c r="L205" s="186"/>
      <c r="M205" s="186"/>
      <c r="N205" s="186"/>
      <c r="O205" s="186"/>
      <c r="P205" s="186"/>
      <c r="Q205" s="186"/>
      <c r="R205" s="186"/>
      <c r="U205" s="153"/>
      <c r="V205" s="153"/>
      <c r="W205" s="153"/>
      <c r="X205" s="153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</row>
    <row r="206" customFormat="false" ht="12.75" hidden="false" customHeight="true" outlineLevel="0" collapsed="false">
      <c r="H206" s="185"/>
      <c r="I206" s="185"/>
      <c r="J206" s="185"/>
      <c r="L206" s="186"/>
      <c r="M206" s="186"/>
      <c r="N206" s="186"/>
      <c r="O206" s="186"/>
      <c r="P206" s="186"/>
      <c r="Q206" s="186"/>
      <c r="R206" s="186"/>
      <c r="U206" s="153"/>
      <c r="V206" s="153"/>
      <c r="W206" s="153"/>
      <c r="X206" s="153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</row>
    <row r="207" customFormat="false" ht="12.75" hidden="false" customHeight="true" outlineLevel="0" collapsed="false">
      <c r="H207" s="185"/>
      <c r="I207" s="185"/>
      <c r="J207" s="185"/>
      <c r="L207" s="186"/>
      <c r="M207" s="186"/>
      <c r="N207" s="186"/>
      <c r="O207" s="186"/>
      <c r="P207" s="186"/>
      <c r="Q207" s="186"/>
      <c r="R207" s="186"/>
      <c r="U207" s="153"/>
      <c r="V207" s="153"/>
      <c r="W207" s="153"/>
      <c r="X207" s="153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</row>
    <row r="208" customFormat="false" ht="12.75" hidden="false" customHeight="true" outlineLevel="0" collapsed="false">
      <c r="H208" s="185"/>
      <c r="I208" s="185"/>
      <c r="J208" s="185"/>
      <c r="L208" s="186"/>
      <c r="M208" s="186"/>
      <c r="N208" s="186"/>
      <c r="O208" s="186"/>
      <c r="P208" s="186"/>
      <c r="Q208" s="186"/>
      <c r="R208" s="186"/>
      <c r="U208" s="153"/>
      <c r="V208" s="153"/>
      <c r="W208" s="153"/>
      <c r="X208" s="153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</row>
    <row r="209" customFormat="false" ht="12.75" hidden="false" customHeight="true" outlineLevel="0" collapsed="false">
      <c r="H209" s="185"/>
      <c r="I209" s="185"/>
      <c r="J209" s="185"/>
      <c r="L209" s="186"/>
      <c r="M209" s="186"/>
      <c r="N209" s="186"/>
      <c r="O209" s="186"/>
      <c r="P209" s="186"/>
      <c r="Q209" s="186"/>
      <c r="R209" s="186"/>
      <c r="U209" s="153"/>
      <c r="V209" s="153"/>
      <c r="W209" s="153"/>
      <c r="X209" s="153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</row>
    <row r="210" customFormat="false" ht="12.75" hidden="false" customHeight="true" outlineLevel="0" collapsed="false">
      <c r="H210" s="185"/>
      <c r="I210" s="185"/>
      <c r="J210" s="185"/>
      <c r="L210" s="186"/>
      <c r="M210" s="186"/>
      <c r="N210" s="186"/>
      <c r="O210" s="186"/>
      <c r="P210" s="186"/>
      <c r="Q210" s="186"/>
      <c r="R210" s="186"/>
      <c r="U210" s="153"/>
      <c r="V210" s="153"/>
      <c r="W210" s="153"/>
      <c r="X210" s="153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</row>
    <row r="211" customFormat="false" ht="12.75" hidden="false" customHeight="true" outlineLevel="0" collapsed="false">
      <c r="H211" s="185"/>
      <c r="I211" s="185"/>
      <c r="J211" s="185"/>
      <c r="L211" s="186"/>
      <c r="M211" s="186"/>
      <c r="N211" s="186"/>
      <c r="O211" s="186"/>
      <c r="P211" s="186"/>
      <c r="Q211" s="186"/>
      <c r="R211" s="186"/>
      <c r="U211" s="153"/>
      <c r="V211" s="153"/>
      <c r="W211" s="153"/>
      <c r="X211" s="153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</row>
    <row r="212" customFormat="false" ht="12.75" hidden="false" customHeight="true" outlineLevel="0" collapsed="false">
      <c r="H212" s="185"/>
      <c r="I212" s="185"/>
      <c r="J212" s="185"/>
      <c r="L212" s="186"/>
      <c r="M212" s="186"/>
      <c r="N212" s="186"/>
      <c r="O212" s="186"/>
      <c r="P212" s="186"/>
      <c r="Q212" s="186"/>
      <c r="R212" s="186"/>
      <c r="U212" s="153"/>
      <c r="V212" s="153"/>
      <c r="W212" s="153"/>
      <c r="X212" s="153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</row>
    <row r="213" customFormat="false" ht="12.75" hidden="false" customHeight="true" outlineLevel="0" collapsed="false">
      <c r="H213" s="185"/>
      <c r="I213" s="185"/>
      <c r="J213" s="185"/>
      <c r="L213" s="186"/>
      <c r="M213" s="186"/>
      <c r="N213" s="186"/>
      <c r="O213" s="186"/>
      <c r="P213" s="186"/>
      <c r="Q213" s="186"/>
      <c r="R213" s="186"/>
      <c r="U213" s="153"/>
      <c r="V213" s="153"/>
      <c r="W213" s="153"/>
      <c r="X213" s="153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</row>
    <row r="214" customFormat="false" ht="12.75" hidden="false" customHeight="true" outlineLevel="0" collapsed="false">
      <c r="H214" s="185"/>
      <c r="I214" s="185"/>
      <c r="J214" s="185"/>
      <c r="L214" s="186"/>
      <c r="M214" s="186"/>
      <c r="N214" s="186"/>
      <c r="O214" s="186"/>
      <c r="P214" s="186"/>
      <c r="Q214" s="186"/>
      <c r="R214" s="186"/>
      <c r="U214" s="153"/>
      <c r="V214" s="153"/>
      <c r="W214" s="153"/>
      <c r="X214" s="153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</row>
    <row r="215" customFormat="false" ht="12.75" hidden="false" customHeight="true" outlineLevel="0" collapsed="false">
      <c r="H215" s="185"/>
      <c r="I215" s="185"/>
      <c r="J215" s="185"/>
      <c r="L215" s="186"/>
      <c r="M215" s="186"/>
      <c r="N215" s="186"/>
      <c r="O215" s="186"/>
      <c r="P215" s="186"/>
      <c r="Q215" s="186"/>
      <c r="R215" s="186"/>
      <c r="U215" s="153"/>
      <c r="V215" s="153"/>
      <c r="W215" s="153"/>
      <c r="X215" s="153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</row>
    <row r="216" customFormat="false" ht="12.75" hidden="false" customHeight="true" outlineLevel="0" collapsed="false">
      <c r="H216" s="185"/>
      <c r="I216" s="185"/>
      <c r="J216" s="185"/>
      <c r="L216" s="186"/>
      <c r="M216" s="186"/>
      <c r="N216" s="186"/>
      <c r="O216" s="186"/>
      <c r="P216" s="186"/>
      <c r="Q216" s="186"/>
      <c r="R216" s="186"/>
      <c r="U216" s="153"/>
      <c r="V216" s="153"/>
      <c r="W216" s="153"/>
      <c r="X216" s="153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</row>
    <row r="217" customFormat="false" ht="12.75" hidden="false" customHeight="true" outlineLevel="0" collapsed="false">
      <c r="H217" s="185"/>
      <c r="I217" s="185"/>
      <c r="J217" s="185"/>
      <c r="L217" s="186"/>
      <c r="M217" s="186"/>
      <c r="N217" s="186"/>
      <c r="O217" s="186"/>
      <c r="P217" s="186"/>
      <c r="Q217" s="186"/>
      <c r="R217" s="186"/>
      <c r="U217" s="153"/>
      <c r="V217" s="153"/>
      <c r="W217" s="153"/>
      <c r="X217" s="153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</row>
    <row r="218" customFormat="false" ht="12.75" hidden="false" customHeight="true" outlineLevel="0" collapsed="false">
      <c r="H218" s="185"/>
      <c r="I218" s="185"/>
      <c r="J218" s="185"/>
      <c r="L218" s="186"/>
      <c r="M218" s="186"/>
      <c r="N218" s="186"/>
      <c r="O218" s="186"/>
      <c r="P218" s="186"/>
      <c r="Q218" s="186"/>
      <c r="R218" s="186"/>
      <c r="U218" s="153"/>
      <c r="V218" s="153"/>
      <c r="W218" s="153"/>
      <c r="X218" s="153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</row>
    <row r="219" customFormat="false" ht="12.75" hidden="false" customHeight="true" outlineLevel="0" collapsed="false">
      <c r="H219" s="185"/>
      <c r="I219" s="185"/>
      <c r="J219" s="185"/>
      <c r="L219" s="186"/>
      <c r="M219" s="186"/>
      <c r="N219" s="186"/>
      <c r="O219" s="186"/>
      <c r="P219" s="186"/>
      <c r="Q219" s="186"/>
      <c r="R219" s="186"/>
      <c r="U219" s="153"/>
      <c r="V219" s="153"/>
      <c r="W219" s="153"/>
      <c r="X219" s="153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</row>
    <row r="220" customFormat="false" ht="12.75" hidden="false" customHeight="true" outlineLevel="0" collapsed="false">
      <c r="H220" s="185"/>
      <c r="I220" s="185"/>
      <c r="J220" s="185"/>
      <c r="L220" s="186"/>
      <c r="M220" s="186"/>
      <c r="N220" s="186"/>
      <c r="O220" s="186"/>
      <c r="P220" s="186"/>
      <c r="Q220" s="186"/>
      <c r="R220" s="186"/>
      <c r="U220" s="153"/>
      <c r="V220" s="153"/>
      <c r="W220" s="153"/>
      <c r="X220" s="153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</row>
    <row r="221" customFormat="false" ht="12.75" hidden="false" customHeight="true" outlineLevel="0" collapsed="false">
      <c r="H221" s="185"/>
      <c r="I221" s="185"/>
      <c r="J221" s="185"/>
      <c r="L221" s="186"/>
      <c r="M221" s="186"/>
      <c r="N221" s="186"/>
      <c r="O221" s="186"/>
      <c r="P221" s="186"/>
      <c r="Q221" s="186"/>
      <c r="R221" s="186"/>
      <c r="U221" s="153"/>
      <c r="V221" s="153"/>
      <c r="W221" s="153"/>
      <c r="X221" s="153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</row>
    <row r="222" customFormat="false" ht="12.75" hidden="false" customHeight="true" outlineLevel="0" collapsed="false">
      <c r="H222" s="185"/>
      <c r="I222" s="185"/>
      <c r="J222" s="185"/>
      <c r="L222" s="186"/>
      <c r="M222" s="186"/>
      <c r="N222" s="186"/>
      <c r="O222" s="186"/>
      <c r="P222" s="186"/>
      <c r="Q222" s="186"/>
      <c r="R222" s="186"/>
      <c r="U222" s="153"/>
      <c r="V222" s="153"/>
      <c r="W222" s="153"/>
      <c r="X222" s="153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2"/>
    </row>
    <row r="223" customFormat="false" ht="12.75" hidden="false" customHeight="true" outlineLevel="0" collapsed="false">
      <c r="H223" s="185"/>
      <c r="I223" s="185"/>
      <c r="J223" s="185"/>
      <c r="L223" s="186"/>
      <c r="M223" s="186"/>
      <c r="N223" s="186"/>
      <c r="O223" s="186"/>
      <c r="P223" s="186"/>
      <c r="Q223" s="186"/>
      <c r="R223" s="186"/>
      <c r="U223" s="153"/>
      <c r="V223" s="153"/>
      <c r="W223" s="153"/>
      <c r="X223" s="153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2"/>
    </row>
    <row r="224" customFormat="false" ht="12.75" hidden="false" customHeight="true" outlineLevel="0" collapsed="false">
      <c r="H224" s="185"/>
      <c r="I224" s="185"/>
      <c r="J224" s="185"/>
      <c r="L224" s="186"/>
      <c r="M224" s="186"/>
      <c r="N224" s="186"/>
      <c r="O224" s="186"/>
      <c r="P224" s="186"/>
      <c r="Q224" s="186"/>
      <c r="R224" s="186"/>
      <c r="U224" s="153"/>
      <c r="V224" s="153"/>
      <c r="W224" s="153"/>
      <c r="X224" s="153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2"/>
    </row>
    <row r="225" customFormat="false" ht="12.75" hidden="false" customHeight="true" outlineLevel="0" collapsed="false">
      <c r="H225" s="185"/>
      <c r="I225" s="185"/>
      <c r="J225" s="185"/>
      <c r="L225" s="186"/>
      <c r="M225" s="186"/>
      <c r="N225" s="186"/>
      <c r="O225" s="186"/>
      <c r="P225" s="186"/>
      <c r="Q225" s="186"/>
      <c r="R225" s="186"/>
      <c r="U225" s="153"/>
      <c r="V225" s="153"/>
      <c r="W225" s="153"/>
      <c r="X225" s="153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2"/>
    </row>
    <row r="226" customFormat="false" ht="12.75" hidden="false" customHeight="true" outlineLevel="0" collapsed="false">
      <c r="H226" s="185"/>
      <c r="I226" s="185"/>
      <c r="J226" s="185"/>
      <c r="L226" s="186"/>
      <c r="M226" s="186"/>
      <c r="N226" s="186"/>
      <c r="O226" s="186"/>
      <c r="P226" s="186"/>
      <c r="Q226" s="186"/>
      <c r="R226" s="186"/>
      <c r="U226" s="153"/>
      <c r="V226" s="153"/>
      <c r="W226" s="153"/>
      <c r="X226" s="153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2"/>
    </row>
    <row r="227" customFormat="false" ht="12.75" hidden="false" customHeight="true" outlineLevel="0" collapsed="false">
      <c r="H227" s="185"/>
      <c r="I227" s="185"/>
      <c r="J227" s="185"/>
      <c r="L227" s="186"/>
      <c r="M227" s="186"/>
      <c r="N227" s="186"/>
      <c r="O227" s="186"/>
      <c r="P227" s="186"/>
      <c r="Q227" s="186"/>
      <c r="R227" s="186"/>
      <c r="U227" s="153"/>
      <c r="V227" s="153"/>
      <c r="W227" s="153"/>
      <c r="X227" s="153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2"/>
    </row>
    <row r="228" customFormat="false" ht="12.75" hidden="false" customHeight="true" outlineLevel="0" collapsed="false">
      <c r="H228" s="185"/>
      <c r="I228" s="185"/>
      <c r="J228" s="185"/>
      <c r="L228" s="186"/>
      <c r="M228" s="186"/>
      <c r="N228" s="186"/>
      <c r="O228" s="186"/>
      <c r="P228" s="186"/>
      <c r="Q228" s="186"/>
      <c r="R228" s="186"/>
      <c r="U228" s="153"/>
      <c r="V228" s="153"/>
      <c r="W228" s="153"/>
      <c r="X228" s="153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2"/>
    </row>
    <row r="229" customFormat="false" ht="12.75" hidden="false" customHeight="true" outlineLevel="0" collapsed="false">
      <c r="H229" s="185"/>
      <c r="I229" s="185"/>
      <c r="J229" s="185"/>
      <c r="L229" s="186"/>
      <c r="M229" s="186"/>
      <c r="N229" s="186"/>
      <c r="O229" s="186"/>
      <c r="P229" s="186"/>
      <c r="Q229" s="186"/>
      <c r="R229" s="186"/>
      <c r="U229" s="153"/>
      <c r="V229" s="153"/>
      <c r="W229" s="153"/>
      <c r="X229" s="153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2"/>
    </row>
    <row r="230" customFormat="false" ht="12.75" hidden="false" customHeight="true" outlineLevel="0" collapsed="false">
      <c r="H230" s="185"/>
      <c r="I230" s="185"/>
      <c r="J230" s="185"/>
      <c r="L230" s="186"/>
      <c r="M230" s="186"/>
      <c r="N230" s="186"/>
      <c r="O230" s="186"/>
      <c r="P230" s="186"/>
      <c r="Q230" s="186"/>
      <c r="R230" s="186"/>
      <c r="U230" s="153"/>
      <c r="V230" s="153"/>
      <c r="W230" s="153"/>
      <c r="X230" s="153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2"/>
    </row>
    <row r="231" customFormat="false" ht="12.75" hidden="false" customHeight="true" outlineLevel="0" collapsed="false">
      <c r="H231" s="185"/>
      <c r="I231" s="185"/>
      <c r="J231" s="185"/>
      <c r="L231" s="186"/>
      <c r="M231" s="186"/>
      <c r="N231" s="186"/>
      <c r="O231" s="186"/>
      <c r="P231" s="186"/>
      <c r="Q231" s="186"/>
      <c r="R231" s="186"/>
      <c r="U231" s="153"/>
      <c r="V231" s="153"/>
      <c r="W231" s="153"/>
      <c r="X231" s="153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2"/>
    </row>
    <row r="232" customFormat="false" ht="12.75" hidden="false" customHeight="true" outlineLevel="0" collapsed="false">
      <c r="H232" s="185"/>
      <c r="I232" s="185"/>
      <c r="J232" s="185"/>
      <c r="L232" s="186"/>
      <c r="M232" s="186"/>
      <c r="N232" s="186"/>
      <c r="O232" s="186"/>
      <c r="P232" s="186"/>
      <c r="Q232" s="186"/>
      <c r="R232" s="186"/>
      <c r="U232" s="153"/>
      <c r="V232" s="153"/>
      <c r="W232" s="153"/>
      <c r="X232" s="153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2"/>
    </row>
    <row r="233" customFormat="false" ht="12.75" hidden="false" customHeight="true" outlineLevel="0" collapsed="false">
      <c r="H233" s="185"/>
      <c r="I233" s="185"/>
      <c r="J233" s="185"/>
      <c r="L233" s="186"/>
      <c r="M233" s="186"/>
      <c r="N233" s="186"/>
      <c r="O233" s="186"/>
      <c r="P233" s="186"/>
      <c r="Q233" s="186"/>
      <c r="R233" s="186"/>
      <c r="U233" s="153"/>
      <c r="V233" s="153"/>
      <c r="W233" s="153"/>
      <c r="X233" s="153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2"/>
    </row>
    <row r="234" customFormat="false" ht="12.75" hidden="false" customHeight="true" outlineLevel="0" collapsed="false">
      <c r="H234" s="185"/>
      <c r="I234" s="185"/>
      <c r="J234" s="185"/>
      <c r="L234" s="186"/>
      <c r="M234" s="186"/>
      <c r="N234" s="186"/>
      <c r="O234" s="186"/>
      <c r="P234" s="186"/>
      <c r="Q234" s="186"/>
      <c r="R234" s="186"/>
      <c r="U234" s="153"/>
      <c r="V234" s="153"/>
      <c r="W234" s="153"/>
      <c r="X234" s="153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2"/>
    </row>
    <row r="235" customFormat="false" ht="12.75" hidden="false" customHeight="true" outlineLevel="0" collapsed="false">
      <c r="H235" s="185"/>
      <c r="I235" s="185"/>
      <c r="J235" s="185"/>
      <c r="L235" s="186"/>
      <c r="M235" s="186"/>
      <c r="N235" s="186"/>
      <c r="O235" s="186"/>
      <c r="P235" s="186"/>
      <c r="Q235" s="186"/>
      <c r="R235" s="186"/>
      <c r="U235" s="153"/>
      <c r="V235" s="153"/>
      <c r="W235" s="153"/>
      <c r="X235" s="153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2"/>
    </row>
    <row r="236" customFormat="false" ht="12.75" hidden="false" customHeight="true" outlineLevel="0" collapsed="false">
      <c r="H236" s="185"/>
      <c r="I236" s="185"/>
      <c r="J236" s="185"/>
      <c r="L236" s="186"/>
      <c r="M236" s="186"/>
      <c r="N236" s="186"/>
      <c r="O236" s="186"/>
      <c r="P236" s="186"/>
      <c r="Q236" s="186"/>
      <c r="R236" s="186"/>
      <c r="U236" s="153"/>
      <c r="V236" s="153"/>
      <c r="W236" s="153"/>
      <c r="X236" s="153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2"/>
    </row>
    <row r="237" customFormat="false" ht="12.75" hidden="false" customHeight="true" outlineLevel="0" collapsed="false">
      <c r="H237" s="185"/>
      <c r="I237" s="185"/>
      <c r="J237" s="185"/>
      <c r="L237" s="186"/>
      <c r="M237" s="186"/>
      <c r="N237" s="186"/>
      <c r="O237" s="186"/>
      <c r="P237" s="186"/>
      <c r="Q237" s="186"/>
      <c r="R237" s="186"/>
      <c r="U237" s="153"/>
      <c r="V237" s="153"/>
      <c r="W237" s="153"/>
      <c r="X237" s="153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2"/>
    </row>
    <row r="238" customFormat="false" ht="12.75" hidden="false" customHeight="true" outlineLevel="0" collapsed="false">
      <c r="H238" s="185"/>
      <c r="I238" s="185"/>
      <c r="J238" s="185"/>
      <c r="L238" s="186"/>
      <c r="M238" s="186"/>
      <c r="N238" s="186"/>
      <c r="O238" s="186"/>
      <c r="P238" s="186"/>
      <c r="Q238" s="186"/>
      <c r="R238" s="186"/>
      <c r="U238" s="153"/>
      <c r="V238" s="153"/>
      <c r="W238" s="153"/>
      <c r="X238" s="153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2"/>
    </row>
    <row r="239" customFormat="false" ht="12.75" hidden="false" customHeight="true" outlineLevel="0" collapsed="false">
      <c r="H239" s="185"/>
      <c r="I239" s="185"/>
      <c r="J239" s="185"/>
      <c r="L239" s="186"/>
      <c r="M239" s="186"/>
      <c r="N239" s="186"/>
      <c r="O239" s="186"/>
      <c r="P239" s="186"/>
      <c r="Q239" s="186"/>
      <c r="R239" s="186"/>
      <c r="U239" s="153"/>
      <c r="V239" s="153"/>
      <c r="W239" s="153"/>
      <c r="X239" s="153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2"/>
    </row>
    <row r="240" customFormat="false" ht="12.75" hidden="false" customHeight="true" outlineLevel="0" collapsed="false">
      <c r="H240" s="185"/>
      <c r="I240" s="185"/>
      <c r="J240" s="185"/>
      <c r="L240" s="186"/>
      <c r="M240" s="186"/>
      <c r="N240" s="186"/>
      <c r="O240" s="186"/>
      <c r="P240" s="186"/>
      <c r="Q240" s="186"/>
      <c r="R240" s="186"/>
      <c r="U240" s="153"/>
      <c r="V240" s="153"/>
      <c r="W240" s="153"/>
      <c r="X240" s="153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2"/>
    </row>
    <row r="241" customFormat="false" ht="12.75" hidden="false" customHeight="true" outlineLevel="0" collapsed="false">
      <c r="H241" s="185"/>
      <c r="I241" s="185"/>
      <c r="J241" s="185"/>
      <c r="L241" s="186"/>
      <c r="M241" s="186"/>
      <c r="N241" s="186"/>
      <c r="O241" s="186"/>
      <c r="P241" s="186"/>
      <c r="Q241" s="186"/>
      <c r="R241" s="186"/>
      <c r="U241" s="153"/>
      <c r="V241" s="153"/>
      <c r="W241" s="153"/>
      <c r="X241" s="153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2"/>
    </row>
    <row r="242" customFormat="false" ht="12.75" hidden="false" customHeight="true" outlineLevel="0" collapsed="false">
      <c r="H242" s="185"/>
      <c r="I242" s="185"/>
      <c r="J242" s="185"/>
      <c r="L242" s="186"/>
      <c r="M242" s="186"/>
      <c r="N242" s="186"/>
      <c r="O242" s="186"/>
      <c r="P242" s="186"/>
      <c r="Q242" s="186"/>
      <c r="R242" s="186"/>
      <c r="U242" s="153"/>
      <c r="V242" s="153"/>
      <c r="W242" s="153"/>
      <c r="X242" s="153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2"/>
    </row>
    <row r="243" customFormat="false" ht="12.75" hidden="false" customHeight="true" outlineLevel="0" collapsed="false">
      <c r="H243" s="185"/>
      <c r="I243" s="185"/>
      <c r="J243" s="185"/>
      <c r="L243" s="186"/>
      <c r="M243" s="186"/>
      <c r="N243" s="186"/>
      <c r="O243" s="186"/>
      <c r="P243" s="186"/>
      <c r="Q243" s="186"/>
      <c r="R243" s="186"/>
      <c r="U243" s="153"/>
      <c r="V243" s="153"/>
      <c r="W243" s="153"/>
      <c r="X243" s="153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2"/>
    </row>
    <row r="244" customFormat="false" ht="12.75" hidden="false" customHeight="true" outlineLevel="0" collapsed="false">
      <c r="H244" s="185"/>
      <c r="I244" s="185"/>
      <c r="J244" s="185"/>
      <c r="L244" s="186"/>
      <c r="M244" s="186"/>
      <c r="N244" s="186"/>
      <c r="O244" s="186"/>
      <c r="P244" s="186"/>
      <c r="Q244" s="186"/>
      <c r="R244" s="186"/>
      <c r="U244" s="153"/>
      <c r="V244" s="153"/>
      <c r="W244" s="153"/>
      <c r="X244" s="153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2"/>
    </row>
    <row r="245" customFormat="false" ht="12.75" hidden="false" customHeight="true" outlineLevel="0" collapsed="false">
      <c r="H245" s="185"/>
      <c r="I245" s="185"/>
      <c r="J245" s="185"/>
      <c r="L245" s="186"/>
      <c r="M245" s="186"/>
      <c r="N245" s="186"/>
      <c r="O245" s="186"/>
      <c r="P245" s="186"/>
      <c r="Q245" s="186"/>
      <c r="R245" s="186"/>
      <c r="U245" s="153"/>
      <c r="V245" s="153"/>
      <c r="W245" s="153"/>
      <c r="X245" s="153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2"/>
    </row>
    <row r="246" customFormat="false" ht="12.75" hidden="false" customHeight="true" outlineLevel="0" collapsed="false">
      <c r="H246" s="185"/>
      <c r="I246" s="185"/>
      <c r="J246" s="185"/>
      <c r="L246" s="186"/>
      <c r="M246" s="186"/>
      <c r="N246" s="186"/>
      <c r="O246" s="186"/>
      <c r="P246" s="186"/>
      <c r="Q246" s="186"/>
      <c r="R246" s="186"/>
      <c r="U246" s="153"/>
      <c r="V246" s="153"/>
      <c r="W246" s="153"/>
      <c r="X246" s="153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2"/>
    </row>
    <row r="247" customFormat="false" ht="12.75" hidden="false" customHeight="true" outlineLevel="0" collapsed="false">
      <c r="H247" s="185"/>
      <c r="I247" s="185"/>
      <c r="J247" s="185"/>
      <c r="L247" s="186"/>
      <c r="M247" s="186"/>
      <c r="N247" s="186"/>
      <c r="O247" s="186"/>
      <c r="P247" s="186"/>
      <c r="Q247" s="186"/>
      <c r="R247" s="186"/>
      <c r="U247" s="153"/>
      <c r="V247" s="153"/>
      <c r="W247" s="153"/>
      <c r="X247" s="153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2"/>
    </row>
    <row r="248" customFormat="false" ht="12.75" hidden="false" customHeight="true" outlineLevel="0" collapsed="false">
      <c r="H248" s="185"/>
      <c r="I248" s="185"/>
      <c r="J248" s="185"/>
      <c r="L248" s="186"/>
      <c r="M248" s="186"/>
      <c r="N248" s="186"/>
      <c r="O248" s="186"/>
      <c r="P248" s="186"/>
      <c r="Q248" s="186"/>
      <c r="R248" s="186"/>
      <c r="U248" s="153"/>
      <c r="V248" s="153"/>
      <c r="W248" s="153"/>
      <c r="X248" s="153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2"/>
    </row>
    <row r="249" customFormat="false" ht="12.75" hidden="false" customHeight="true" outlineLevel="0" collapsed="false">
      <c r="H249" s="185"/>
      <c r="I249" s="185"/>
      <c r="J249" s="185"/>
      <c r="L249" s="186"/>
      <c r="M249" s="186"/>
      <c r="N249" s="186"/>
      <c r="O249" s="186"/>
      <c r="P249" s="186"/>
      <c r="Q249" s="186"/>
      <c r="R249" s="186"/>
      <c r="U249" s="153"/>
      <c r="V249" s="153"/>
      <c r="W249" s="153"/>
      <c r="X249" s="153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2"/>
    </row>
    <row r="250" customFormat="false" ht="12.75" hidden="false" customHeight="true" outlineLevel="0" collapsed="false">
      <c r="H250" s="185"/>
      <c r="I250" s="185"/>
      <c r="J250" s="185"/>
      <c r="L250" s="186"/>
      <c r="M250" s="186"/>
      <c r="N250" s="186"/>
      <c r="O250" s="186"/>
      <c r="P250" s="186"/>
      <c r="Q250" s="186"/>
      <c r="R250" s="186"/>
      <c r="U250" s="153"/>
      <c r="V250" s="153"/>
      <c r="W250" s="153"/>
      <c r="X250" s="153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2"/>
    </row>
    <row r="251" customFormat="false" ht="12.75" hidden="false" customHeight="true" outlineLevel="0" collapsed="false">
      <c r="H251" s="185"/>
      <c r="I251" s="185"/>
      <c r="J251" s="185"/>
      <c r="L251" s="186"/>
      <c r="M251" s="186"/>
      <c r="N251" s="186"/>
      <c r="O251" s="186"/>
      <c r="P251" s="186"/>
      <c r="Q251" s="186"/>
      <c r="R251" s="186"/>
      <c r="U251" s="153"/>
      <c r="V251" s="153"/>
      <c r="W251" s="153"/>
      <c r="X251" s="153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2"/>
    </row>
    <row r="252" customFormat="false" ht="12.75" hidden="false" customHeight="true" outlineLevel="0" collapsed="false">
      <c r="H252" s="185"/>
      <c r="I252" s="185"/>
      <c r="J252" s="185"/>
      <c r="L252" s="186"/>
      <c r="M252" s="186"/>
      <c r="N252" s="186"/>
      <c r="O252" s="186"/>
      <c r="P252" s="186"/>
      <c r="Q252" s="186"/>
      <c r="R252" s="186"/>
      <c r="U252" s="153"/>
      <c r="V252" s="153"/>
      <c r="W252" s="153"/>
      <c r="X252" s="153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2"/>
    </row>
    <row r="253" customFormat="false" ht="12.75" hidden="false" customHeight="true" outlineLevel="0" collapsed="false">
      <c r="H253" s="185"/>
      <c r="I253" s="185"/>
      <c r="J253" s="185"/>
      <c r="L253" s="186"/>
      <c r="M253" s="186"/>
      <c r="N253" s="186"/>
      <c r="O253" s="186"/>
      <c r="P253" s="186"/>
      <c r="Q253" s="186"/>
      <c r="R253" s="186"/>
      <c r="U253" s="153"/>
      <c r="V253" s="153"/>
      <c r="W253" s="153"/>
      <c r="X253" s="153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2"/>
    </row>
    <row r="254" customFormat="false" ht="12.75" hidden="false" customHeight="true" outlineLevel="0" collapsed="false">
      <c r="H254" s="185"/>
      <c r="I254" s="185"/>
      <c r="J254" s="185"/>
      <c r="L254" s="186"/>
      <c r="M254" s="186"/>
      <c r="N254" s="186"/>
      <c r="O254" s="186"/>
      <c r="P254" s="186"/>
      <c r="Q254" s="186"/>
      <c r="R254" s="186"/>
      <c r="U254" s="153"/>
      <c r="V254" s="153"/>
      <c r="W254" s="153"/>
      <c r="X254" s="153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2"/>
    </row>
    <row r="255" customFormat="false" ht="12.75" hidden="false" customHeight="true" outlineLevel="0" collapsed="false">
      <c r="H255" s="185"/>
      <c r="I255" s="185"/>
      <c r="J255" s="185"/>
      <c r="L255" s="186"/>
      <c r="M255" s="186"/>
      <c r="N255" s="186"/>
      <c r="O255" s="186"/>
      <c r="P255" s="186"/>
      <c r="Q255" s="186"/>
      <c r="R255" s="186"/>
      <c r="U255" s="153"/>
      <c r="V255" s="153"/>
      <c r="W255" s="153"/>
      <c r="X255" s="153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2"/>
    </row>
    <row r="256" customFormat="false" ht="12.75" hidden="false" customHeight="true" outlineLevel="0" collapsed="false">
      <c r="H256" s="185"/>
      <c r="I256" s="185"/>
      <c r="J256" s="185"/>
      <c r="L256" s="186"/>
      <c r="M256" s="186"/>
      <c r="N256" s="186"/>
      <c r="O256" s="186"/>
      <c r="P256" s="186"/>
      <c r="Q256" s="186"/>
      <c r="R256" s="186"/>
      <c r="U256" s="153"/>
      <c r="V256" s="153"/>
      <c r="W256" s="153"/>
      <c r="X256" s="153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2"/>
    </row>
    <row r="257" customFormat="false" ht="12.75" hidden="false" customHeight="true" outlineLevel="0" collapsed="false">
      <c r="H257" s="185"/>
      <c r="I257" s="185"/>
      <c r="J257" s="185"/>
      <c r="L257" s="186"/>
      <c r="M257" s="186"/>
      <c r="N257" s="186"/>
      <c r="O257" s="186"/>
      <c r="P257" s="186"/>
      <c r="Q257" s="186"/>
      <c r="R257" s="186"/>
      <c r="U257" s="153"/>
      <c r="V257" s="153"/>
      <c r="W257" s="153"/>
      <c r="X257" s="153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2"/>
    </row>
    <row r="258" customFormat="false" ht="12.75" hidden="false" customHeight="true" outlineLevel="0" collapsed="false">
      <c r="H258" s="185"/>
      <c r="I258" s="185"/>
      <c r="J258" s="185"/>
      <c r="L258" s="186"/>
      <c r="M258" s="186"/>
      <c r="N258" s="186"/>
      <c r="O258" s="186"/>
      <c r="P258" s="186"/>
      <c r="Q258" s="186"/>
      <c r="R258" s="186"/>
      <c r="U258" s="153"/>
      <c r="V258" s="153"/>
      <c r="W258" s="153"/>
      <c r="X258" s="153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2"/>
    </row>
    <row r="259" customFormat="false" ht="12.75" hidden="false" customHeight="true" outlineLevel="0" collapsed="false">
      <c r="H259" s="185"/>
      <c r="I259" s="185"/>
      <c r="J259" s="185"/>
      <c r="L259" s="186"/>
      <c r="M259" s="186"/>
      <c r="N259" s="186"/>
      <c r="O259" s="186"/>
      <c r="P259" s="186"/>
      <c r="Q259" s="186"/>
      <c r="R259" s="186"/>
      <c r="U259" s="153"/>
      <c r="V259" s="153"/>
      <c r="W259" s="153"/>
      <c r="X259" s="153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2"/>
    </row>
    <row r="260" customFormat="false" ht="12.75" hidden="false" customHeight="true" outlineLevel="0" collapsed="false">
      <c r="H260" s="185"/>
      <c r="I260" s="185"/>
      <c r="J260" s="185"/>
      <c r="L260" s="186"/>
      <c r="M260" s="186"/>
      <c r="N260" s="186"/>
      <c r="O260" s="186"/>
      <c r="P260" s="186"/>
      <c r="Q260" s="186"/>
      <c r="R260" s="186"/>
      <c r="U260" s="153"/>
      <c r="V260" s="153"/>
      <c r="W260" s="153"/>
      <c r="X260" s="153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2"/>
    </row>
    <row r="261" customFormat="false" ht="12.75" hidden="false" customHeight="true" outlineLevel="0" collapsed="false">
      <c r="H261" s="185"/>
      <c r="I261" s="185"/>
      <c r="J261" s="185"/>
      <c r="L261" s="186"/>
      <c r="M261" s="186"/>
      <c r="N261" s="186"/>
      <c r="O261" s="186"/>
      <c r="P261" s="186"/>
      <c r="Q261" s="186"/>
      <c r="R261" s="186"/>
      <c r="U261" s="153"/>
      <c r="V261" s="153"/>
      <c r="W261" s="153"/>
      <c r="X261" s="153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2"/>
    </row>
    <row r="262" customFormat="false" ht="12.75" hidden="false" customHeight="true" outlineLevel="0" collapsed="false">
      <c r="H262" s="185"/>
      <c r="I262" s="185"/>
      <c r="J262" s="185"/>
      <c r="L262" s="186"/>
      <c r="M262" s="186"/>
      <c r="N262" s="186"/>
      <c r="O262" s="186"/>
      <c r="P262" s="186"/>
      <c r="Q262" s="186"/>
      <c r="R262" s="186"/>
      <c r="U262" s="153"/>
      <c r="V262" s="153"/>
      <c r="W262" s="153"/>
      <c r="X262" s="153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2"/>
    </row>
    <row r="263" customFormat="false" ht="12.75" hidden="false" customHeight="true" outlineLevel="0" collapsed="false">
      <c r="H263" s="185"/>
      <c r="I263" s="185"/>
      <c r="J263" s="185"/>
      <c r="L263" s="186"/>
      <c r="M263" s="186"/>
      <c r="N263" s="186"/>
      <c r="O263" s="186"/>
      <c r="P263" s="186"/>
      <c r="Q263" s="186"/>
      <c r="R263" s="186"/>
      <c r="U263" s="153"/>
      <c r="V263" s="153"/>
      <c r="W263" s="153"/>
      <c r="X263" s="153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2"/>
    </row>
    <row r="264" customFormat="false" ht="12.75" hidden="false" customHeight="true" outlineLevel="0" collapsed="false">
      <c r="H264" s="185"/>
      <c r="I264" s="185"/>
      <c r="J264" s="185"/>
      <c r="L264" s="186"/>
      <c r="M264" s="186"/>
      <c r="N264" s="186"/>
      <c r="O264" s="186"/>
      <c r="P264" s="186"/>
      <c r="Q264" s="186"/>
      <c r="R264" s="186"/>
      <c r="U264" s="153"/>
      <c r="V264" s="153"/>
      <c r="W264" s="153"/>
      <c r="X264" s="153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2"/>
    </row>
    <row r="265" customFormat="false" ht="12.75" hidden="false" customHeight="true" outlineLevel="0" collapsed="false">
      <c r="H265" s="185"/>
      <c r="I265" s="185"/>
      <c r="J265" s="185"/>
      <c r="L265" s="186"/>
      <c r="M265" s="186"/>
      <c r="N265" s="186"/>
      <c r="O265" s="186"/>
      <c r="P265" s="186"/>
      <c r="Q265" s="186"/>
      <c r="R265" s="186"/>
      <c r="U265" s="153"/>
      <c r="V265" s="153"/>
      <c r="W265" s="153"/>
      <c r="X265" s="153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2"/>
    </row>
    <row r="266" customFormat="false" ht="12.75" hidden="false" customHeight="true" outlineLevel="0" collapsed="false">
      <c r="H266" s="185"/>
      <c r="I266" s="185"/>
      <c r="J266" s="185"/>
      <c r="L266" s="186"/>
      <c r="M266" s="186"/>
      <c r="N266" s="186"/>
      <c r="O266" s="186"/>
      <c r="P266" s="186"/>
      <c r="Q266" s="186"/>
      <c r="R266" s="186"/>
      <c r="U266" s="153"/>
      <c r="V266" s="153"/>
      <c r="W266" s="153"/>
      <c r="X266" s="153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2"/>
    </row>
    <row r="267" customFormat="false" ht="12.75" hidden="false" customHeight="true" outlineLevel="0" collapsed="false">
      <c r="H267" s="185"/>
      <c r="I267" s="185"/>
      <c r="J267" s="185"/>
      <c r="L267" s="186"/>
      <c r="M267" s="186"/>
      <c r="N267" s="186"/>
      <c r="O267" s="186"/>
      <c r="P267" s="186"/>
      <c r="Q267" s="186"/>
      <c r="R267" s="186"/>
      <c r="U267" s="153"/>
      <c r="V267" s="153"/>
      <c r="W267" s="153"/>
      <c r="X267" s="153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2"/>
    </row>
    <row r="268" customFormat="false" ht="12.75" hidden="false" customHeight="true" outlineLevel="0" collapsed="false">
      <c r="H268" s="185"/>
      <c r="I268" s="185"/>
      <c r="J268" s="185"/>
      <c r="L268" s="186"/>
      <c r="M268" s="186"/>
      <c r="N268" s="186"/>
      <c r="O268" s="186"/>
      <c r="P268" s="186"/>
      <c r="Q268" s="186"/>
      <c r="R268" s="186"/>
      <c r="U268" s="153"/>
      <c r="V268" s="153"/>
      <c r="W268" s="153"/>
      <c r="X268" s="153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2"/>
    </row>
    <row r="269" customFormat="false" ht="12.75" hidden="false" customHeight="true" outlineLevel="0" collapsed="false">
      <c r="H269" s="185"/>
      <c r="I269" s="185"/>
      <c r="J269" s="185"/>
      <c r="L269" s="186"/>
      <c r="M269" s="186"/>
      <c r="N269" s="186"/>
      <c r="O269" s="186"/>
      <c r="P269" s="186"/>
      <c r="Q269" s="186"/>
      <c r="R269" s="186"/>
      <c r="U269" s="153"/>
      <c r="V269" s="153"/>
      <c r="W269" s="153"/>
      <c r="X269" s="153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2"/>
    </row>
    <row r="270" customFormat="false" ht="12.75" hidden="false" customHeight="true" outlineLevel="0" collapsed="false">
      <c r="H270" s="185"/>
      <c r="I270" s="185"/>
      <c r="J270" s="185"/>
      <c r="L270" s="186"/>
      <c r="M270" s="186"/>
      <c r="N270" s="186"/>
      <c r="O270" s="186"/>
      <c r="P270" s="186"/>
      <c r="Q270" s="186"/>
      <c r="R270" s="186"/>
      <c r="U270" s="153"/>
      <c r="V270" s="153"/>
      <c r="W270" s="153"/>
      <c r="X270" s="153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2"/>
    </row>
    <row r="271" customFormat="false" ht="12.75" hidden="false" customHeight="true" outlineLevel="0" collapsed="false">
      <c r="H271" s="185"/>
      <c r="I271" s="185"/>
      <c r="J271" s="185"/>
      <c r="L271" s="186"/>
      <c r="M271" s="186"/>
      <c r="N271" s="186"/>
      <c r="O271" s="186"/>
      <c r="P271" s="186"/>
      <c r="Q271" s="186"/>
      <c r="R271" s="186"/>
      <c r="U271" s="153"/>
      <c r="V271" s="153"/>
      <c r="W271" s="153"/>
      <c r="X271" s="153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2"/>
    </row>
    <row r="272" customFormat="false" ht="12.75" hidden="false" customHeight="true" outlineLevel="0" collapsed="false">
      <c r="H272" s="185"/>
      <c r="I272" s="185"/>
      <c r="J272" s="185"/>
      <c r="L272" s="186"/>
      <c r="M272" s="186"/>
      <c r="N272" s="186"/>
      <c r="O272" s="186"/>
      <c r="P272" s="186"/>
      <c r="Q272" s="186"/>
      <c r="R272" s="186"/>
      <c r="U272" s="153"/>
      <c r="V272" s="153"/>
      <c r="W272" s="153"/>
      <c r="X272" s="153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2"/>
    </row>
    <row r="273" customFormat="false" ht="12.75" hidden="false" customHeight="true" outlineLevel="0" collapsed="false">
      <c r="H273" s="185"/>
      <c r="I273" s="185"/>
      <c r="J273" s="185"/>
      <c r="L273" s="186"/>
      <c r="M273" s="186"/>
      <c r="N273" s="186"/>
      <c r="O273" s="186"/>
      <c r="P273" s="186"/>
      <c r="Q273" s="186"/>
      <c r="R273" s="186"/>
      <c r="U273" s="153"/>
      <c r="V273" s="153"/>
      <c r="W273" s="153"/>
      <c r="X273" s="153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2"/>
    </row>
    <row r="274" customFormat="false" ht="12.75" hidden="false" customHeight="true" outlineLevel="0" collapsed="false">
      <c r="H274" s="185"/>
      <c r="I274" s="185"/>
      <c r="J274" s="185"/>
      <c r="L274" s="186"/>
      <c r="M274" s="186"/>
      <c r="N274" s="186"/>
      <c r="O274" s="186"/>
      <c r="P274" s="186"/>
      <c r="Q274" s="186"/>
      <c r="R274" s="186"/>
      <c r="U274" s="153"/>
      <c r="V274" s="153"/>
      <c r="W274" s="153"/>
      <c r="X274" s="153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2"/>
    </row>
    <row r="275" customFormat="false" ht="12.75" hidden="false" customHeight="true" outlineLevel="0" collapsed="false">
      <c r="H275" s="185"/>
      <c r="I275" s="185"/>
      <c r="J275" s="185"/>
      <c r="L275" s="186"/>
      <c r="M275" s="186"/>
      <c r="N275" s="186"/>
      <c r="O275" s="186"/>
      <c r="P275" s="186"/>
      <c r="Q275" s="186"/>
      <c r="R275" s="186"/>
      <c r="U275" s="153"/>
      <c r="V275" s="153"/>
      <c r="W275" s="153"/>
      <c r="X275" s="153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2"/>
    </row>
    <row r="276" customFormat="false" ht="12.75" hidden="false" customHeight="true" outlineLevel="0" collapsed="false">
      <c r="H276" s="185"/>
      <c r="I276" s="185"/>
      <c r="J276" s="185"/>
      <c r="L276" s="186"/>
      <c r="M276" s="186"/>
      <c r="N276" s="186"/>
      <c r="O276" s="186"/>
      <c r="P276" s="186"/>
      <c r="Q276" s="186"/>
      <c r="R276" s="186"/>
      <c r="U276" s="153"/>
      <c r="V276" s="153"/>
      <c r="W276" s="153"/>
      <c r="X276" s="153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2"/>
    </row>
    <row r="277" customFormat="false" ht="12.75" hidden="false" customHeight="true" outlineLevel="0" collapsed="false">
      <c r="H277" s="185"/>
      <c r="I277" s="185"/>
      <c r="J277" s="185"/>
      <c r="L277" s="186"/>
      <c r="M277" s="186"/>
      <c r="N277" s="186"/>
      <c r="O277" s="186"/>
      <c r="P277" s="186"/>
      <c r="Q277" s="186"/>
      <c r="R277" s="186"/>
      <c r="U277" s="153"/>
      <c r="V277" s="153"/>
      <c r="W277" s="153"/>
      <c r="X277" s="153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2"/>
    </row>
    <row r="278" customFormat="false" ht="12.75" hidden="false" customHeight="true" outlineLevel="0" collapsed="false">
      <c r="H278" s="185"/>
      <c r="I278" s="185"/>
      <c r="J278" s="185"/>
      <c r="L278" s="186"/>
      <c r="M278" s="186"/>
      <c r="N278" s="186"/>
      <c r="O278" s="186"/>
      <c r="P278" s="186"/>
      <c r="Q278" s="186"/>
      <c r="R278" s="186"/>
      <c r="U278" s="153"/>
      <c r="V278" s="153"/>
      <c r="W278" s="153"/>
      <c r="X278" s="153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2"/>
    </row>
    <row r="279" customFormat="false" ht="12.75" hidden="false" customHeight="true" outlineLevel="0" collapsed="false">
      <c r="H279" s="185"/>
      <c r="I279" s="185"/>
      <c r="J279" s="185"/>
      <c r="L279" s="186"/>
      <c r="M279" s="186"/>
      <c r="N279" s="186"/>
      <c r="O279" s="186"/>
      <c r="P279" s="186"/>
      <c r="Q279" s="186"/>
      <c r="R279" s="186"/>
      <c r="U279" s="153"/>
      <c r="V279" s="153"/>
      <c r="W279" s="153"/>
      <c r="X279" s="153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2"/>
    </row>
    <row r="280" customFormat="false" ht="12.75" hidden="false" customHeight="true" outlineLevel="0" collapsed="false">
      <c r="H280" s="185"/>
      <c r="I280" s="185"/>
      <c r="J280" s="185"/>
      <c r="L280" s="186"/>
      <c r="M280" s="186"/>
      <c r="N280" s="186"/>
      <c r="O280" s="186"/>
      <c r="P280" s="186"/>
      <c r="Q280" s="186"/>
      <c r="R280" s="186"/>
      <c r="U280" s="153"/>
      <c r="V280" s="153"/>
      <c r="W280" s="153"/>
      <c r="X280" s="153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2"/>
    </row>
    <row r="281" customFormat="false" ht="12.75" hidden="false" customHeight="true" outlineLevel="0" collapsed="false">
      <c r="H281" s="185"/>
      <c r="I281" s="185"/>
      <c r="J281" s="185"/>
      <c r="L281" s="186"/>
      <c r="M281" s="186"/>
      <c r="N281" s="186"/>
      <c r="O281" s="186"/>
      <c r="P281" s="186"/>
      <c r="Q281" s="186"/>
      <c r="R281" s="186"/>
      <c r="U281" s="153"/>
      <c r="V281" s="153"/>
      <c r="W281" s="153"/>
      <c r="X281" s="153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2"/>
    </row>
    <row r="282" customFormat="false" ht="12.75" hidden="false" customHeight="true" outlineLevel="0" collapsed="false">
      <c r="H282" s="185"/>
      <c r="I282" s="185"/>
      <c r="J282" s="185"/>
      <c r="L282" s="186"/>
      <c r="M282" s="186"/>
      <c r="N282" s="186"/>
      <c r="O282" s="186"/>
      <c r="P282" s="186"/>
      <c r="Q282" s="186"/>
      <c r="R282" s="186"/>
      <c r="U282" s="153"/>
      <c r="V282" s="153"/>
      <c r="W282" s="153"/>
      <c r="X282" s="153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2"/>
    </row>
    <row r="283" customFormat="false" ht="12.75" hidden="false" customHeight="true" outlineLevel="0" collapsed="false">
      <c r="H283" s="185"/>
      <c r="I283" s="185"/>
      <c r="J283" s="185"/>
      <c r="L283" s="186"/>
      <c r="M283" s="186"/>
      <c r="N283" s="186"/>
      <c r="O283" s="186"/>
      <c r="P283" s="186"/>
      <c r="Q283" s="186"/>
      <c r="R283" s="186"/>
      <c r="U283" s="153"/>
      <c r="V283" s="153"/>
      <c r="W283" s="153"/>
      <c r="X283" s="153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2"/>
    </row>
    <row r="284" customFormat="false" ht="12.75" hidden="false" customHeight="true" outlineLevel="0" collapsed="false">
      <c r="H284" s="185"/>
      <c r="I284" s="185"/>
      <c r="J284" s="185"/>
      <c r="L284" s="186"/>
      <c r="M284" s="186"/>
      <c r="N284" s="186"/>
      <c r="O284" s="186"/>
      <c r="P284" s="186"/>
      <c r="Q284" s="186"/>
      <c r="R284" s="186"/>
      <c r="U284" s="153"/>
      <c r="V284" s="153"/>
      <c r="W284" s="153"/>
      <c r="X284" s="153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2"/>
    </row>
    <row r="285" customFormat="false" ht="12.75" hidden="false" customHeight="true" outlineLevel="0" collapsed="false">
      <c r="H285" s="185"/>
      <c r="I285" s="185"/>
      <c r="J285" s="185"/>
      <c r="L285" s="186"/>
      <c r="M285" s="186"/>
      <c r="N285" s="186"/>
      <c r="O285" s="186"/>
      <c r="P285" s="186"/>
      <c r="Q285" s="186"/>
      <c r="R285" s="186"/>
      <c r="U285" s="153"/>
      <c r="V285" s="153"/>
      <c r="W285" s="153"/>
      <c r="X285" s="153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2"/>
    </row>
    <row r="286" customFormat="false" ht="12.75" hidden="false" customHeight="true" outlineLevel="0" collapsed="false">
      <c r="H286" s="185"/>
      <c r="I286" s="185"/>
      <c r="J286" s="185"/>
      <c r="L286" s="186"/>
      <c r="M286" s="186"/>
      <c r="N286" s="186"/>
      <c r="O286" s="186"/>
      <c r="P286" s="186"/>
      <c r="Q286" s="186"/>
      <c r="R286" s="186"/>
      <c r="U286" s="153"/>
      <c r="V286" s="153"/>
      <c r="W286" s="153"/>
      <c r="X286" s="153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2"/>
    </row>
    <row r="287" customFormat="false" ht="12.75" hidden="false" customHeight="true" outlineLevel="0" collapsed="false">
      <c r="H287" s="185"/>
      <c r="I287" s="185"/>
      <c r="J287" s="185"/>
      <c r="L287" s="186"/>
      <c r="M287" s="186"/>
      <c r="N287" s="186"/>
      <c r="O287" s="186"/>
      <c r="P287" s="186"/>
      <c r="Q287" s="186"/>
      <c r="R287" s="186"/>
      <c r="U287" s="153"/>
      <c r="V287" s="153"/>
      <c r="W287" s="153"/>
      <c r="X287" s="153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2"/>
    </row>
    <row r="288" customFormat="false" ht="12.75" hidden="false" customHeight="true" outlineLevel="0" collapsed="false">
      <c r="H288" s="185"/>
      <c r="I288" s="185"/>
      <c r="J288" s="185"/>
      <c r="L288" s="186"/>
      <c r="M288" s="186"/>
      <c r="N288" s="186"/>
      <c r="O288" s="186"/>
      <c r="P288" s="186"/>
      <c r="Q288" s="186"/>
      <c r="R288" s="186"/>
      <c r="U288" s="153"/>
      <c r="V288" s="153"/>
      <c r="W288" s="153"/>
      <c r="X288" s="153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2"/>
    </row>
    <row r="289" customFormat="false" ht="12.75" hidden="false" customHeight="true" outlineLevel="0" collapsed="false">
      <c r="H289" s="185"/>
      <c r="I289" s="185"/>
      <c r="J289" s="185"/>
      <c r="L289" s="186"/>
      <c r="M289" s="186"/>
      <c r="N289" s="186"/>
      <c r="O289" s="186"/>
      <c r="P289" s="186"/>
      <c r="Q289" s="186"/>
      <c r="R289" s="186"/>
      <c r="U289" s="153"/>
      <c r="V289" s="153"/>
      <c r="W289" s="153"/>
      <c r="X289" s="153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2"/>
    </row>
    <row r="290" customFormat="false" ht="12.75" hidden="false" customHeight="true" outlineLevel="0" collapsed="false">
      <c r="H290" s="185"/>
      <c r="I290" s="185"/>
      <c r="J290" s="185"/>
      <c r="L290" s="186"/>
      <c r="M290" s="186"/>
      <c r="N290" s="186"/>
      <c r="O290" s="186"/>
      <c r="P290" s="186"/>
      <c r="Q290" s="186"/>
      <c r="R290" s="186"/>
      <c r="U290" s="153"/>
      <c r="V290" s="153"/>
      <c r="W290" s="153"/>
      <c r="X290" s="153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2"/>
    </row>
    <row r="291" customFormat="false" ht="12.75" hidden="false" customHeight="true" outlineLevel="0" collapsed="false">
      <c r="H291" s="185"/>
      <c r="I291" s="185"/>
      <c r="J291" s="185"/>
      <c r="L291" s="186"/>
      <c r="M291" s="186"/>
      <c r="N291" s="186"/>
      <c r="O291" s="186"/>
      <c r="P291" s="186"/>
      <c r="Q291" s="186"/>
      <c r="R291" s="186"/>
      <c r="U291" s="153"/>
      <c r="V291" s="153"/>
      <c r="W291" s="153"/>
      <c r="X291" s="153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2"/>
    </row>
    <row r="292" customFormat="false" ht="12.75" hidden="false" customHeight="true" outlineLevel="0" collapsed="false">
      <c r="H292" s="185"/>
      <c r="I292" s="185"/>
      <c r="J292" s="185"/>
      <c r="L292" s="186"/>
      <c r="M292" s="186"/>
      <c r="N292" s="186"/>
      <c r="O292" s="186"/>
      <c r="P292" s="186"/>
      <c r="Q292" s="186"/>
      <c r="R292" s="186"/>
      <c r="U292" s="153"/>
      <c r="V292" s="153"/>
      <c r="W292" s="153"/>
      <c r="X292" s="153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2"/>
    </row>
    <row r="293" customFormat="false" ht="12.75" hidden="false" customHeight="true" outlineLevel="0" collapsed="false">
      <c r="H293" s="185"/>
      <c r="I293" s="185"/>
      <c r="J293" s="185"/>
      <c r="L293" s="186"/>
      <c r="M293" s="186"/>
      <c r="N293" s="186"/>
      <c r="O293" s="186"/>
      <c r="P293" s="186"/>
      <c r="Q293" s="186"/>
      <c r="R293" s="186"/>
      <c r="U293" s="153"/>
      <c r="V293" s="153"/>
      <c r="W293" s="153"/>
      <c r="X293" s="153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2"/>
    </row>
    <row r="294" customFormat="false" ht="12.75" hidden="false" customHeight="true" outlineLevel="0" collapsed="false">
      <c r="H294" s="185"/>
      <c r="I294" s="185"/>
      <c r="J294" s="185"/>
      <c r="L294" s="186"/>
      <c r="M294" s="186"/>
      <c r="N294" s="186"/>
      <c r="O294" s="186"/>
      <c r="P294" s="186"/>
      <c r="Q294" s="186"/>
      <c r="R294" s="186"/>
      <c r="U294" s="153"/>
      <c r="V294" s="153"/>
      <c r="W294" s="153"/>
      <c r="X294" s="153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2"/>
    </row>
    <row r="295" customFormat="false" ht="12.75" hidden="false" customHeight="true" outlineLevel="0" collapsed="false">
      <c r="H295" s="185"/>
      <c r="I295" s="185"/>
      <c r="J295" s="185"/>
      <c r="L295" s="186"/>
      <c r="M295" s="186"/>
      <c r="N295" s="186"/>
      <c r="O295" s="186"/>
      <c r="P295" s="186"/>
      <c r="Q295" s="186"/>
      <c r="R295" s="186"/>
      <c r="U295" s="153"/>
      <c r="V295" s="153"/>
      <c r="W295" s="153"/>
      <c r="X295" s="153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2"/>
    </row>
    <row r="296" customFormat="false" ht="12.75" hidden="false" customHeight="true" outlineLevel="0" collapsed="false">
      <c r="H296" s="185"/>
      <c r="I296" s="185"/>
      <c r="J296" s="185"/>
      <c r="L296" s="186"/>
      <c r="M296" s="186"/>
      <c r="N296" s="186"/>
      <c r="O296" s="186"/>
      <c r="P296" s="186"/>
      <c r="Q296" s="186"/>
      <c r="R296" s="186"/>
      <c r="U296" s="153"/>
      <c r="V296" s="153"/>
      <c r="W296" s="153"/>
      <c r="X296" s="153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2"/>
    </row>
    <row r="297" customFormat="false" ht="12.75" hidden="false" customHeight="true" outlineLevel="0" collapsed="false">
      <c r="H297" s="185"/>
      <c r="I297" s="185"/>
      <c r="J297" s="185"/>
      <c r="L297" s="186"/>
      <c r="M297" s="186"/>
      <c r="N297" s="186"/>
      <c r="O297" s="186"/>
      <c r="P297" s="186"/>
      <c r="Q297" s="186"/>
      <c r="R297" s="186"/>
      <c r="U297" s="153"/>
      <c r="V297" s="153"/>
      <c r="W297" s="153"/>
      <c r="X297" s="153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2"/>
    </row>
    <row r="298" customFormat="false" ht="12.75" hidden="false" customHeight="true" outlineLevel="0" collapsed="false">
      <c r="H298" s="185"/>
      <c r="I298" s="185"/>
      <c r="J298" s="185"/>
      <c r="L298" s="186"/>
      <c r="M298" s="186"/>
      <c r="N298" s="186"/>
      <c r="O298" s="186"/>
      <c r="P298" s="186"/>
      <c r="Q298" s="186"/>
      <c r="R298" s="186"/>
      <c r="U298" s="153"/>
      <c r="V298" s="153"/>
      <c r="W298" s="153"/>
      <c r="X298" s="153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2"/>
    </row>
    <row r="299" customFormat="false" ht="12.75" hidden="false" customHeight="true" outlineLevel="0" collapsed="false"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2"/>
    </row>
    <row r="300" customFormat="false" ht="12.75" hidden="false" customHeight="true" outlineLevel="0" collapsed="false"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2"/>
    </row>
    <row r="301" customFormat="false" ht="12.75" hidden="false" customHeight="true" outlineLevel="0" collapsed="false"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2"/>
    </row>
    <row r="302" customFormat="false" ht="12.75" hidden="false" customHeight="true" outlineLevel="0" collapsed="false"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2"/>
    </row>
    <row r="303" customFormat="false" ht="12.75" hidden="false" customHeight="true" outlineLevel="0" collapsed="false"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2"/>
    </row>
    <row r="304" customFormat="false" ht="12.75" hidden="false" customHeight="true" outlineLevel="0" collapsed="false"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2"/>
    </row>
    <row r="305" customFormat="false" ht="12.75" hidden="false" customHeight="true" outlineLevel="0" collapsed="false"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2"/>
    </row>
    <row r="306" customFormat="false" ht="12.75" hidden="false" customHeight="true" outlineLevel="0" collapsed="false"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2"/>
    </row>
    <row r="307" customFormat="false" ht="12.75" hidden="false" customHeight="true" outlineLevel="0" collapsed="false"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2"/>
    </row>
    <row r="308" customFormat="false" ht="12.75" hidden="false" customHeight="true" outlineLevel="0" collapsed="false"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</row>
    <row r="309" customFormat="false" ht="12.75" hidden="false" customHeight="true" outlineLevel="0" collapsed="false"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2"/>
    </row>
    <row r="310" customFormat="false" ht="12.75" hidden="false" customHeight="true" outlineLevel="0" collapsed="false"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2"/>
    </row>
    <row r="311" customFormat="false" ht="12.75" hidden="false" customHeight="true" outlineLevel="0" collapsed="false"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2"/>
    </row>
    <row r="312" customFormat="false" ht="12.75" hidden="false" customHeight="true" outlineLevel="0" collapsed="false"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2"/>
    </row>
    <row r="313" customFormat="false" ht="12.75" hidden="false" customHeight="true" outlineLevel="0" collapsed="false"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2"/>
    </row>
    <row r="314" customFormat="false" ht="12.75" hidden="false" customHeight="true" outlineLevel="0" collapsed="false"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2"/>
    </row>
    <row r="315" customFormat="false" ht="12.75" hidden="false" customHeight="true" outlineLevel="0" collapsed="false"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2"/>
    </row>
    <row r="316" customFormat="false" ht="12.75" hidden="false" customHeight="true" outlineLevel="0" collapsed="false"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2"/>
    </row>
    <row r="317" customFormat="false" ht="12.75" hidden="false" customHeight="true" outlineLevel="0" collapsed="false"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2"/>
    </row>
    <row r="318" customFormat="false" ht="12.75" hidden="false" customHeight="true" outlineLevel="0" collapsed="false"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2"/>
    </row>
    <row r="319" customFormat="false" ht="12.75" hidden="false" customHeight="true" outlineLevel="0" collapsed="false"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2"/>
    </row>
    <row r="320" customFormat="false" ht="12.75" hidden="false" customHeight="true" outlineLevel="0" collapsed="false"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2"/>
    </row>
    <row r="321" customFormat="false" ht="12.75" hidden="false" customHeight="true" outlineLevel="0" collapsed="false"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2"/>
    </row>
    <row r="322" customFormat="false" ht="12.75" hidden="false" customHeight="true" outlineLevel="0" collapsed="false"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2"/>
    </row>
    <row r="323" customFormat="false" ht="12.75" hidden="false" customHeight="true" outlineLevel="0" collapsed="false"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2"/>
    </row>
    <row r="324" customFormat="false" ht="12.75" hidden="false" customHeight="true" outlineLevel="0" collapsed="false"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2"/>
    </row>
    <row r="325" customFormat="false" ht="12.75" hidden="false" customHeight="true" outlineLevel="0" collapsed="false"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2"/>
    </row>
    <row r="326" customFormat="false" ht="12.75" hidden="false" customHeight="true" outlineLevel="0" collapsed="false"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2"/>
    </row>
    <row r="327" customFormat="false" ht="12.75" hidden="false" customHeight="true" outlineLevel="0" collapsed="false"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2"/>
    </row>
    <row r="328" customFormat="false" ht="12.75" hidden="false" customHeight="true" outlineLevel="0" collapsed="false"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2"/>
    </row>
    <row r="329" customFormat="false" ht="12.75" hidden="false" customHeight="true" outlineLevel="0" collapsed="false"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2"/>
    </row>
    <row r="330" customFormat="false" ht="12.75" hidden="false" customHeight="true" outlineLevel="0" collapsed="false"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2"/>
    </row>
    <row r="331" customFormat="false" ht="12.75" hidden="false" customHeight="true" outlineLevel="0" collapsed="false"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2"/>
    </row>
    <row r="332" customFormat="false" ht="12.75" hidden="false" customHeight="true" outlineLevel="0" collapsed="false"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2"/>
    </row>
    <row r="333" customFormat="false" ht="12.75" hidden="false" customHeight="true" outlineLevel="0" collapsed="false"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2"/>
    </row>
    <row r="334" customFormat="false" ht="12.75" hidden="false" customHeight="true" outlineLevel="0" collapsed="false"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2"/>
    </row>
    <row r="335" customFormat="false" ht="12.75" hidden="false" customHeight="true" outlineLevel="0" collapsed="false"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2"/>
    </row>
    <row r="336" customFormat="false" ht="12.75" hidden="false" customHeight="true" outlineLevel="0" collapsed="false"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2"/>
    </row>
    <row r="337" customFormat="false" ht="12.75" hidden="false" customHeight="true" outlineLevel="0" collapsed="false"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2"/>
    </row>
    <row r="338" customFormat="false" ht="12.75" hidden="false" customHeight="true" outlineLevel="0" collapsed="false"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2"/>
    </row>
    <row r="339" customFormat="false" ht="12.75" hidden="false" customHeight="true" outlineLevel="0" collapsed="false"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2"/>
    </row>
    <row r="340" customFormat="false" ht="12.75" hidden="false" customHeight="true" outlineLevel="0" collapsed="false"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2"/>
    </row>
    <row r="341" customFormat="false" ht="12.75" hidden="false" customHeight="true" outlineLevel="0" collapsed="false"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2"/>
    </row>
    <row r="342" customFormat="false" ht="12.75" hidden="false" customHeight="true" outlineLevel="0" collapsed="false"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2"/>
    </row>
    <row r="343" customFormat="false" ht="12.75" hidden="false" customHeight="true" outlineLevel="0" collapsed="false"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2"/>
    </row>
    <row r="344" customFormat="false" ht="12.75" hidden="false" customHeight="true" outlineLevel="0" collapsed="false"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2"/>
    </row>
    <row r="345" customFormat="false" ht="12.75" hidden="false" customHeight="true" outlineLevel="0" collapsed="false"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2"/>
    </row>
    <row r="346" customFormat="false" ht="12.75" hidden="false" customHeight="true" outlineLevel="0" collapsed="false"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2"/>
    </row>
    <row r="347" customFormat="false" ht="12.75" hidden="false" customHeight="true" outlineLevel="0" collapsed="false"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2"/>
    </row>
    <row r="348" customFormat="false" ht="12.75" hidden="false" customHeight="true" outlineLevel="0" collapsed="false"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2"/>
    </row>
    <row r="349" customFormat="false" ht="12.75" hidden="false" customHeight="true" outlineLevel="0" collapsed="false"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2"/>
    </row>
    <row r="350" customFormat="false" ht="12.75" hidden="false" customHeight="true" outlineLevel="0" collapsed="false"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2"/>
    </row>
    <row r="351" customFormat="false" ht="12.75" hidden="false" customHeight="true" outlineLevel="0" collapsed="false"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2"/>
    </row>
    <row r="352" customFormat="false" ht="12.75" hidden="false" customHeight="true" outlineLevel="0" collapsed="false"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2"/>
    </row>
    <row r="353" customFormat="false" ht="12.75" hidden="false" customHeight="true" outlineLevel="0" collapsed="false"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2"/>
    </row>
    <row r="354" customFormat="false" ht="12.75" hidden="false" customHeight="true" outlineLevel="0" collapsed="false"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2"/>
    </row>
    <row r="355" customFormat="false" ht="12.75" hidden="false" customHeight="true" outlineLevel="0" collapsed="false"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2"/>
    </row>
    <row r="356" customFormat="false" ht="12.75" hidden="false" customHeight="true" outlineLevel="0" collapsed="false"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2"/>
    </row>
    <row r="357" customFormat="false" ht="12.75" hidden="false" customHeight="true" outlineLevel="0" collapsed="false"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2"/>
    </row>
    <row r="358" customFormat="false" ht="12.75" hidden="false" customHeight="true" outlineLevel="0" collapsed="false"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2"/>
    </row>
    <row r="359" customFormat="false" ht="12.75" hidden="false" customHeight="true" outlineLevel="0" collapsed="false"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2"/>
    </row>
    <row r="360" customFormat="false" ht="12.75" hidden="false" customHeight="true" outlineLevel="0" collapsed="false"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2"/>
    </row>
    <row r="361" customFormat="false" ht="12.75" hidden="false" customHeight="true" outlineLevel="0" collapsed="false"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2"/>
    </row>
    <row r="362" customFormat="false" ht="12.75" hidden="false" customHeight="true" outlineLevel="0" collapsed="false"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2"/>
    </row>
    <row r="363" customFormat="false" ht="12.75" hidden="false" customHeight="true" outlineLevel="0" collapsed="false"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2"/>
    </row>
    <row r="364" customFormat="false" ht="12.75" hidden="false" customHeight="true" outlineLevel="0" collapsed="false"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2"/>
    </row>
    <row r="365" customFormat="false" ht="12.75" hidden="false" customHeight="true" outlineLevel="0" collapsed="false"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2"/>
    </row>
    <row r="366" customFormat="false" ht="12.75" hidden="false" customHeight="true" outlineLevel="0" collapsed="false"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2"/>
    </row>
    <row r="367" customFormat="false" ht="12.75" hidden="false" customHeight="true" outlineLevel="0" collapsed="false"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2"/>
    </row>
    <row r="368" customFormat="false" ht="12.75" hidden="false" customHeight="true" outlineLevel="0" collapsed="false"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2"/>
    </row>
    <row r="369" customFormat="false" ht="12.75" hidden="false" customHeight="true" outlineLevel="0" collapsed="false"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2"/>
    </row>
    <row r="370" customFormat="false" ht="12.75" hidden="false" customHeight="true" outlineLevel="0" collapsed="false"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2"/>
    </row>
    <row r="371" customFormat="false" ht="12.75" hidden="false" customHeight="true" outlineLevel="0" collapsed="false"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2"/>
    </row>
    <row r="372" customFormat="false" ht="12.75" hidden="false" customHeight="true" outlineLevel="0" collapsed="false"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2"/>
    </row>
    <row r="373" customFormat="false" ht="12.75" hidden="false" customHeight="true" outlineLevel="0" collapsed="false"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2"/>
    </row>
    <row r="374" customFormat="false" ht="12.75" hidden="false" customHeight="true" outlineLevel="0" collapsed="false"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2"/>
    </row>
    <row r="375" customFormat="false" ht="12.75" hidden="false" customHeight="true" outlineLevel="0" collapsed="false"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2"/>
    </row>
    <row r="376" customFormat="false" ht="12.75" hidden="false" customHeight="true" outlineLevel="0" collapsed="false"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2"/>
    </row>
    <row r="377" customFormat="false" ht="12.75" hidden="false" customHeight="true" outlineLevel="0" collapsed="false"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2"/>
    </row>
    <row r="378" customFormat="false" ht="12.75" hidden="false" customHeight="true" outlineLevel="0" collapsed="false"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2"/>
    </row>
    <row r="379" customFormat="false" ht="12.75" hidden="false" customHeight="true" outlineLevel="0" collapsed="false"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2"/>
    </row>
    <row r="380" customFormat="false" ht="12.75" hidden="false" customHeight="true" outlineLevel="0" collapsed="false"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2"/>
    </row>
    <row r="381" customFormat="false" ht="12.75" hidden="false" customHeight="true" outlineLevel="0" collapsed="false"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2"/>
    </row>
    <row r="382" customFormat="false" ht="12.75" hidden="false" customHeight="true" outlineLevel="0" collapsed="false"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2"/>
    </row>
    <row r="383" customFormat="false" ht="12.75" hidden="false" customHeight="true" outlineLevel="0" collapsed="false"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2"/>
    </row>
    <row r="384" customFormat="false" ht="12.75" hidden="false" customHeight="true" outlineLevel="0" collapsed="false"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2"/>
    </row>
    <row r="385" customFormat="false" ht="12.75" hidden="false" customHeight="true" outlineLevel="0" collapsed="false"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2"/>
    </row>
    <row r="386" customFormat="false" ht="12.75" hidden="false" customHeight="true" outlineLevel="0" collapsed="false"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2"/>
    </row>
    <row r="387" customFormat="false" ht="12.75" hidden="false" customHeight="true" outlineLevel="0" collapsed="false"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2"/>
    </row>
    <row r="388" customFormat="false" ht="12.75" hidden="false" customHeight="true" outlineLevel="0" collapsed="false"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2"/>
    </row>
    <row r="389" customFormat="false" ht="12.75" hidden="false" customHeight="true" outlineLevel="0" collapsed="false"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2"/>
    </row>
    <row r="390" customFormat="false" ht="12.75" hidden="false" customHeight="true" outlineLevel="0" collapsed="false"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2"/>
    </row>
    <row r="391" customFormat="false" ht="12.75" hidden="false" customHeight="true" outlineLevel="0" collapsed="false"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2"/>
    </row>
    <row r="392" customFormat="false" ht="12.75" hidden="false" customHeight="true" outlineLevel="0" collapsed="false"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2"/>
    </row>
    <row r="393" customFormat="false" ht="12.75" hidden="false" customHeight="true" outlineLevel="0" collapsed="false"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2"/>
    </row>
    <row r="394" customFormat="false" ht="12.75" hidden="false" customHeight="true" outlineLevel="0" collapsed="false"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2"/>
    </row>
    <row r="395" customFormat="false" ht="12.75" hidden="false" customHeight="true" outlineLevel="0" collapsed="false"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2"/>
    </row>
    <row r="396" customFormat="false" ht="12.75" hidden="false" customHeight="true" outlineLevel="0" collapsed="false"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2"/>
    </row>
    <row r="397" customFormat="false" ht="12.75" hidden="false" customHeight="true" outlineLevel="0" collapsed="false"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2"/>
    </row>
    <row r="398" customFormat="false" ht="12.75" hidden="false" customHeight="true" outlineLevel="0" collapsed="false"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2"/>
    </row>
    <row r="399" customFormat="false" ht="12.75" hidden="false" customHeight="true" outlineLevel="0" collapsed="false"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2"/>
    </row>
    <row r="400" customFormat="false" ht="12.75" hidden="false" customHeight="true" outlineLevel="0" collapsed="false"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2"/>
    </row>
    <row r="401" customFormat="false" ht="12.75" hidden="false" customHeight="true" outlineLevel="0" collapsed="false"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2"/>
    </row>
    <row r="402" customFormat="false" ht="12.75" hidden="false" customHeight="true" outlineLevel="0" collapsed="false"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2"/>
    </row>
    <row r="403" customFormat="false" ht="12.75" hidden="false" customHeight="true" outlineLevel="0" collapsed="false"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2"/>
    </row>
    <row r="404" customFormat="false" ht="12.75" hidden="false" customHeight="true" outlineLevel="0" collapsed="false"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2"/>
    </row>
    <row r="405" customFormat="false" ht="12.75" hidden="false" customHeight="true" outlineLevel="0" collapsed="false"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2"/>
    </row>
    <row r="406" customFormat="false" ht="12.75" hidden="false" customHeight="true" outlineLevel="0" collapsed="false"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2"/>
    </row>
    <row r="407" customFormat="false" ht="12.75" hidden="false" customHeight="true" outlineLevel="0" collapsed="false"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2"/>
    </row>
    <row r="408" customFormat="false" ht="12.75" hidden="false" customHeight="true" outlineLevel="0" collapsed="false"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2"/>
    </row>
    <row r="409" customFormat="false" ht="12.75" hidden="false" customHeight="true" outlineLevel="0" collapsed="false"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2"/>
    </row>
    <row r="410" customFormat="false" ht="12.75" hidden="false" customHeight="true" outlineLevel="0" collapsed="false"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2"/>
    </row>
    <row r="411" customFormat="false" ht="12.75" hidden="false" customHeight="true" outlineLevel="0" collapsed="false"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2"/>
    </row>
    <row r="412" customFormat="false" ht="12.75" hidden="false" customHeight="true" outlineLevel="0" collapsed="false"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2"/>
    </row>
    <row r="413" customFormat="false" ht="12.75" hidden="false" customHeight="true" outlineLevel="0" collapsed="false"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2"/>
    </row>
    <row r="414" customFormat="false" ht="12.75" hidden="false" customHeight="true" outlineLevel="0" collapsed="false"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2"/>
    </row>
    <row r="415" customFormat="false" ht="12.75" hidden="false" customHeight="true" outlineLevel="0" collapsed="false"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2"/>
    </row>
    <row r="416" customFormat="false" ht="12.75" hidden="false" customHeight="true" outlineLevel="0" collapsed="false"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2"/>
    </row>
    <row r="417" customFormat="false" ht="12.75" hidden="false" customHeight="true" outlineLevel="0" collapsed="false"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2"/>
    </row>
    <row r="418" customFormat="false" ht="12.75" hidden="false" customHeight="true" outlineLevel="0" collapsed="false"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2"/>
    </row>
    <row r="419" customFormat="false" ht="12.75" hidden="false" customHeight="true" outlineLevel="0" collapsed="false"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2"/>
    </row>
    <row r="420" customFormat="false" ht="12.75" hidden="false" customHeight="true" outlineLevel="0" collapsed="false"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2"/>
    </row>
    <row r="421" customFormat="false" ht="12.75" hidden="false" customHeight="true" outlineLevel="0" collapsed="false"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2"/>
    </row>
    <row r="422" customFormat="false" ht="12.75" hidden="false" customHeight="true" outlineLevel="0" collapsed="false"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2"/>
    </row>
    <row r="423" customFormat="false" ht="12.75" hidden="false" customHeight="true" outlineLevel="0" collapsed="false"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2"/>
    </row>
    <row r="424" customFormat="false" ht="12.75" hidden="false" customHeight="true" outlineLevel="0" collapsed="false"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2"/>
    </row>
    <row r="425" customFormat="false" ht="12.75" hidden="false" customHeight="true" outlineLevel="0" collapsed="false"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2"/>
    </row>
    <row r="426" customFormat="false" ht="12.75" hidden="false" customHeight="true" outlineLevel="0" collapsed="false"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2"/>
    </row>
    <row r="427" customFormat="false" ht="12.75" hidden="false" customHeight="true" outlineLevel="0" collapsed="false"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2"/>
    </row>
    <row r="428" customFormat="false" ht="12.75" hidden="false" customHeight="true" outlineLevel="0" collapsed="false"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2"/>
    </row>
    <row r="429" customFormat="false" ht="12.75" hidden="false" customHeight="true" outlineLevel="0" collapsed="false"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2"/>
    </row>
    <row r="430" customFormat="false" ht="12.75" hidden="false" customHeight="true" outlineLevel="0" collapsed="false"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2"/>
    </row>
    <row r="431" customFormat="false" ht="12.75" hidden="false" customHeight="true" outlineLevel="0" collapsed="false"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2"/>
    </row>
    <row r="432" customFormat="false" ht="12.75" hidden="false" customHeight="true" outlineLevel="0" collapsed="false"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2"/>
    </row>
    <row r="433" customFormat="false" ht="12.75" hidden="false" customHeight="true" outlineLevel="0" collapsed="false"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2"/>
    </row>
    <row r="434" customFormat="false" ht="12.75" hidden="false" customHeight="true" outlineLevel="0" collapsed="false"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2"/>
    </row>
    <row r="435" customFormat="false" ht="12.75" hidden="false" customHeight="true" outlineLevel="0" collapsed="false"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2"/>
    </row>
    <row r="436" customFormat="false" ht="12.75" hidden="false" customHeight="true" outlineLevel="0" collapsed="false"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2"/>
    </row>
    <row r="437" customFormat="false" ht="12.75" hidden="false" customHeight="true" outlineLevel="0" collapsed="false"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2"/>
    </row>
    <row r="438" customFormat="false" ht="12.75" hidden="false" customHeight="true" outlineLevel="0" collapsed="false"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2"/>
    </row>
    <row r="439" customFormat="false" ht="12.75" hidden="false" customHeight="true" outlineLevel="0" collapsed="false"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2"/>
    </row>
    <row r="440" customFormat="false" ht="12.75" hidden="false" customHeight="true" outlineLevel="0" collapsed="false"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2"/>
    </row>
    <row r="441" customFormat="false" ht="12.75" hidden="false" customHeight="true" outlineLevel="0" collapsed="false"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2"/>
    </row>
    <row r="442" customFormat="false" ht="12.75" hidden="false" customHeight="true" outlineLevel="0" collapsed="false"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2"/>
    </row>
    <row r="443" customFormat="false" ht="12.75" hidden="false" customHeight="true" outlineLevel="0" collapsed="false"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2"/>
    </row>
    <row r="444" customFormat="false" ht="12.75" hidden="false" customHeight="true" outlineLevel="0" collapsed="false"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2"/>
    </row>
    <row r="445" customFormat="false" ht="12.75" hidden="false" customHeight="true" outlineLevel="0" collapsed="false"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142"/>
    </row>
    <row r="446" customFormat="false" ht="12.75" hidden="false" customHeight="true" outlineLevel="0" collapsed="false"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2"/>
    </row>
    <row r="447" customFormat="false" ht="12.75" hidden="false" customHeight="true" outlineLevel="0" collapsed="false"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2"/>
    </row>
    <row r="448" customFormat="false" ht="12.75" hidden="false" customHeight="true" outlineLevel="0" collapsed="false"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2"/>
    </row>
    <row r="449" customFormat="false" ht="12.75" hidden="false" customHeight="true" outlineLevel="0" collapsed="false"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2"/>
    </row>
    <row r="450" customFormat="false" ht="12.75" hidden="false" customHeight="true" outlineLevel="0" collapsed="false"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2"/>
    </row>
    <row r="451" customFormat="false" ht="12.75" hidden="false" customHeight="true" outlineLevel="0" collapsed="false"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2"/>
    </row>
    <row r="452" customFormat="false" ht="12.75" hidden="false" customHeight="true" outlineLevel="0" collapsed="false"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2"/>
    </row>
    <row r="453" customFormat="false" ht="12.75" hidden="false" customHeight="true" outlineLevel="0" collapsed="false"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2"/>
    </row>
    <row r="454" customFormat="false" ht="12.75" hidden="false" customHeight="true" outlineLevel="0" collapsed="false"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2"/>
    </row>
    <row r="455" customFormat="false" ht="12.75" hidden="false" customHeight="true" outlineLevel="0" collapsed="false"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2"/>
    </row>
    <row r="456" customFormat="false" ht="12.75" hidden="false" customHeight="true" outlineLevel="0" collapsed="false"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2"/>
    </row>
    <row r="457" customFormat="false" ht="12.75" hidden="false" customHeight="true" outlineLevel="0" collapsed="false"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2"/>
    </row>
    <row r="458" customFormat="false" ht="12.75" hidden="false" customHeight="true" outlineLevel="0" collapsed="false"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2"/>
    </row>
    <row r="459" customFormat="false" ht="12.75" hidden="false" customHeight="true" outlineLevel="0" collapsed="false"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2"/>
    </row>
    <row r="460" customFormat="false" ht="12.75" hidden="false" customHeight="true" outlineLevel="0" collapsed="false"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2"/>
    </row>
    <row r="461" customFormat="false" ht="12.75" hidden="false" customHeight="true" outlineLevel="0" collapsed="false"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2"/>
    </row>
    <row r="462" customFormat="false" ht="12.75" hidden="false" customHeight="true" outlineLevel="0" collapsed="false"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2"/>
    </row>
    <row r="463" customFormat="false" ht="12.75" hidden="false" customHeight="true" outlineLevel="0" collapsed="false"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2"/>
    </row>
    <row r="464" customFormat="false" ht="12.75" hidden="false" customHeight="true" outlineLevel="0" collapsed="false"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2"/>
    </row>
    <row r="465" customFormat="false" ht="12.75" hidden="false" customHeight="true" outlineLevel="0" collapsed="false"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2"/>
    </row>
    <row r="466" customFormat="false" ht="12.75" hidden="false" customHeight="true" outlineLevel="0" collapsed="false"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2"/>
    </row>
    <row r="467" customFormat="false" ht="12.75" hidden="false" customHeight="true" outlineLevel="0" collapsed="false"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2"/>
    </row>
    <row r="468" customFormat="false" ht="12.75" hidden="false" customHeight="true" outlineLevel="0" collapsed="false"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2"/>
    </row>
    <row r="469" customFormat="false" ht="12.75" hidden="false" customHeight="true" outlineLevel="0" collapsed="false"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2"/>
    </row>
    <row r="470" customFormat="false" ht="12.75" hidden="false" customHeight="true" outlineLevel="0" collapsed="false"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2"/>
    </row>
    <row r="471" customFormat="false" ht="12.75" hidden="false" customHeight="true" outlineLevel="0" collapsed="false"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2"/>
    </row>
    <row r="472" customFormat="false" ht="12.75" hidden="false" customHeight="true" outlineLevel="0" collapsed="false"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2"/>
    </row>
    <row r="473" customFormat="false" ht="12.75" hidden="false" customHeight="true" outlineLevel="0" collapsed="false"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2"/>
    </row>
    <row r="474" customFormat="false" ht="12.75" hidden="false" customHeight="true" outlineLevel="0" collapsed="false"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2"/>
    </row>
    <row r="475" customFormat="false" ht="12.75" hidden="false" customHeight="true" outlineLevel="0" collapsed="false"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2"/>
    </row>
    <row r="476" customFormat="false" ht="12.75" hidden="false" customHeight="true" outlineLevel="0" collapsed="false"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2"/>
    </row>
    <row r="477" customFormat="false" ht="12.75" hidden="false" customHeight="true" outlineLevel="0" collapsed="false"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2"/>
    </row>
    <row r="478" customFormat="false" ht="12.75" hidden="false" customHeight="true" outlineLevel="0" collapsed="false"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2"/>
    </row>
    <row r="479" customFormat="false" ht="12.75" hidden="false" customHeight="true" outlineLevel="0" collapsed="false"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2"/>
    </row>
    <row r="480" customFormat="false" ht="12.75" hidden="false" customHeight="true" outlineLevel="0" collapsed="false"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2"/>
    </row>
    <row r="481" customFormat="false" ht="12.75" hidden="false" customHeight="true" outlineLevel="0" collapsed="false"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2"/>
    </row>
    <row r="482" customFormat="false" ht="12.75" hidden="false" customHeight="true" outlineLevel="0" collapsed="false"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2"/>
    </row>
    <row r="483" customFormat="false" ht="12.75" hidden="false" customHeight="true" outlineLevel="0" collapsed="false"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2"/>
    </row>
    <row r="484" customFormat="false" ht="12.75" hidden="false" customHeight="true" outlineLevel="0" collapsed="false"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2"/>
    </row>
    <row r="485" customFormat="false" ht="12.75" hidden="false" customHeight="true" outlineLevel="0" collapsed="false"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2"/>
    </row>
    <row r="486" customFormat="false" ht="12.75" hidden="false" customHeight="true" outlineLevel="0" collapsed="false"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2"/>
    </row>
    <row r="487" customFormat="false" ht="12.75" hidden="false" customHeight="true" outlineLevel="0" collapsed="false"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2"/>
    </row>
    <row r="488" customFormat="false" ht="12.75" hidden="false" customHeight="true" outlineLevel="0" collapsed="false"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2"/>
    </row>
    <row r="489" customFormat="false" ht="12.75" hidden="false" customHeight="true" outlineLevel="0" collapsed="false"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2"/>
    </row>
    <row r="490" customFormat="false" ht="12.75" hidden="false" customHeight="true" outlineLevel="0" collapsed="false"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2"/>
    </row>
    <row r="491" customFormat="false" ht="12.75" hidden="false" customHeight="true" outlineLevel="0" collapsed="false"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2"/>
    </row>
    <row r="492" customFormat="false" ht="12.75" hidden="false" customHeight="true" outlineLevel="0" collapsed="false"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2"/>
    </row>
    <row r="493" customFormat="false" ht="12.75" hidden="false" customHeight="true" outlineLevel="0" collapsed="false"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2"/>
    </row>
    <row r="494" customFormat="false" ht="12.75" hidden="false" customHeight="true" outlineLevel="0" collapsed="false"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2"/>
    </row>
    <row r="495" customFormat="false" ht="12.75" hidden="false" customHeight="true" outlineLevel="0" collapsed="false"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2"/>
    </row>
    <row r="496" customFormat="false" ht="12.75" hidden="false" customHeight="true" outlineLevel="0" collapsed="false"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2"/>
    </row>
    <row r="497" customFormat="false" ht="12.75" hidden="false" customHeight="true" outlineLevel="0" collapsed="false"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2"/>
    </row>
    <row r="498" customFormat="false" ht="12.75" hidden="false" customHeight="true" outlineLevel="0" collapsed="false"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2"/>
    </row>
    <row r="499" customFormat="false" ht="12.75" hidden="false" customHeight="true" outlineLevel="0" collapsed="false"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2"/>
    </row>
    <row r="500" customFormat="false" ht="12.75" hidden="false" customHeight="true" outlineLevel="0" collapsed="false"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2"/>
    </row>
    <row r="501" customFormat="false" ht="12.75" hidden="false" customHeight="true" outlineLevel="0" collapsed="false"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2"/>
    </row>
    <row r="502" customFormat="false" ht="12.75" hidden="false" customHeight="true" outlineLevel="0" collapsed="false"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2"/>
    </row>
    <row r="503" customFormat="false" ht="12.75" hidden="false" customHeight="true" outlineLevel="0" collapsed="false"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2"/>
    </row>
    <row r="504" customFormat="false" ht="12.75" hidden="false" customHeight="true" outlineLevel="0" collapsed="false"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2"/>
    </row>
    <row r="505" customFormat="false" ht="12.75" hidden="false" customHeight="true" outlineLevel="0" collapsed="false"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2"/>
    </row>
    <row r="506" customFormat="false" ht="12.75" hidden="false" customHeight="true" outlineLevel="0" collapsed="false"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2"/>
    </row>
    <row r="507" customFormat="false" ht="12.75" hidden="false" customHeight="true" outlineLevel="0" collapsed="false"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2"/>
    </row>
    <row r="508" customFormat="false" ht="12.75" hidden="false" customHeight="true" outlineLevel="0" collapsed="false"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2"/>
    </row>
    <row r="509" customFormat="false" ht="12.75" hidden="false" customHeight="true" outlineLevel="0" collapsed="false"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2"/>
    </row>
    <row r="510" customFormat="false" ht="12.75" hidden="false" customHeight="true" outlineLevel="0" collapsed="false"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2"/>
    </row>
    <row r="511" customFormat="false" ht="12.75" hidden="false" customHeight="true" outlineLevel="0" collapsed="false"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</row>
    <row r="512" customFormat="false" ht="12.75" hidden="false" customHeight="true" outlineLevel="0" collapsed="false"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142"/>
    </row>
    <row r="513" customFormat="false" ht="12.75" hidden="false" customHeight="true" outlineLevel="0" collapsed="false"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2"/>
    </row>
    <row r="514" customFormat="false" ht="12.75" hidden="false" customHeight="true" outlineLevel="0" collapsed="false"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2"/>
    </row>
    <row r="515" customFormat="false" ht="12.75" hidden="false" customHeight="true" outlineLevel="0" collapsed="false"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2"/>
    </row>
    <row r="516" customFormat="false" ht="12.75" hidden="false" customHeight="true" outlineLevel="0" collapsed="false"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2"/>
    </row>
    <row r="517" customFormat="false" ht="12.75" hidden="false" customHeight="true" outlineLevel="0" collapsed="false"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2"/>
    </row>
    <row r="518" customFormat="false" ht="12.75" hidden="false" customHeight="true" outlineLevel="0" collapsed="false"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2"/>
    </row>
    <row r="519" customFormat="false" ht="12.75" hidden="false" customHeight="true" outlineLevel="0" collapsed="false"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2"/>
    </row>
    <row r="520" customFormat="false" ht="12.75" hidden="false" customHeight="true" outlineLevel="0" collapsed="false"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2"/>
    </row>
    <row r="521" customFormat="false" ht="12.75" hidden="false" customHeight="true" outlineLevel="0" collapsed="false"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2"/>
    </row>
    <row r="522" customFormat="false" ht="12.75" hidden="false" customHeight="true" outlineLevel="0" collapsed="false"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2"/>
    </row>
    <row r="523" customFormat="false" ht="12.75" hidden="false" customHeight="true" outlineLevel="0" collapsed="false"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2"/>
    </row>
    <row r="524" customFormat="false" ht="12.75" hidden="false" customHeight="true" outlineLevel="0" collapsed="false"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2"/>
    </row>
    <row r="525" customFormat="false" ht="12.75" hidden="false" customHeight="true" outlineLevel="0" collapsed="false"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2"/>
    </row>
    <row r="526" customFormat="false" ht="12.75" hidden="false" customHeight="true" outlineLevel="0" collapsed="false"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2"/>
    </row>
    <row r="527" customFormat="false" ht="12.75" hidden="false" customHeight="true" outlineLevel="0" collapsed="false"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2"/>
    </row>
    <row r="528" customFormat="false" ht="12.75" hidden="false" customHeight="true" outlineLevel="0" collapsed="false"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2"/>
    </row>
    <row r="529" customFormat="false" ht="12.75" hidden="false" customHeight="true" outlineLevel="0" collapsed="false"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2"/>
    </row>
    <row r="530" customFormat="false" ht="12.75" hidden="false" customHeight="true" outlineLevel="0" collapsed="false"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2"/>
    </row>
    <row r="531" customFormat="false" ht="12.75" hidden="false" customHeight="true" outlineLevel="0" collapsed="false"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2"/>
    </row>
    <row r="532" customFormat="false" ht="12.75" hidden="false" customHeight="true" outlineLevel="0" collapsed="false"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2"/>
    </row>
    <row r="533" customFormat="false" ht="12.75" hidden="false" customHeight="true" outlineLevel="0" collapsed="false"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2"/>
    </row>
    <row r="534" customFormat="false" ht="12.75" hidden="false" customHeight="true" outlineLevel="0" collapsed="false"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2"/>
    </row>
    <row r="535" customFormat="false" ht="12.75" hidden="false" customHeight="true" outlineLevel="0" collapsed="false"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2"/>
    </row>
    <row r="536" customFormat="false" ht="12.75" hidden="false" customHeight="true" outlineLevel="0" collapsed="false"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2"/>
    </row>
    <row r="537" customFormat="false" ht="12.75" hidden="false" customHeight="true" outlineLevel="0" collapsed="false"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2"/>
    </row>
    <row r="538" customFormat="false" ht="12.75" hidden="false" customHeight="true" outlineLevel="0" collapsed="false"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2"/>
    </row>
    <row r="539" customFormat="false" ht="12.75" hidden="false" customHeight="true" outlineLevel="0" collapsed="false"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2"/>
    </row>
    <row r="540" customFormat="false" ht="12.75" hidden="false" customHeight="true" outlineLevel="0" collapsed="false"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2"/>
    </row>
    <row r="541" customFormat="false" ht="12.75" hidden="false" customHeight="true" outlineLevel="0" collapsed="false"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2"/>
    </row>
    <row r="542" customFormat="false" ht="12.75" hidden="false" customHeight="true" outlineLevel="0" collapsed="false"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2"/>
    </row>
    <row r="543" customFormat="false" ht="12.75" hidden="false" customHeight="true" outlineLevel="0" collapsed="false"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2"/>
    </row>
    <row r="544" customFormat="false" ht="12.75" hidden="false" customHeight="true" outlineLevel="0" collapsed="false"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2"/>
    </row>
    <row r="545" customFormat="false" ht="12.75" hidden="false" customHeight="true" outlineLevel="0" collapsed="false"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2"/>
    </row>
    <row r="546" customFormat="false" ht="12.75" hidden="false" customHeight="true" outlineLevel="0" collapsed="false"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2"/>
    </row>
    <row r="547" customFormat="false" ht="12.75" hidden="false" customHeight="true" outlineLevel="0" collapsed="false"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2"/>
    </row>
    <row r="548" customFormat="false" ht="12.75" hidden="false" customHeight="true" outlineLevel="0" collapsed="false"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2"/>
    </row>
    <row r="549" customFormat="false" ht="12.75" hidden="false" customHeight="true" outlineLevel="0" collapsed="false"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2"/>
    </row>
    <row r="550" customFormat="false" ht="12.75" hidden="false" customHeight="true" outlineLevel="0" collapsed="false"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2"/>
    </row>
    <row r="551" customFormat="false" ht="12.75" hidden="false" customHeight="true" outlineLevel="0" collapsed="false"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2"/>
    </row>
    <row r="552" customFormat="false" ht="12.75" hidden="false" customHeight="true" outlineLevel="0" collapsed="false"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2"/>
    </row>
    <row r="553" customFormat="false" ht="12.75" hidden="false" customHeight="true" outlineLevel="0" collapsed="false"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2"/>
    </row>
    <row r="554" customFormat="false" ht="12.75" hidden="false" customHeight="true" outlineLevel="0" collapsed="false"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2"/>
    </row>
    <row r="555" customFormat="false" ht="12.75" hidden="false" customHeight="true" outlineLevel="0" collapsed="false"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2"/>
    </row>
    <row r="556" customFormat="false" ht="12.75" hidden="false" customHeight="true" outlineLevel="0" collapsed="false"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2"/>
    </row>
    <row r="557" customFormat="false" ht="12.75" hidden="false" customHeight="true" outlineLevel="0" collapsed="false"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2"/>
    </row>
    <row r="558" customFormat="false" ht="12.75" hidden="false" customHeight="true" outlineLevel="0" collapsed="false"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2"/>
    </row>
    <row r="559" customFormat="false" ht="12.75" hidden="false" customHeight="true" outlineLevel="0" collapsed="false"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2"/>
    </row>
    <row r="560" customFormat="false" ht="12.75" hidden="false" customHeight="true" outlineLevel="0" collapsed="false"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2"/>
    </row>
    <row r="561" customFormat="false" ht="12.75" hidden="false" customHeight="true" outlineLevel="0" collapsed="false"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2"/>
    </row>
    <row r="562" customFormat="false" ht="12.75" hidden="false" customHeight="true" outlineLevel="0" collapsed="false"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2"/>
    </row>
    <row r="563" customFormat="false" ht="12.75" hidden="false" customHeight="true" outlineLevel="0" collapsed="false"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2"/>
    </row>
    <row r="564" customFormat="false" ht="12.75" hidden="false" customHeight="true" outlineLevel="0" collapsed="false"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2"/>
    </row>
    <row r="565" customFormat="false" ht="12.75" hidden="false" customHeight="true" outlineLevel="0" collapsed="false"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2"/>
    </row>
    <row r="566" customFormat="false" ht="12.75" hidden="false" customHeight="true" outlineLevel="0" collapsed="false"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2"/>
    </row>
    <row r="567" customFormat="false" ht="12.75" hidden="false" customHeight="true" outlineLevel="0" collapsed="false"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2"/>
    </row>
    <row r="568" customFormat="false" ht="12.75" hidden="false" customHeight="true" outlineLevel="0" collapsed="false"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2"/>
    </row>
    <row r="569" customFormat="false" ht="12.75" hidden="false" customHeight="true" outlineLevel="0" collapsed="false"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2"/>
    </row>
    <row r="570" customFormat="false" ht="12.75" hidden="false" customHeight="true" outlineLevel="0" collapsed="false"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2"/>
    </row>
    <row r="571" customFormat="false" ht="12.75" hidden="false" customHeight="true" outlineLevel="0" collapsed="false"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2"/>
    </row>
    <row r="572" customFormat="false" ht="12.75" hidden="false" customHeight="true" outlineLevel="0" collapsed="false"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2"/>
    </row>
    <row r="573" customFormat="false" ht="12.75" hidden="false" customHeight="true" outlineLevel="0" collapsed="false"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2"/>
    </row>
    <row r="574" customFormat="false" ht="12.75" hidden="false" customHeight="true" outlineLevel="0" collapsed="false"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2"/>
    </row>
    <row r="575" customFormat="false" ht="12.75" hidden="false" customHeight="true" outlineLevel="0" collapsed="false"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2"/>
    </row>
    <row r="576" customFormat="false" ht="12.75" hidden="false" customHeight="true" outlineLevel="0" collapsed="false"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2"/>
    </row>
    <row r="577" customFormat="false" ht="12.75" hidden="false" customHeight="true" outlineLevel="0" collapsed="false"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2"/>
    </row>
    <row r="578" customFormat="false" ht="12.75" hidden="false" customHeight="true" outlineLevel="0" collapsed="false"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2"/>
    </row>
    <row r="579" customFormat="false" ht="12.75" hidden="false" customHeight="true" outlineLevel="0" collapsed="false"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2"/>
    </row>
    <row r="580" customFormat="false" ht="12.75" hidden="false" customHeight="true" outlineLevel="0" collapsed="false"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2"/>
    </row>
    <row r="581" customFormat="false" ht="12.75" hidden="false" customHeight="true" outlineLevel="0" collapsed="false"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2"/>
    </row>
    <row r="582" customFormat="false" ht="12.75" hidden="false" customHeight="true" outlineLevel="0" collapsed="false"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2"/>
    </row>
    <row r="583" customFormat="false" ht="12.75" hidden="false" customHeight="true" outlineLevel="0" collapsed="false"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2"/>
    </row>
    <row r="584" customFormat="false" ht="12.75" hidden="false" customHeight="true" outlineLevel="0" collapsed="false"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2"/>
    </row>
    <row r="585" customFormat="false" ht="12.75" hidden="false" customHeight="true" outlineLevel="0" collapsed="false"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2"/>
    </row>
    <row r="586" customFormat="false" ht="12.75" hidden="false" customHeight="true" outlineLevel="0" collapsed="false"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2"/>
    </row>
    <row r="587" customFormat="false" ht="12.75" hidden="false" customHeight="true" outlineLevel="0" collapsed="false"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2"/>
    </row>
    <row r="588" customFormat="false" ht="12.75" hidden="false" customHeight="true" outlineLevel="0" collapsed="false"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2"/>
    </row>
    <row r="589" customFormat="false" ht="12.75" hidden="false" customHeight="true" outlineLevel="0" collapsed="false"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142"/>
    </row>
    <row r="590" customFormat="false" ht="12.75" hidden="false" customHeight="true" outlineLevel="0" collapsed="false"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2"/>
    </row>
    <row r="591" customFormat="false" ht="12.75" hidden="false" customHeight="true" outlineLevel="0" collapsed="false"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2"/>
    </row>
    <row r="592" customFormat="false" ht="12.75" hidden="false" customHeight="true" outlineLevel="0" collapsed="false"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2"/>
    </row>
    <row r="593" customFormat="false" ht="12.75" hidden="false" customHeight="true" outlineLevel="0" collapsed="false"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2"/>
    </row>
    <row r="594" customFormat="false" ht="12.75" hidden="false" customHeight="true" outlineLevel="0" collapsed="false"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2"/>
    </row>
    <row r="595" customFormat="false" ht="12.75" hidden="false" customHeight="true" outlineLevel="0" collapsed="false"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2"/>
    </row>
    <row r="596" customFormat="false" ht="12.75" hidden="false" customHeight="true" outlineLevel="0" collapsed="false"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2"/>
    </row>
    <row r="597" customFormat="false" ht="12.75" hidden="false" customHeight="true" outlineLevel="0" collapsed="false"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2"/>
    </row>
    <row r="598" customFormat="false" ht="12.75" hidden="false" customHeight="true" outlineLevel="0" collapsed="false"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2"/>
    </row>
    <row r="599" customFormat="false" ht="12.75" hidden="false" customHeight="true" outlineLevel="0" collapsed="false"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2"/>
    </row>
    <row r="600" customFormat="false" ht="12.75" hidden="false" customHeight="true" outlineLevel="0" collapsed="false"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2"/>
    </row>
    <row r="601" customFormat="false" ht="12.75" hidden="false" customHeight="true" outlineLevel="0" collapsed="false"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2"/>
    </row>
    <row r="602" customFormat="false" ht="12.75" hidden="false" customHeight="true" outlineLevel="0" collapsed="false"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2"/>
    </row>
    <row r="603" customFormat="false" ht="12.75" hidden="false" customHeight="true" outlineLevel="0" collapsed="false"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2"/>
    </row>
    <row r="604" customFormat="false" ht="12.75" hidden="false" customHeight="true" outlineLevel="0" collapsed="false"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2"/>
    </row>
    <row r="605" customFormat="false" ht="12.75" hidden="false" customHeight="true" outlineLevel="0" collapsed="false"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2"/>
    </row>
    <row r="606" customFormat="false" ht="12.75" hidden="false" customHeight="true" outlineLevel="0" collapsed="false"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2"/>
    </row>
    <row r="607" customFormat="false" ht="12.75" hidden="false" customHeight="true" outlineLevel="0" collapsed="false"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2"/>
    </row>
    <row r="608" customFormat="false" ht="12.75" hidden="false" customHeight="true" outlineLevel="0" collapsed="false"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2"/>
    </row>
    <row r="609" customFormat="false" ht="12.75" hidden="false" customHeight="true" outlineLevel="0" collapsed="false"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2"/>
    </row>
    <row r="610" customFormat="false" ht="12.75" hidden="false" customHeight="true" outlineLevel="0" collapsed="false"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2"/>
    </row>
    <row r="611" customFormat="false" ht="12.75" hidden="false" customHeight="true" outlineLevel="0" collapsed="false"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2"/>
    </row>
    <row r="612" customFormat="false" ht="12.75" hidden="false" customHeight="true" outlineLevel="0" collapsed="false"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2"/>
    </row>
    <row r="613" customFormat="false" ht="12.75" hidden="false" customHeight="true" outlineLevel="0" collapsed="false"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2"/>
    </row>
    <row r="614" customFormat="false" ht="12.75" hidden="false" customHeight="true" outlineLevel="0" collapsed="false"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2"/>
    </row>
    <row r="615" customFormat="false" ht="12.75" hidden="false" customHeight="true" outlineLevel="0" collapsed="false"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2"/>
    </row>
    <row r="616" customFormat="false" ht="12.75" hidden="false" customHeight="true" outlineLevel="0" collapsed="false"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2"/>
    </row>
    <row r="617" customFormat="false" ht="12.75" hidden="false" customHeight="true" outlineLevel="0" collapsed="false"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2"/>
    </row>
    <row r="618" customFormat="false" ht="12.75" hidden="false" customHeight="true" outlineLevel="0" collapsed="false"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2"/>
    </row>
    <row r="619" customFormat="false" ht="12.75" hidden="false" customHeight="true" outlineLevel="0" collapsed="false"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142"/>
    </row>
    <row r="620" customFormat="false" ht="12.75" hidden="false" customHeight="true" outlineLevel="0" collapsed="false"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2"/>
    </row>
    <row r="621" customFormat="false" ht="12.75" hidden="false" customHeight="true" outlineLevel="0" collapsed="false"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2"/>
    </row>
    <row r="622" customFormat="false" ht="12.75" hidden="false" customHeight="true" outlineLevel="0" collapsed="false"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2"/>
    </row>
    <row r="623" customFormat="false" ht="12.75" hidden="false" customHeight="true" outlineLevel="0" collapsed="false"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2"/>
    </row>
    <row r="624" customFormat="false" ht="12.75" hidden="false" customHeight="true" outlineLevel="0" collapsed="false"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2"/>
    </row>
    <row r="625" customFormat="false" ht="12.75" hidden="false" customHeight="true" outlineLevel="0" collapsed="false"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2"/>
    </row>
    <row r="626" customFormat="false" ht="12.75" hidden="false" customHeight="true" outlineLevel="0" collapsed="false"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2"/>
    </row>
    <row r="627" customFormat="false" ht="12.75" hidden="false" customHeight="true" outlineLevel="0" collapsed="false"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2"/>
    </row>
    <row r="628" customFormat="false" ht="12.75" hidden="false" customHeight="true" outlineLevel="0" collapsed="false"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2"/>
    </row>
    <row r="629" customFormat="false" ht="12.75" hidden="false" customHeight="true" outlineLevel="0" collapsed="false"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2"/>
    </row>
    <row r="630" customFormat="false" ht="12.75" hidden="false" customHeight="true" outlineLevel="0" collapsed="false"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2"/>
    </row>
    <row r="631" customFormat="false" ht="12.75" hidden="false" customHeight="true" outlineLevel="0" collapsed="false"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2"/>
    </row>
    <row r="632" customFormat="false" ht="12.75" hidden="false" customHeight="true" outlineLevel="0" collapsed="false"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2"/>
    </row>
    <row r="633" customFormat="false" ht="12.75" hidden="false" customHeight="true" outlineLevel="0" collapsed="false"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2"/>
    </row>
    <row r="634" customFormat="false" ht="12.75" hidden="false" customHeight="true" outlineLevel="0" collapsed="false"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2"/>
    </row>
    <row r="635" customFormat="false" ht="12.75" hidden="false" customHeight="true" outlineLevel="0" collapsed="false"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2"/>
    </row>
    <row r="636" customFormat="false" ht="12.75" hidden="false" customHeight="true" outlineLevel="0" collapsed="false"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2"/>
    </row>
    <row r="637" customFormat="false" ht="12.75" hidden="false" customHeight="true" outlineLevel="0" collapsed="false"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2"/>
    </row>
    <row r="638" customFormat="false" ht="12.75" hidden="false" customHeight="true" outlineLevel="0" collapsed="false"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2"/>
    </row>
    <row r="639" customFormat="false" ht="12.75" hidden="false" customHeight="true" outlineLevel="0" collapsed="false"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2"/>
    </row>
    <row r="640" customFormat="false" ht="12.75" hidden="false" customHeight="true" outlineLevel="0" collapsed="false"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2"/>
    </row>
    <row r="641" customFormat="false" ht="12.75" hidden="false" customHeight="true" outlineLevel="0" collapsed="false"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2"/>
    </row>
    <row r="642" customFormat="false" ht="12.75" hidden="false" customHeight="true" outlineLevel="0" collapsed="false"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2"/>
    </row>
    <row r="643" customFormat="false" ht="12.75" hidden="false" customHeight="true" outlineLevel="0" collapsed="false"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2"/>
    </row>
    <row r="644" customFormat="false" ht="12.75" hidden="false" customHeight="true" outlineLevel="0" collapsed="false"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2"/>
    </row>
    <row r="645" customFormat="false" ht="12.75" hidden="false" customHeight="true" outlineLevel="0" collapsed="false"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142"/>
    </row>
    <row r="646" customFormat="false" ht="12.75" hidden="false" customHeight="true" outlineLevel="0" collapsed="false"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2"/>
    </row>
    <row r="647" customFormat="false" ht="12.75" hidden="false" customHeight="true" outlineLevel="0" collapsed="false"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2"/>
    </row>
    <row r="648" customFormat="false" ht="12.75" hidden="false" customHeight="true" outlineLevel="0" collapsed="false"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2"/>
    </row>
    <row r="649" customFormat="false" ht="12.75" hidden="false" customHeight="true" outlineLevel="0" collapsed="false"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2"/>
    </row>
    <row r="650" customFormat="false" ht="12.75" hidden="false" customHeight="true" outlineLevel="0" collapsed="false"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2"/>
    </row>
    <row r="651" customFormat="false" ht="12.75" hidden="false" customHeight="true" outlineLevel="0" collapsed="false"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2"/>
    </row>
    <row r="652" customFormat="false" ht="12.75" hidden="false" customHeight="true" outlineLevel="0" collapsed="false"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2"/>
    </row>
    <row r="653" customFormat="false" ht="12.75" hidden="false" customHeight="true" outlineLevel="0" collapsed="false"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2"/>
    </row>
    <row r="654" customFormat="false" ht="12.75" hidden="false" customHeight="true" outlineLevel="0" collapsed="false"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2"/>
    </row>
    <row r="655" customFormat="false" ht="12.75" hidden="false" customHeight="true" outlineLevel="0" collapsed="false"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2"/>
    </row>
    <row r="656" customFormat="false" ht="12.75" hidden="false" customHeight="true" outlineLevel="0" collapsed="false"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2"/>
    </row>
    <row r="657" customFormat="false" ht="12.75" hidden="false" customHeight="true" outlineLevel="0" collapsed="false"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2"/>
    </row>
    <row r="658" customFormat="false" ht="12.75" hidden="false" customHeight="true" outlineLevel="0" collapsed="false"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2"/>
    </row>
    <row r="659" customFormat="false" ht="12.75" hidden="false" customHeight="true" outlineLevel="0" collapsed="false"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2"/>
    </row>
    <row r="660" customFormat="false" ht="12.75" hidden="false" customHeight="true" outlineLevel="0" collapsed="false"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2"/>
    </row>
    <row r="661" customFormat="false" ht="12.75" hidden="false" customHeight="true" outlineLevel="0" collapsed="false"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2"/>
    </row>
    <row r="662" customFormat="false" ht="12.75" hidden="false" customHeight="true" outlineLevel="0" collapsed="false"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2"/>
    </row>
    <row r="663" customFormat="false" ht="12.75" hidden="false" customHeight="true" outlineLevel="0" collapsed="false"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2"/>
    </row>
    <row r="664" customFormat="false" ht="12.75" hidden="false" customHeight="true" outlineLevel="0" collapsed="false"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2"/>
    </row>
    <row r="665" customFormat="false" ht="12.75" hidden="false" customHeight="true" outlineLevel="0" collapsed="false"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2"/>
    </row>
    <row r="666" customFormat="false" ht="12.75" hidden="false" customHeight="true" outlineLevel="0" collapsed="false"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2"/>
    </row>
    <row r="667" customFormat="false" ht="12.75" hidden="false" customHeight="true" outlineLevel="0" collapsed="false"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2"/>
    </row>
    <row r="668" customFormat="false" ht="12.75" hidden="false" customHeight="true" outlineLevel="0" collapsed="false"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2"/>
    </row>
    <row r="669" customFormat="false" ht="12.75" hidden="false" customHeight="true" outlineLevel="0" collapsed="false"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2"/>
    </row>
    <row r="670" customFormat="false" ht="12.75" hidden="false" customHeight="true" outlineLevel="0" collapsed="false"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2"/>
    </row>
    <row r="671" customFormat="false" ht="12.75" hidden="false" customHeight="true" outlineLevel="0" collapsed="false"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2"/>
    </row>
    <row r="672" customFormat="false" ht="12.75" hidden="false" customHeight="true" outlineLevel="0" collapsed="false"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2"/>
    </row>
    <row r="673" customFormat="false" ht="12.75" hidden="false" customHeight="true" outlineLevel="0" collapsed="false"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2"/>
    </row>
    <row r="674" customFormat="false" ht="12.75" hidden="false" customHeight="true" outlineLevel="0" collapsed="false"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2"/>
    </row>
    <row r="675" customFormat="false" ht="12.75" hidden="false" customHeight="true" outlineLevel="0" collapsed="false"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2"/>
    </row>
    <row r="676" customFormat="false" ht="12.75" hidden="false" customHeight="true" outlineLevel="0" collapsed="false"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2"/>
    </row>
    <row r="677" customFormat="false" ht="12.75" hidden="false" customHeight="true" outlineLevel="0" collapsed="false"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2"/>
    </row>
    <row r="678" customFormat="false" ht="12.75" hidden="false" customHeight="true" outlineLevel="0" collapsed="false"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2"/>
    </row>
    <row r="679" customFormat="false" ht="12.75" hidden="false" customHeight="true" outlineLevel="0" collapsed="false"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2"/>
    </row>
    <row r="680" customFormat="false" ht="12.75" hidden="false" customHeight="true" outlineLevel="0" collapsed="false"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2"/>
    </row>
    <row r="681" customFormat="false" ht="12.75" hidden="false" customHeight="true" outlineLevel="0" collapsed="false"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2"/>
    </row>
    <row r="682" customFormat="false" ht="12.75" hidden="false" customHeight="true" outlineLevel="0" collapsed="false"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2"/>
    </row>
    <row r="683" customFormat="false" ht="12.75" hidden="false" customHeight="true" outlineLevel="0" collapsed="false"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2"/>
    </row>
    <row r="684" customFormat="false" ht="12.75" hidden="false" customHeight="true" outlineLevel="0" collapsed="false"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2"/>
    </row>
    <row r="685" customFormat="false" ht="12.75" hidden="false" customHeight="true" outlineLevel="0" collapsed="false"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2"/>
    </row>
    <row r="686" customFormat="false" ht="12.75" hidden="false" customHeight="true" outlineLevel="0" collapsed="false"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2"/>
    </row>
    <row r="687" customFormat="false" ht="12.75" hidden="false" customHeight="true" outlineLevel="0" collapsed="false"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2"/>
    </row>
    <row r="688" customFormat="false" ht="12.75" hidden="false" customHeight="true" outlineLevel="0" collapsed="false"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2"/>
    </row>
    <row r="689" customFormat="false" ht="12.75" hidden="false" customHeight="true" outlineLevel="0" collapsed="false"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2"/>
    </row>
    <row r="690" customFormat="false" ht="12.75" hidden="false" customHeight="true" outlineLevel="0" collapsed="false"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2"/>
    </row>
    <row r="691" customFormat="false" ht="12.75" hidden="false" customHeight="true" outlineLevel="0" collapsed="false"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2"/>
    </row>
    <row r="692" customFormat="false" ht="12.75" hidden="false" customHeight="true" outlineLevel="0" collapsed="false"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2"/>
    </row>
    <row r="693" customFormat="false" ht="12.75" hidden="false" customHeight="true" outlineLevel="0" collapsed="false"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2"/>
    </row>
    <row r="694" customFormat="false" ht="12.75" hidden="false" customHeight="true" outlineLevel="0" collapsed="false"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2"/>
    </row>
    <row r="695" customFormat="false" ht="12.75" hidden="false" customHeight="true" outlineLevel="0" collapsed="false"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2"/>
    </row>
    <row r="696" customFormat="false" ht="12.75" hidden="false" customHeight="true" outlineLevel="0" collapsed="false"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2"/>
    </row>
    <row r="697" customFormat="false" ht="12.75" hidden="false" customHeight="true" outlineLevel="0" collapsed="false"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2"/>
    </row>
    <row r="698" customFormat="false" ht="12.75" hidden="false" customHeight="true" outlineLevel="0" collapsed="false"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2"/>
    </row>
    <row r="699" customFormat="false" ht="12.75" hidden="false" customHeight="true" outlineLevel="0" collapsed="false"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2"/>
    </row>
    <row r="700" customFormat="false" ht="12.75" hidden="false" customHeight="true" outlineLevel="0" collapsed="false"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2"/>
    </row>
    <row r="701" customFormat="false" ht="12.75" hidden="false" customHeight="true" outlineLevel="0" collapsed="false"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2"/>
    </row>
    <row r="702" customFormat="false" ht="12.75" hidden="false" customHeight="true" outlineLevel="0" collapsed="false"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2"/>
    </row>
    <row r="703" customFormat="false" ht="12.75" hidden="false" customHeight="true" outlineLevel="0" collapsed="false"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2"/>
    </row>
    <row r="704" customFormat="false" ht="12.75" hidden="false" customHeight="true" outlineLevel="0" collapsed="false"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2"/>
    </row>
    <row r="705" customFormat="false" ht="12.75" hidden="false" customHeight="true" outlineLevel="0" collapsed="false"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2"/>
    </row>
    <row r="706" customFormat="false" ht="12.75" hidden="false" customHeight="true" outlineLevel="0" collapsed="false"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2"/>
    </row>
    <row r="707" customFormat="false" ht="12.75" hidden="false" customHeight="true" outlineLevel="0" collapsed="false"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2"/>
    </row>
    <row r="708" customFormat="false" ht="12.75" hidden="false" customHeight="true" outlineLevel="0" collapsed="false"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2"/>
    </row>
    <row r="709" customFormat="false" ht="12.75" hidden="false" customHeight="true" outlineLevel="0" collapsed="false"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2"/>
    </row>
    <row r="710" customFormat="false" ht="12.75" hidden="false" customHeight="true" outlineLevel="0" collapsed="false"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2"/>
    </row>
    <row r="711" customFormat="false" ht="12.75" hidden="false" customHeight="true" outlineLevel="0" collapsed="false"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2"/>
    </row>
    <row r="712" customFormat="false" ht="12.75" hidden="false" customHeight="true" outlineLevel="0" collapsed="false"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</row>
    <row r="713" customFormat="false" ht="12.75" hidden="false" customHeight="true" outlineLevel="0" collapsed="false"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2"/>
    </row>
    <row r="714" customFormat="false" ht="12.75" hidden="false" customHeight="true" outlineLevel="0" collapsed="false"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2"/>
    </row>
    <row r="715" customFormat="false" ht="12.75" hidden="false" customHeight="true" outlineLevel="0" collapsed="false"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2"/>
    </row>
    <row r="716" customFormat="false" ht="12.75" hidden="false" customHeight="true" outlineLevel="0" collapsed="false"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2"/>
    </row>
    <row r="717" customFormat="false" ht="12.75" hidden="false" customHeight="true" outlineLevel="0" collapsed="false"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2"/>
    </row>
    <row r="718" customFormat="false" ht="12.75" hidden="false" customHeight="true" outlineLevel="0" collapsed="false"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2"/>
    </row>
    <row r="719" customFormat="false" ht="12.75" hidden="false" customHeight="true" outlineLevel="0" collapsed="false"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</row>
    <row r="720" customFormat="false" ht="12.75" hidden="false" customHeight="true" outlineLevel="0" collapsed="false"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2"/>
    </row>
    <row r="721" customFormat="false" ht="12.75" hidden="false" customHeight="true" outlineLevel="0" collapsed="false"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2"/>
    </row>
    <row r="722" customFormat="false" ht="12.75" hidden="false" customHeight="true" outlineLevel="0" collapsed="false"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2"/>
    </row>
    <row r="723" customFormat="false" ht="12.75" hidden="false" customHeight="true" outlineLevel="0" collapsed="false"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2"/>
    </row>
    <row r="724" customFormat="false" ht="12.75" hidden="false" customHeight="true" outlineLevel="0" collapsed="false"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2"/>
    </row>
    <row r="725" customFormat="false" ht="12.75" hidden="false" customHeight="true" outlineLevel="0" collapsed="false"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2"/>
    </row>
    <row r="726" customFormat="false" ht="12.75" hidden="false" customHeight="true" outlineLevel="0" collapsed="false"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2"/>
    </row>
    <row r="727" customFormat="false" ht="12.75" hidden="false" customHeight="true" outlineLevel="0" collapsed="false"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2"/>
    </row>
    <row r="728" customFormat="false" ht="12.75" hidden="false" customHeight="true" outlineLevel="0" collapsed="false"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2"/>
    </row>
    <row r="729" customFormat="false" ht="12.75" hidden="false" customHeight="true" outlineLevel="0" collapsed="false"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2"/>
    </row>
    <row r="730" customFormat="false" ht="12.75" hidden="false" customHeight="true" outlineLevel="0" collapsed="false"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2"/>
    </row>
    <row r="731" customFormat="false" ht="12.75" hidden="false" customHeight="true" outlineLevel="0" collapsed="false"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2"/>
    </row>
    <row r="732" customFormat="false" ht="12.75" hidden="false" customHeight="true" outlineLevel="0" collapsed="false"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2"/>
    </row>
    <row r="733" customFormat="false" ht="12.75" hidden="false" customHeight="true" outlineLevel="0" collapsed="false"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2"/>
    </row>
    <row r="734" customFormat="false" ht="12.75" hidden="false" customHeight="true" outlineLevel="0" collapsed="false"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2"/>
    </row>
    <row r="735" customFormat="false" ht="12.75" hidden="false" customHeight="true" outlineLevel="0" collapsed="false"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2"/>
    </row>
    <row r="736" customFormat="false" ht="12.75" hidden="false" customHeight="true" outlineLevel="0" collapsed="false"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2"/>
    </row>
    <row r="737" customFormat="false" ht="12.75" hidden="false" customHeight="true" outlineLevel="0" collapsed="false"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2"/>
    </row>
    <row r="738" customFormat="false" ht="12.75" hidden="false" customHeight="true" outlineLevel="0" collapsed="false"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2"/>
    </row>
    <row r="739" customFormat="false" ht="12.75" hidden="false" customHeight="true" outlineLevel="0" collapsed="false"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2"/>
    </row>
    <row r="740" customFormat="false" ht="12.75" hidden="false" customHeight="true" outlineLevel="0" collapsed="false"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2"/>
    </row>
    <row r="741" customFormat="false" ht="12.75" hidden="false" customHeight="true" outlineLevel="0" collapsed="false"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2"/>
    </row>
    <row r="742" customFormat="false" ht="12.75" hidden="false" customHeight="true" outlineLevel="0" collapsed="false"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2"/>
    </row>
    <row r="743" customFormat="false" ht="12.75" hidden="false" customHeight="true" outlineLevel="0" collapsed="false"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2"/>
    </row>
    <row r="744" customFormat="false" ht="12.75" hidden="false" customHeight="true" outlineLevel="0" collapsed="false"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2"/>
    </row>
    <row r="745" customFormat="false" ht="12.75" hidden="false" customHeight="true" outlineLevel="0" collapsed="false"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2"/>
    </row>
    <row r="746" customFormat="false" ht="12.75" hidden="false" customHeight="true" outlineLevel="0" collapsed="false"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2"/>
    </row>
    <row r="747" customFormat="false" ht="12.75" hidden="false" customHeight="true" outlineLevel="0" collapsed="false"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2"/>
    </row>
    <row r="748" customFormat="false" ht="12.75" hidden="false" customHeight="true" outlineLevel="0" collapsed="false"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2"/>
    </row>
    <row r="749" customFormat="false" ht="12.75" hidden="false" customHeight="true" outlineLevel="0" collapsed="false"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2"/>
    </row>
    <row r="750" customFormat="false" ht="12.75" hidden="false" customHeight="true" outlineLevel="0" collapsed="false"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2"/>
    </row>
    <row r="751" customFormat="false" ht="12.75" hidden="false" customHeight="true" outlineLevel="0" collapsed="false"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2"/>
    </row>
    <row r="752" customFormat="false" ht="12.75" hidden="false" customHeight="true" outlineLevel="0" collapsed="false"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2"/>
    </row>
    <row r="753" customFormat="false" ht="12.75" hidden="false" customHeight="true" outlineLevel="0" collapsed="false"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2"/>
    </row>
    <row r="754" customFormat="false" ht="12.75" hidden="false" customHeight="true" outlineLevel="0" collapsed="false"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2"/>
    </row>
    <row r="755" customFormat="false" ht="12.75" hidden="false" customHeight="true" outlineLevel="0" collapsed="false"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2"/>
    </row>
    <row r="756" customFormat="false" ht="12.75" hidden="false" customHeight="true" outlineLevel="0" collapsed="false"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2"/>
    </row>
    <row r="757" customFormat="false" ht="12.75" hidden="false" customHeight="true" outlineLevel="0" collapsed="false"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2"/>
    </row>
    <row r="758" customFormat="false" ht="12.75" hidden="false" customHeight="true" outlineLevel="0" collapsed="false"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2"/>
    </row>
    <row r="759" customFormat="false" ht="12.75" hidden="false" customHeight="true" outlineLevel="0" collapsed="false"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2"/>
    </row>
    <row r="760" customFormat="false" ht="12.75" hidden="false" customHeight="true" outlineLevel="0" collapsed="false"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2"/>
    </row>
    <row r="761" customFormat="false" ht="12.75" hidden="false" customHeight="true" outlineLevel="0" collapsed="false"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2"/>
    </row>
    <row r="762" customFormat="false" ht="12.75" hidden="false" customHeight="true" outlineLevel="0" collapsed="false"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2"/>
    </row>
    <row r="763" customFormat="false" ht="12.75" hidden="false" customHeight="true" outlineLevel="0" collapsed="false"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2"/>
    </row>
    <row r="764" customFormat="false" ht="12.75" hidden="false" customHeight="true" outlineLevel="0" collapsed="false"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2"/>
    </row>
    <row r="765" customFormat="false" ht="12.75" hidden="false" customHeight="true" outlineLevel="0" collapsed="false"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142"/>
    </row>
    <row r="766" customFormat="false" ht="12.75" hidden="false" customHeight="true" outlineLevel="0" collapsed="false"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142"/>
    </row>
    <row r="767" customFormat="false" ht="12.75" hidden="false" customHeight="true" outlineLevel="0" collapsed="false"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142"/>
    </row>
    <row r="768" customFormat="false" ht="12.75" hidden="false" customHeight="true" outlineLevel="0" collapsed="false"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142"/>
    </row>
    <row r="769" customFormat="false" ht="12.75" hidden="false" customHeight="true" outlineLevel="0" collapsed="false"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142"/>
    </row>
    <row r="770" customFormat="false" ht="12.75" hidden="false" customHeight="true" outlineLevel="0" collapsed="false"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142"/>
    </row>
    <row r="771" customFormat="false" ht="12.75" hidden="false" customHeight="true" outlineLevel="0" collapsed="false"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142"/>
    </row>
    <row r="772" customFormat="false" ht="12.75" hidden="false" customHeight="true" outlineLevel="0" collapsed="false"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142"/>
    </row>
    <row r="773" customFormat="false" ht="12.75" hidden="false" customHeight="true" outlineLevel="0" collapsed="false"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142"/>
    </row>
    <row r="774" customFormat="false" ht="12.75" hidden="false" customHeight="true" outlineLevel="0" collapsed="false"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142"/>
    </row>
    <row r="775" customFormat="false" ht="12.75" hidden="false" customHeight="true" outlineLevel="0" collapsed="false"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142"/>
    </row>
    <row r="776" customFormat="false" ht="12.75" hidden="false" customHeight="true" outlineLevel="0" collapsed="false"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142"/>
    </row>
    <row r="777" customFormat="false" ht="12.75" hidden="false" customHeight="true" outlineLevel="0" collapsed="false"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142"/>
    </row>
    <row r="778" customFormat="false" ht="12.75" hidden="false" customHeight="true" outlineLevel="0" collapsed="false"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142"/>
    </row>
    <row r="779" customFormat="false" ht="12.75" hidden="false" customHeight="true" outlineLevel="0" collapsed="false"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142"/>
    </row>
    <row r="780" customFormat="false" ht="12.75" hidden="false" customHeight="true" outlineLevel="0" collapsed="false"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142"/>
    </row>
    <row r="781" customFormat="false" ht="12.75" hidden="false" customHeight="true" outlineLevel="0" collapsed="false"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142"/>
    </row>
    <row r="782" customFormat="false" ht="12.75" hidden="false" customHeight="true" outlineLevel="0" collapsed="false"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142"/>
    </row>
    <row r="783" customFormat="false" ht="12.75" hidden="false" customHeight="true" outlineLevel="0" collapsed="false"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142"/>
    </row>
    <row r="784" customFormat="false" ht="12.75" hidden="false" customHeight="true" outlineLevel="0" collapsed="false"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142"/>
    </row>
    <row r="785" customFormat="false" ht="12.75" hidden="false" customHeight="true" outlineLevel="0" collapsed="false"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142"/>
    </row>
    <row r="786" customFormat="false" ht="12.75" hidden="false" customHeight="true" outlineLevel="0" collapsed="false"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142"/>
    </row>
    <row r="787" customFormat="false" ht="12.75" hidden="false" customHeight="true" outlineLevel="0" collapsed="false"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142"/>
    </row>
    <row r="788" customFormat="false" ht="12.75" hidden="false" customHeight="true" outlineLevel="0" collapsed="false"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142"/>
    </row>
    <row r="789" customFormat="false" ht="12.75" hidden="false" customHeight="true" outlineLevel="0" collapsed="false"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142"/>
    </row>
    <row r="790" customFormat="false" ht="12.75" hidden="false" customHeight="true" outlineLevel="0" collapsed="false"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142"/>
    </row>
    <row r="791" customFormat="false" ht="12.75" hidden="false" customHeight="true" outlineLevel="0" collapsed="false"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142"/>
    </row>
    <row r="792" customFormat="false" ht="12.75" hidden="false" customHeight="true" outlineLevel="0" collapsed="false"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142"/>
    </row>
    <row r="793" customFormat="false" ht="12.75" hidden="false" customHeight="true" outlineLevel="0" collapsed="false"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142"/>
    </row>
    <row r="794" customFormat="false" ht="12.75" hidden="false" customHeight="true" outlineLevel="0" collapsed="false"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142"/>
    </row>
    <row r="795" customFormat="false" ht="12.75" hidden="false" customHeight="true" outlineLevel="0" collapsed="false"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142"/>
    </row>
    <row r="796" customFormat="false" ht="12.75" hidden="false" customHeight="true" outlineLevel="0" collapsed="false"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142"/>
    </row>
    <row r="797" customFormat="false" ht="12.75" hidden="false" customHeight="true" outlineLevel="0" collapsed="false"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142"/>
    </row>
    <row r="798" customFormat="false" ht="12.75" hidden="false" customHeight="true" outlineLevel="0" collapsed="false"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142"/>
    </row>
    <row r="799" customFormat="false" ht="12.75" hidden="false" customHeight="true" outlineLevel="0" collapsed="false"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142"/>
    </row>
    <row r="800" customFormat="false" ht="12.75" hidden="false" customHeight="true" outlineLevel="0" collapsed="false"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142"/>
    </row>
    <row r="801" customFormat="false" ht="12.75" hidden="false" customHeight="true" outlineLevel="0" collapsed="false"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142"/>
    </row>
    <row r="802" customFormat="false" ht="12.75" hidden="false" customHeight="true" outlineLevel="0" collapsed="false"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142"/>
    </row>
    <row r="803" customFormat="false" ht="12.75" hidden="false" customHeight="true" outlineLevel="0" collapsed="false"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142"/>
    </row>
    <row r="804" customFormat="false" ht="12.75" hidden="false" customHeight="true" outlineLevel="0" collapsed="false"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142"/>
    </row>
    <row r="805" customFormat="false" ht="12.75" hidden="false" customHeight="true" outlineLevel="0" collapsed="false"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142"/>
    </row>
    <row r="806" customFormat="false" ht="12.75" hidden="false" customHeight="true" outlineLevel="0" collapsed="false"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142"/>
    </row>
    <row r="807" customFormat="false" ht="12.75" hidden="false" customHeight="true" outlineLevel="0" collapsed="false"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142"/>
    </row>
    <row r="808" customFormat="false" ht="12.75" hidden="false" customHeight="true" outlineLevel="0" collapsed="false"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142"/>
    </row>
    <row r="809" customFormat="false" ht="12.75" hidden="false" customHeight="true" outlineLevel="0" collapsed="false"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142"/>
    </row>
    <row r="810" customFormat="false" ht="12.75" hidden="false" customHeight="true" outlineLevel="0" collapsed="false"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142"/>
    </row>
    <row r="811" customFormat="false" ht="12.75" hidden="false" customHeight="true" outlineLevel="0" collapsed="false"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142"/>
    </row>
    <row r="812" customFormat="false" ht="12.75" hidden="false" customHeight="true" outlineLevel="0" collapsed="false"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142"/>
    </row>
    <row r="813" customFormat="false" ht="12.75" hidden="false" customHeight="true" outlineLevel="0" collapsed="false"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142"/>
    </row>
    <row r="814" customFormat="false" ht="12.75" hidden="false" customHeight="true" outlineLevel="0" collapsed="false"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</row>
    <row r="815" customFormat="false" ht="12.75" hidden="false" customHeight="true" outlineLevel="0" collapsed="false"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142"/>
    </row>
    <row r="816" customFormat="false" ht="12.75" hidden="false" customHeight="true" outlineLevel="0" collapsed="false"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142"/>
    </row>
    <row r="817" customFormat="false" ht="12.75" hidden="false" customHeight="true" outlineLevel="0" collapsed="false"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142"/>
    </row>
    <row r="818" customFormat="false" ht="12.75" hidden="false" customHeight="true" outlineLevel="0" collapsed="false"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142"/>
    </row>
    <row r="819" customFormat="false" ht="12.75" hidden="false" customHeight="true" outlineLevel="0" collapsed="false"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142"/>
    </row>
    <row r="820" customFormat="false" ht="12.75" hidden="false" customHeight="true" outlineLevel="0" collapsed="false"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142"/>
    </row>
    <row r="821" customFormat="false" ht="12.75" hidden="false" customHeight="true" outlineLevel="0" collapsed="false"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142"/>
    </row>
    <row r="822" customFormat="false" ht="12.75" hidden="false" customHeight="true" outlineLevel="0" collapsed="false"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142"/>
    </row>
    <row r="823" customFormat="false" ht="12.75" hidden="false" customHeight="true" outlineLevel="0" collapsed="false"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142"/>
    </row>
    <row r="824" customFormat="false" ht="12.75" hidden="false" customHeight="true" outlineLevel="0" collapsed="false"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142"/>
    </row>
    <row r="825" customFormat="false" ht="12.75" hidden="false" customHeight="true" outlineLevel="0" collapsed="false"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142"/>
    </row>
    <row r="826" customFormat="false" ht="12.75" hidden="false" customHeight="true" outlineLevel="0" collapsed="false"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142"/>
    </row>
    <row r="827" customFormat="false" ht="12.75" hidden="false" customHeight="true" outlineLevel="0" collapsed="false"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142"/>
    </row>
    <row r="828" customFormat="false" ht="12.75" hidden="false" customHeight="true" outlineLevel="0" collapsed="false"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142"/>
    </row>
    <row r="829" customFormat="false" ht="12.75" hidden="false" customHeight="true" outlineLevel="0" collapsed="false"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142"/>
    </row>
    <row r="830" customFormat="false" ht="12.75" hidden="false" customHeight="true" outlineLevel="0" collapsed="false"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142"/>
    </row>
    <row r="831" customFormat="false" ht="12.75" hidden="false" customHeight="true" outlineLevel="0" collapsed="false"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142"/>
    </row>
    <row r="832" customFormat="false" ht="12.75" hidden="false" customHeight="true" outlineLevel="0" collapsed="false"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142"/>
    </row>
    <row r="833" customFormat="false" ht="12.75" hidden="false" customHeight="true" outlineLevel="0" collapsed="false"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142"/>
    </row>
    <row r="834" customFormat="false" ht="12.75" hidden="false" customHeight="true" outlineLevel="0" collapsed="false"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142"/>
    </row>
    <row r="835" customFormat="false" ht="12.75" hidden="false" customHeight="true" outlineLevel="0" collapsed="false"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142"/>
    </row>
    <row r="836" customFormat="false" ht="12.75" hidden="false" customHeight="true" outlineLevel="0" collapsed="false"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142"/>
    </row>
    <row r="837" customFormat="false" ht="12.75" hidden="false" customHeight="true" outlineLevel="0" collapsed="false"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142"/>
    </row>
    <row r="838" customFormat="false" ht="12.75" hidden="false" customHeight="true" outlineLevel="0" collapsed="false"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142"/>
    </row>
    <row r="839" customFormat="false" ht="12.75" hidden="false" customHeight="true" outlineLevel="0" collapsed="false"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142"/>
    </row>
    <row r="840" customFormat="false" ht="12.75" hidden="false" customHeight="true" outlineLevel="0" collapsed="false"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142"/>
    </row>
    <row r="841" customFormat="false" ht="12.75" hidden="false" customHeight="true" outlineLevel="0" collapsed="false"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142"/>
    </row>
    <row r="842" customFormat="false" ht="12.75" hidden="false" customHeight="true" outlineLevel="0" collapsed="false"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142"/>
    </row>
    <row r="843" customFormat="false" ht="12.75" hidden="false" customHeight="true" outlineLevel="0" collapsed="false"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142"/>
    </row>
    <row r="844" customFormat="false" ht="12.75" hidden="false" customHeight="true" outlineLevel="0" collapsed="false"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142"/>
    </row>
    <row r="845" customFormat="false" ht="12.75" hidden="false" customHeight="true" outlineLevel="0" collapsed="false"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142"/>
    </row>
    <row r="846" customFormat="false" ht="12.75" hidden="false" customHeight="true" outlineLevel="0" collapsed="false"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142"/>
    </row>
    <row r="847" customFormat="false" ht="12.75" hidden="false" customHeight="true" outlineLevel="0" collapsed="false"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142"/>
    </row>
    <row r="848" customFormat="false" ht="12.75" hidden="false" customHeight="true" outlineLevel="0" collapsed="false"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142"/>
    </row>
    <row r="849" customFormat="false" ht="12.75" hidden="false" customHeight="true" outlineLevel="0" collapsed="false"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142"/>
    </row>
    <row r="850" customFormat="false" ht="12.75" hidden="false" customHeight="true" outlineLevel="0" collapsed="false"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142"/>
    </row>
    <row r="851" customFormat="false" ht="12.75" hidden="false" customHeight="true" outlineLevel="0" collapsed="false"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142"/>
    </row>
    <row r="852" customFormat="false" ht="12.75" hidden="false" customHeight="true" outlineLevel="0" collapsed="false"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142"/>
    </row>
    <row r="853" customFormat="false" ht="12.75" hidden="false" customHeight="true" outlineLevel="0" collapsed="false"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142"/>
    </row>
    <row r="854" customFormat="false" ht="12.75" hidden="false" customHeight="true" outlineLevel="0" collapsed="false"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142"/>
    </row>
    <row r="855" customFormat="false" ht="12.75" hidden="false" customHeight="true" outlineLevel="0" collapsed="false"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142"/>
    </row>
    <row r="856" customFormat="false" ht="12.75" hidden="false" customHeight="true" outlineLevel="0" collapsed="false"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142"/>
    </row>
    <row r="857" customFormat="false" ht="12.75" hidden="false" customHeight="true" outlineLevel="0" collapsed="false"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142"/>
    </row>
    <row r="858" customFormat="false" ht="12.75" hidden="false" customHeight="true" outlineLevel="0" collapsed="false"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142"/>
    </row>
    <row r="859" customFormat="false" ht="12.75" hidden="false" customHeight="true" outlineLevel="0" collapsed="false"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142"/>
    </row>
    <row r="860" customFormat="false" ht="12.75" hidden="false" customHeight="true" outlineLevel="0" collapsed="false"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142"/>
    </row>
    <row r="861" customFormat="false" ht="12.75" hidden="false" customHeight="true" outlineLevel="0" collapsed="false"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142"/>
    </row>
    <row r="862" customFormat="false" ht="12.75" hidden="false" customHeight="true" outlineLevel="0" collapsed="false"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142"/>
    </row>
    <row r="863" customFormat="false" ht="12.75" hidden="false" customHeight="true" outlineLevel="0" collapsed="false"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142"/>
    </row>
    <row r="864" customFormat="false" ht="12.75" hidden="false" customHeight="true" outlineLevel="0" collapsed="false"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142"/>
    </row>
    <row r="865" customFormat="false" ht="12.75" hidden="false" customHeight="true" outlineLevel="0" collapsed="false"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142"/>
    </row>
    <row r="866" customFormat="false" ht="12.75" hidden="false" customHeight="true" outlineLevel="0" collapsed="false"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142"/>
    </row>
    <row r="867" customFormat="false" ht="12.75" hidden="false" customHeight="true" outlineLevel="0" collapsed="false"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142"/>
    </row>
    <row r="868" customFormat="false" ht="12.75" hidden="false" customHeight="true" outlineLevel="0" collapsed="false"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142"/>
    </row>
    <row r="869" customFormat="false" ht="12.75" hidden="false" customHeight="true" outlineLevel="0" collapsed="false"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142"/>
    </row>
    <row r="870" customFormat="false" ht="12.75" hidden="false" customHeight="true" outlineLevel="0" collapsed="false"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142"/>
    </row>
    <row r="871" customFormat="false" ht="12.75" hidden="false" customHeight="true" outlineLevel="0" collapsed="false"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142"/>
    </row>
    <row r="872" customFormat="false" ht="12.75" hidden="false" customHeight="true" outlineLevel="0" collapsed="false"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142"/>
    </row>
    <row r="873" customFormat="false" ht="12.75" hidden="false" customHeight="true" outlineLevel="0" collapsed="false"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142"/>
    </row>
    <row r="874" customFormat="false" ht="12.75" hidden="false" customHeight="true" outlineLevel="0" collapsed="false"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142"/>
    </row>
    <row r="875" customFormat="false" ht="12.75" hidden="false" customHeight="true" outlineLevel="0" collapsed="false"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142"/>
    </row>
    <row r="876" customFormat="false" ht="12.75" hidden="false" customHeight="true" outlineLevel="0" collapsed="false"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142"/>
    </row>
    <row r="877" customFormat="false" ht="12.75" hidden="false" customHeight="true" outlineLevel="0" collapsed="false"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142"/>
    </row>
    <row r="878" customFormat="false" ht="12.75" hidden="false" customHeight="true" outlineLevel="0" collapsed="false"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142"/>
    </row>
    <row r="879" customFormat="false" ht="12.75" hidden="false" customHeight="true" outlineLevel="0" collapsed="false"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142"/>
    </row>
    <row r="880" customFormat="false" ht="12.75" hidden="false" customHeight="true" outlineLevel="0" collapsed="false"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142"/>
    </row>
    <row r="881" customFormat="false" ht="12.75" hidden="false" customHeight="true" outlineLevel="0" collapsed="false"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142"/>
    </row>
    <row r="882" customFormat="false" ht="12.75" hidden="false" customHeight="true" outlineLevel="0" collapsed="false"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142"/>
    </row>
    <row r="883" customFormat="false" ht="12.75" hidden="false" customHeight="true" outlineLevel="0" collapsed="false"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142"/>
    </row>
    <row r="884" customFormat="false" ht="12.75" hidden="false" customHeight="true" outlineLevel="0" collapsed="false"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142"/>
    </row>
    <row r="885" customFormat="false" ht="12.75" hidden="false" customHeight="true" outlineLevel="0" collapsed="false"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142"/>
    </row>
    <row r="886" customFormat="false" ht="12.75" hidden="false" customHeight="true" outlineLevel="0" collapsed="false"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142"/>
    </row>
    <row r="887" customFormat="false" ht="12.75" hidden="false" customHeight="true" outlineLevel="0" collapsed="false"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</row>
    <row r="888" customFormat="false" ht="12.75" hidden="false" customHeight="true" outlineLevel="0" collapsed="false"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142"/>
    </row>
    <row r="889" customFormat="false" ht="12.75" hidden="false" customHeight="true" outlineLevel="0" collapsed="false"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142"/>
    </row>
    <row r="890" customFormat="false" ht="12.75" hidden="false" customHeight="true" outlineLevel="0" collapsed="false"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142"/>
    </row>
    <row r="891" customFormat="false" ht="12.75" hidden="false" customHeight="true" outlineLevel="0" collapsed="false"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142"/>
    </row>
    <row r="892" customFormat="false" ht="12.75" hidden="false" customHeight="true" outlineLevel="0" collapsed="false"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142"/>
    </row>
    <row r="893" customFormat="false" ht="12.75" hidden="false" customHeight="true" outlineLevel="0" collapsed="false"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142"/>
    </row>
    <row r="894" customFormat="false" ht="12.75" hidden="false" customHeight="true" outlineLevel="0" collapsed="false"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142"/>
    </row>
    <row r="895" customFormat="false" ht="12.75" hidden="false" customHeight="true" outlineLevel="0" collapsed="false"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142"/>
    </row>
    <row r="896" customFormat="false" ht="12.75" hidden="false" customHeight="true" outlineLevel="0" collapsed="false"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142"/>
    </row>
    <row r="897" customFormat="false" ht="12.75" hidden="false" customHeight="true" outlineLevel="0" collapsed="false"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142"/>
    </row>
    <row r="898" customFormat="false" ht="12.75" hidden="false" customHeight="true" outlineLevel="0" collapsed="false"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142"/>
    </row>
    <row r="899" customFormat="false" ht="12.75" hidden="false" customHeight="true" outlineLevel="0" collapsed="false"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142"/>
    </row>
    <row r="900" customFormat="false" ht="12.75" hidden="false" customHeight="true" outlineLevel="0" collapsed="false"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142"/>
    </row>
    <row r="901" customFormat="false" ht="12.75" hidden="false" customHeight="true" outlineLevel="0" collapsed="false"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142"/>
    </row>
    <row r="902" customFormat="false" ht="12.75" hidden="false" customHeight="true" outlineLevel="0" collapsed="false"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142"/>
    </row>
    <row r="903" customFormat="false" ht="12.75" hidden="false" customHeight="true" outlineLevel="0" collapsed="false"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142"/>
    </row>
    <row r="904" customFormat="false" ht="12.75" hidden="false" customHeight="true" outlineLevel="0" collapsed="false"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142"/>
    </row>
    <row r="905" customFormat="false" ht="12.75" hidden="false" customHeight="true" outlineLevel="0" collapsed="false"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142"/>
    </row>
    <row r="906" customFormat="false" ht="12.75" hidden="false" customHeight="true" outlineLevel="0" collapsed="false"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142"/>
    </row>
    <row r="907" customFormat="false" ht="12.75" hidden="false" customHeight="true" outlineLevel="0" collapsed="false"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142"/>
    </row>
    <row r="908" customFormat="false" ht="12.75" hidden="false" customHeight="true" outlineLevel="0" collapsed="false"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142"/>
    </row>
    <row r="909" customFormat="false" ht="12.75" hidden="false" customHeight="true" outlineLevel="0" collapsed="false"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142"/>
    </row>
    <row r="910" customFormat="false" ht="12.75" hidden="false" customHeight="true" outlineLevel="0" collapsed="false"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142"/>
    </row>
    <row r="911" customFormat="false" ht="12.75" hidden="false" customHeight="true" outlineLevel="0" collapsed="false"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142"/>
    </row>
    <row r="912" customFormat="false" ht="12.75" hidden="false" customHeight="true" outlineLevel="0" collapsed="false"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142"/>
    </row>
    <row r="913" customFormat="false" ht="12.75" hidden="false" customHeight="true" outlineLevel="0" collapsed="false"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142"/>
    </row>
    <row r="914" customFormat="false" ht="12.75" hidden="false" customHeight="true" outlineLevel="0" collapsed="false"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142"/>
    </row>
    <row r="915" customFormat="false" ht="12.75" hidden="false" customHeight="true" outlineLevel="0" collapsed="false"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142"/>
    </row>
    <row r="916" customFormat="false" ht="12.75" hidden="false" customHeight="true" outlineLevel="0" collapsed="false"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142"/>
    </row>
    <row r="917" customFormat="false" ht="12.75" hidden="false" customHeight="true" outlineLevel="0" collapsed="false"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142"/>
    </row>
    <row r="918" customFormat="false" ht="12.75" hidden="false" customHeight="true" outlineLevel="0" collapsed="false"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142"/>
    </row>
    <row r="919" customFormat="false" ht="12.75" hidden="false" customHeight="true" outlineLevel="0" collapsed="false"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142"/>
    </row>
    <row r="920" customFormat="false" ht="12.75" hidden="false" customHeight="true" outlineLevel="0" collapsed="false"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142"/>
    </row>
    <row r="921" customFormat="false" ht="12.75" hidden="false" customHeight="true" outlineLevel="0" collapsed="false"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142"/>
    </row>
    <row r="922" customFormat="false" ht="12.75" hidden="false" customHeight="true" outlineLevel="0" collapsed="false"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142"/>
    </row>
    <row r="923" customFormat="false" ht="12.75" hidden="false" customHeight="true" outlineLevel="0" collapsed="false"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142"/>
    </row>
    <row r="924" customFormat="false" ht="12.75" hidden="false" customHeight="true" outlineLevel="0" collapsed="false"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142"/>
    </row>
    <row r="925" customFormat="false" ht="12.75" hidden="false" customHeight="true" outlineLevel="0" collapsed="false"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142"/>
    </row>
    <row r="926" customFormat="false" ht="12.75" hidden="false" customHeight="true" outlineLevel="0" collapsed="false"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142"/>
    </row>
    <row r="927" customFormat="false" ht="12.75" hidden="false" customHeight="true" outlineLevel="0" collapsed="false"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142"/>
    </row>
    <row r="928" customFormat="false" ht="12.75" hidden="false" customHeight="true" outlineLevel="0" collapsed="false"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142"/>
    </row>
    <row r="929" customFormat="false" ht="12.75" hidden="false" customHeight="true" outlineLevel="0" collapsed="false"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142"/>
    </row>
    <row r="930" customFormat="false" ht="12.75" hidden="false" customHeight="true" outlineLevel="0" collapsed="false"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142"/>
    </row>
    <row r="931" customFormat="false" ht="12.75" hidden="false" customHeight="true" outlineLevel="0" collapsed="false"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142"/>
    </row>
    <row r="932" customFormat="false" ht="12.75" hidden="false" customHeight="true" outlineLevel="0" collapsed="false"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142"/>
    </row>
    <row r="933" customFormat="false" ht="12.75" hidden="false" customHeight="true" outlineLevel="0" collapsed="false"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142"/>
    </row>
    <row r="934" customFormat="false" ht="12.75" hidden="false" customHeight="true" outlineLevel="0" collapsed="false"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142"/>
    </row>
    <row r="935" customFormat="false" ht="12.75" hidden="false" customHeight="true" outlineLevel="0" collapsed="false"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142"/>
    </row>
    <row r="936" customFormat="false" ht="12.75" hidden="false" customHeight="true" outlineLevel="0" collapsed="false"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142"/>
    </row>
    <row r="937" customFormat="false" ht="12.75" hidden="false" customHeight="true" outlineLevel="0" collapsed="false"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142"/>
    </row>
    <row r="938" customFormat="false" ht="12.75" hidden="false" customHeight="true" outlineLevel="0" collapsed="false"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142"/>
    </row>
    <row r="939" customFormat="false" ht="12.75" hidden="false" customHeight="true" outlineLevel="0" collapsed="false"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142"/>
    </row>
    <row r="940" customFormat="false" ht="12.75" hidden="false" customHeight="true" outlineLevel="0" collapsed="false"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142"/>
    </row>
    <row r="941" customFormat="false" ht="12.75" hidden="false" customHeight="true" outlineLevel="0" collapsed="false"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142"/>
    </row>
    <row r="942" customFormat="false" ht="12.75" hidden="false" customHeight="true" outlineLevel="0" collapsed="false"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142"/>
    </row>
    <row r="943" customFormat="false" ht="12.75" hidden="false" customHeight="true" outlineLevel="0" collapsed="false"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142"/>
    </row>
    <row r="944" customFormat="false" ht="12.75" hidden="false" customHeight="true" outlineLevel="0" collapsed="false"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142"/>
    </row>
    <row r="945" customFormat="false" ht="12.75" hidden="false" customHeight="true" outlineLevel="0" collapsed="false"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142"/>
    </row>
    <row r="946" customFormat="false" ht="12.75" hidden="false" customHeight="true" outlineLevel="0" collapsed="false"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142"/>
    </row>
    <row r="947" customFormat="false" ht="12.75" hidden="false" customHeight="true" outlineLevel="0" collapsed="false"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142"/>
    </row>
    <row r="948" customFormat="false" ht="12.75" hidden="false" customHeight="true" outlineLevel="0" collapsed="false"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142"/>
    </row>
    <row r="949" customFormat="false" ht="12.75" hidden="false" customHeight="true" outlineLevel="0" collapsed="false">
      <c r="Y949" s="142"/>
      <c r="Z949" s="142"/>
      <c r="AA949" s="142"/>
      <c r="AB949" s="142"/>
      <c r="AC949" s="142"/>
      <c r="AD949" s="142"/>
      <c r="AE949" s="142"/>
      <c r="AF949" s="142"/>
      <c r="AG949" s="142"/>
      <c r="AH949" s="142"/>
    </row>
    <row r="950" customFormat="false" ht="12.75" hidden="false" customHeight="true" outlineLevel="0" collapsed="false">
      <c r="Y950" s="142"/>
      <c r="Z950" s="142"/>
      <c r="AA950" s="142"/>
      <c r="AB950" s="142"/>
      <c r="AC950" s="142"/>
      <c r="AD950" s="142"/>
      <c r="AE950" s="142"/>
      <c r="AF950" s="142"/>
      <c r="AG950" s="142"/>
      <c r="AH950" s="142"/>
    </row>
    <row r="951" customFormat="false" ht="12.75" hidden="false" customHeight="true" outlineLevel="0" collapsed="false">
      <c r="Y951" s="142"/>
      <c r="Z951" s="142"/>
      <c r="AA951" s="142"/>
      <c r="AB951" s="142"/>
      <c r="AC951" s="142"/>
      <c r="AD951" s="142"/>
      <c r="AE951" s="142"/>
      <c r="AF951" s="142"/>
      <c r="AG951" s="142"/>
      <c r="AH951" s="142"/>
    </row>
    <row r="952" customFormat="false" ht="12.75" hidden="false" customHeight="true" outlineLevel="0" collapsed="false">
      <c r="Y952" s="142"/>
      <c r="Z952" s="142"/>
      <c r="AA952" s="142"/>
      <c r="AB952" s="142"/>
      <c r="AC952" s="142"/>
      <c r="AD952" s="142"/>
      <c r="AE952" s="142"/>
      <c r="AF952" s="142"/>
      <c r="AG952" s="142"/>
      <c r="AH952" s="142"/>
    </row>
    <row r="953" customFormat="false" ht="12.75" hidden="false" customHeight="true" outlineLevel="0" collapsed="false">
      <c r="Y953" s="142"/>
      <c r="Z953" s="142"/>
      <c r="AA953" s="142"/>
      <c r="AB953" s="142"/>
      <c r="AC953" s="142"/>
      <c r="AD953" s="142"/>
      <c r="AE953" s="142"/>
      <c r="AF953" s="142"/>
      <c r="AG953" s="142"/>
      <c r="AH953" s="142"/>
    </row>
    <row r="954" customFormat="false" ht="12.75" hidden="false" customHeight="true" outlineLevel="0" collapsed="false">
      <c r="Y954" s="142"/>
      <c r="Z954" s="142"/>
      <c r="AA954" s="142"/>
      <c r="AB954" s="142"/>
      <c r="AC954" s="142"/>
      <c r="AD954" s="142"/>
      <c r="AE954" s="142"/>
      <c r="AF954" s="142"/>
      <c r="AG954" s="142"/>
      <c r="AH954" s="142"/>
    </row>
    <row r="955" customFormat="false" ht="12.75" hidden="false" customHeight="true" outlineLevel="0" collapsed="false">
      <c r="Y955" s="142"/>
      <c r="Z955" s="142"/>
      <c r="AA955" s="142"/>
      <c r="AB955" s="142"/>
      <c r="AC955" s="142"/>
      <c r="AD955" s="142"/>
      <c r="AE955" s="142"/>
      <c r="AF955" s="142"/>
      <c r="AG955" s="142"/>
      <c r="AH955" s="142"/>
    </row>
    <row r="956" customFormat="false" ht="12.75" hidden="false" customHeight="true" outlineLevel="0" collapsed="false">
      <c r="Y956" s="142"/>
      <c r="Z956" s="142"/>
      <c r="AA956" s="142"/>
      <c r="AB956" s="142"/>
      <c r="AC956" s="142"/>
      <c r="AD956" s="142"/>
      <c r="AE956" s="142"/>
      <c r="AF956" s="142"/>
      <c r="AG956" s="142"/>
      <c r="AH956" s="142"/>
    </row>
    <row r="957" customFormat="false" ht="12.75" hidden="false" customHeight="true" outlineLevel="0" collapsed="false">
      <c r="Y957" s="142"/>
      <c r="Z957" s="142"/>
      <c r="AA957" s="142"/>
      <c r="AB957" s="142"/>
      <c r="AC957" s="142"/>
      <c r="AD957" s="142"/>
      <c r="AE957" s="142"/>
      <c r="AF957" s="142"/>
      <c r="AG957" s="142"/>
      <c r="AH957" s="142"/>
    </row>
    <row r="958" customFormat="false" ht="12.75" hidden="false" customHeight="true" outlineLevel="0" collapsed="false">
      <c r="Y958" s="142"/>
      <c r="Z958" s="142"/>
      <c r="AA958" s="142"/>
      <c r="AB958" s="142"/>
      <c r="AC958" s="142"/>
      <c r="AD958" s="142"/>
      <c r="AE958" s="142"/>
      <c r="AF958" s="142"/>
      <c r="AG958" s="142"/>
      <c r="AH958" s="142"/>
    </row>
    <row r="959" customFormat="false" ht="12.75" hidden="false" customHeight="true" outlineLevel="0" collapsed="false">
      <c r="Y959" s="142"/>
      <c r="Z959" s="142"/>
      <c r="AA959" s="142"/>
      <c r="AB959" s="142"/>
      <c r="AC959" s="142"/>
      <c r="AD959" s="142"/>
      <c r="AE959" s="142"/>
      <c r="AF959" s="142"/>
      <c r="AG959" s="142"/>
      <c r="AH959" s="142"/>
    </row>
    <row r="960" customFormat="false" ht="12.75" hidden="false" customHeight="true" outlineLevel="0" collapsed="false">
      <c r="Y960" s="142"/>
      <c r="Z960" s="142"/>
      <c r="AA960" s="142"/>
      <c r="AB960" s="142"/>
      <c r="AC960" s="142"/>
      <c r="AD960" s="142"/>
      <c r="AE960" s="142"/>
      <c r="AF960" s="142"/>
      <c r="AG960" s="142"/>
      <c r="AH960" s="142"/>
    </row>
    <row r="961" customFormat="false" ht="12.75" hidden="false" customHeight="true" outlineLevel="0" collapsed="false">
      <c r="Y961" s="142"/>
      <c r="Z961" s="142"/>
      <c r="AA961" s="142"/>
      <c r="AB961" s="142"/>
      <c r="AC961" s="142"/>
      <c r="AD961" s="142"/>
      <c r="AE961" s="142"/>
      <c r="AF961" s="142"/>
      <c r="AG961" s="142"/>
      <c r="AH961" s="142"/>
    </row>
    <row r="962" customFormat="false" ht="12.75" hidden="false" customHeight="true" outlineLevel="0" collapsed="false">
      <c r="Y962" s="142"/>
      <c r="Z962" s="142"/>
      <c r="AA962" s="142"/>
      <c r="AB962" s="142"/>
      <c r="AC962" s="142"/>
      <c r="AD962" s="142"/>
      <c r="AE962" s="142"/>
      <c r="AF962" s="142"/>
      <c r="AG962" s="142"/>
      <c r="AH962" s="142"/>
    </row>
    <row r="963" customFormat="false" ht="12.75" hidden="false" customHeight="true" outlineLevel="0" collapsed="false">
      <c r="Y963" s="142"/>
      <c r="Z963" s="142"/>
      <c r="AA963" s="142"/>
      <c r="AB963" s="142"/>
      <c r="AC963" s="142"/>
      <c r="AD963" s="142"/>
      <c r="AE963" s="142"/>
      <c r="AF963" s="142"/>
      <c r="AG963" s="142"/>
      <c r="AH963" s="142"/>
    </row>
    <row r="964" customFormat="false" ht="12.75" hidden="false" customHeight="true" outlineLevel="0" collapsed="false">
      <c r="Y964" s="142"/>
      <c r="Z964" s="142"/>
      <c r="AA964" s="142"/>
      <c r="AB964" s="142"/>
      <c r="AC964" s="142"/>
      <c r="AD964" s="142"/>
      <c r="AE964" s="142"/>
      <c r="AF964" s="142"/>
      <c r="AG964" s="142"/>
      <c r="AH964" s="142"/>
    </row>
    <row r="965" customFormat="false" ht="12.75" hidden="false" customHeight="true" outlineLevel="0" collapsed="false">
      <c r="Y965" s="142"/>
      <c r="Z965" s="142"/>
      <c r="AA965" s="142"/>
      <c r="AB965" s="142"/>
      <c r="AC965" s="142"/>
      <c r="AD965" s="142"/>
      <c r="AE965" s="142"/>
      <c r="AF965" s="142"/>
      <c r="AG965" s="142"/>
      <c r="AH965" s="142"/>
    </row>
    <row r="966" customFormat="false" ht="12.75" hidden="false" customHeight="true" outlineLevel="0" collapsed="false">
      <c r="Y966" s="142"/>
      <c r="Z966" s="142"/>
      <c r="AA966" s="142"/>
      <c r="AB966" s="142"/>
      <c r="AC966" s="142"/>
      <c r="AD966" s="142"/>
      <c r="AE966" s="142"/>
      <c r="AF966" s="142"/>
      <c r="AG966" s="142"/>
      <c r="AH966" s="142"/>
    </row>
    <row r="967" customFormat="false" ht="12.75" hidden="false" customHeight="true" outlineLevel="0" collapsed="false">
      <c r="Y967" s="142"/>
      <c r="Z967" s="142"/>
      <c r="AA967" s="142"/>
      <c r="AB967" s="142"/>
      <c r="AC967" s="142"/>
      <c r="AD967" s="142"/>
      <c r="AE967" s="142"/>
      <c r="AF967" s="142"/>
      <c r="AG967" s="142"/>
      <c r="AH967" s="142"/>
    </row>
    <row r="968" customFormat="false" ht="12.75" hidden="false" customHeight="true" outlineLevel="0" collapsed="false">
      <c r="Y968" s="142"/>
      <c r="Z968" s="142"/>
      <c r="AA968" s="142"/>
      <c r="AB968" s="142"/>
      <c r="AC968" s="142"/>
      <c r="AD968" s="142"/>
      <c r="AE968" s="142"/>
      <c r="AF968" s="142"/>
      <c r="AG968" s="142"/>
      <c r="AH968" s="142"/>
    </row>
    <row r="969" customFormat="false" ht="12.75" hidden="false" customHeight="true" outlineLevel="0" collapsed="false">
      <c r="Y969" s="142"/>
      <c r="Z969" s="142"/>
      <c r="AA969" s="142"/>
      <c r="AB969" s="142"/>
      <c r="AC969" s="142"/>
      <c r="AD969" s="142"/>
      <c r="AE969" s="142"/>
      <c r="AF969" s="142"/>
      <c r="AG969" s="142"/>
      <c r="AH969" s="142"/>
    </row>
    <row r="970" customFormat="false" ht="12.75" hidden="false" customHeight="true" outlineLevel="0" collapsed="false">
      <c r="Y970" s="142"/>
      <c r="Z970" s="142"/>
      <c r="AA970" s="142"/>
      <c r="AB970" s="142"/>
      <c r="AC970" s="142"/>
      <c r="AD970" s="142"/>
      <c r="AE970" s="142"/>
      <c r="AF970" s="142"/>
      <c r="AG970" s="142"/>
      <c r="AH970" s="142"/>
    </row>
    <row r="971" customFormat="false" ht="12.75" hidden="false" customHeight="true" outlineLevel="0" collapsed="false">
      <c r="Y971" s="142"/>
      <c r="Z971" s="142"/>
      <c r="AA971" s="142"/>
      <c r="AB971" s="142"/>
      <c r="AC971" s="142"/>
      <c r="AD971" s="142"/>
      <c r="AE971" s="142"/>
      <c r="AF971" s="142"/>
      <c r="AG971" s="142"/>
      <c r="AH971" s="142"/>
    </row>
    <row r="972" customFormat="false" ht="12.75" hidden="false" customHeight="true" outlineLevel="0" collapsed="false">
      <c r="Y972" s="142"/>
      <c r="Z972" s="142"/>
      <c r="AA972" s="142"/>
      <c r="AB972" s="142"/>
      <c r="AC972" s="142"/>
      <c r="AD972" s="142"/>
      <c r="AE972" s="142"/>
      <c r="AF972" s="142"/>
      <c r="AG972" s="142"/>
      <c r="AH972" s="142"/>
    </row>
    <row r="973" customFormat="false" ht="12.75" hidden="false" customHeight="true" outlineLevel="0" collapsed="false">
      <c r="Y973" s="142"/>
      <c r="Z973" s="142"/>
      <c r="AA973" s="142"/>
      <c r="AB973" s="142"/>
      <c r="AC973" s="142"/>
      <c r="AD973" s="142"/>
      <c r="AE973" s="142"/>
      <c r="AF973" s="142"/>
      <c r="AG973" s="142"/>
      <c r="AH973" s="142"/>
    </row>
    <row r="974" customFormat="false" ht="12.75" hidden="false" customHeight="true" outlineLevel="0" collapsed="false">
      <c r="Y974" s="142"/>
      <c r="Z974" s="142"/>
      <c r="AA974" s="142"/>
      <c r="AB974" s="142"/>
      <c r="AC974" s="142"/>
      <c r="AD974" s="142"/>
      <c r="AE974" s="142"/>
      <c r="AF974" s="142"/>
      <c r="AG974" s="142"/>
      <c r="AH974" s="142"/>
    </row>
    <row r="975" customFormat="false" ht="12.75" hidden="false" customHeight="true" outlineLevel="0" collapsed="false">
      <c r="Y975" s="142"/>
      <c r="Z975" s="142"/>
      <c r="AA975" s="142"/>
      <c r="AB975" s="142"/>
      <c r="AC975" s="142"/>
      <c r="AD975" s="142"/>
      <c r="AE975" s="142"/>
      <c r="AF975" s="142"/>
      <c r="AG975" s="142"/>
      <c r="AH975" s="142"/>
    </row>
    <row r="976" customFormat="false" ht="12.75" hidden="false" customHeight="true" outlineLevel="0" collapsed="false">
      <c r="Y976" s="142"/>
      <c r="Z976" s="142"/>
      <c r="AA976" s="142"/>
      <c r="AB976" s="142"/>
      <c r="AC976" s="142"/>
      <c r="AD976" s="142"/>
      <c r="AE976" s="142"/>
      <c r="AF976" s="142"/>
      <c r="AG976" s="142"/>
      <c r="AH976" s="142"/>
    </row>
    <row r="977" customFormat="false" ht="12.75" hidden="false" customHeight="true" outlineLevel="0" collapsed="false">
      <c r="Y977" s="142"/>
      <c r="Z977" s="142"/>
      <c r="AA977" s="142"/>
      <c r="AB977" s="142"/>
      <c r="AC977" s="142"/>
      <c r="AD977" s="142"/>
      <c r="AE977" s="142"/>
      <c r="AF977" s="142"/>
      <c r="AG977" s="142"/>
      <c r="AH977" s="142"/>
    </row>
    <row r="978" customFormat="false" ht="12.75" hidden="false" customHeight="true" outlineLevel="0" collapsed="false">
      <c r="Y978" s="142"/>
      <c r="Z978" s="142"/>
      <c r="AA978" s="142"/>
      <c r="AB978" s="142"/>
      <c r="AC978" s="142"/>
      <c r="AD978" s="142"/>
      <c r="AE978" s="142"/>
      <c r="AF978" s="142"/>
      <c r="AG978" s="142"/>
      <c r="AH978" s="142"/>
    </row>
    <row r="979" customFormat="false" ht="12.75" hidden="false" customHeight="true" outlineLevel="0" collapsed="false">
      <c r="Y979" s="142"/>
      <c r="Z979" s="142"/>
      <c r="AA979" s="142"/>
      <c r="AB979" s="142"/>
      <c r="AC979" s="142"/>
      <c r="AD979" s="142"/>
      <c r="AE979" s="142"/>
      <c r="AF979" s="142"/>
      <c r="AG979" s="142"/>
      <c r="AH979" s="142"/>
    </row>
    <row r="980" customFormat="false" ht="12.75" hidden="false" customHeight="true" outlineLevel="0" collapsed="false">
      <c r="Y980" s="142"/>
      <c r="Z980" s="142"/>
      <c r="AA980" s="142"/>
      <c r="AB980" s="142"/>
      <c r="AC980" s="142"/>
      <c r="AD980" s="142"/>
      <c r="AE980" s="142"/>
      <c r="AF980" s="142"/>
      <c r="AG980" s="142"/>
      <c r="AH980" s="142"/>
    </row>
    <row r="981" customFormat="false" ht="12.75" hidden="false" customHeight="true" outlineLevel="0" collapsed="false">
      <c r="Y981" s="142"/>
      <c r="Z981" s="142"/>
      <c r="AA981" s="142"/>
      <c r="AB981" s="142"/>
      <c r="AC981" s="142"/>
      <c r="AD981" s="142"/>
      <c r="AE981" s="142"/>
      <c r="AF981" s="142"/>
      <c r="AG981" s="142"/>
      <c r="AH981" s="142"/>
    </row>
    <row r="982" customFormat="false" ht="12.75" hidden="false" customHeight="true" outlineLevel="0" collapsed="false">
      <c r="Y982" s="142"/>
      <c r="Z982" s="142"/>
      <c r="AA982" s="142"/>
      <c r="AB982" s="142"/>
      <c r="AC982" s="142"/>
      <c r="AD982" s="142"/>
      <c r="AE982" s="142"/>
      <c r="AF982" s="142"/>
      <c r="AG982" s="142"/>
      <c r="AH982" s="142"/>
    </row>
    <row r="983" customFormat="false" ht="12.75" hidden="false" customHeight="true" outlineLevel="0" collapsed="false">
      <c r="Y983" s="142"/>
      <c r="Z983" s="142"/>
      <c r="AA983" s="142"/>
      <c r="AB983" s="142"/>
      <c r="AC983" s="142"/>
      <c r="AD983" s="142"/>
      <c r="AE983" s="142"/>
      <c r="AF983" s="142"/>
      <c r="AG983" s="142"/>
      <c r="AH983" s="142"/>
    </row>
    <row r="984" customFormat="false" ht="12.75" hidden="false" customHeight="true" outlineLevel="0" collapsed="false">
      <c r="Y984" s="142"/>
      <c r="Z984" s="142"/>
      <c r="AA984" s="142"/>
      <c r="AB984" s="142"/>
      <c r="AC984" s="142"/>
      <c r="AD984" s="142"/>
      <c r="AE984" s="142"/>
      <c r="AF984" s="142"/>
      <c r="AG984" s="142"/>
      <c r="AH984" s="142"/>
    </row>
    <row r="985" customFormat="false" ht="12.75" hidden="false" customHeight="true" outlineLevel="0" collapsed="false">
      <c r="Y985" s="142"/>
      <c r="Z985" s="142"/>
      <c r="AA985" s="142"/>
      <c r="AB985" s="142"/>
      <c r="AC985" s="142"/>
      <c r="AD985" s="142"/>
      <c r="AE985" s="142"/>
      <c r="AF985" s="142"/>
      <c r="AG985" s="142"/>
      <c r="AH985" s="142"/>
    </row>
    <row r="986" customFormat="false" ht="12.75" hidden="false" customHeight="true" outlineLevel="0" collapsed="false">
      <c r="Y986" s="142"/>
      <c r="Z986" s="142"/>
      <c r="AA986" s="142"/>
      <c r="AB986" s="142"/>
      <c r="AC986" s="142"/>
      <c r="AD986" s="142"/>
      <c r="AE986" s="142"/>
      <c r="AF986" s="142"/>
      <c r="AG986" s="142"/>
      <c r="AH986" s="142"/>
    </row>
    <row r="987" customFormat="false" ht="12.75" hidden="false" customHeight="true" outlineLevel="0" collapsed="false">
      <c r="Y987" s="142"/>
      <c r="Z987" s="142"/>
      <c r="AA987" s="142"/>
      <c r="AB987" s="142"/>
      <c r="AC987" s="142"/>
      <c r="AD987" s="142"/>
      <c r="AE987" s="142"/>
      <c r="AF987" s="142"/>
      <c r="AG987" s="142"/>
      <c r="AH987" s="142"/>
    </row>
    <row r="988" customFormat="false" ht="12.75" hidden="false" customHeight="true" outlineLevel="0" collapsed="false">
      <c r="Y988" s="142"/>
      <c r="Z988" s="142"/>
      <c r="AA988" s="142"/>
      <c r="AB988" s="142"/>
      <c r="AC988" s="142"/>
      <c r="AD988" s="142"/>
      <c r="AE988" s="142"/>
      <c r="AF988" s="142"/>
      <c r="AG988" s="142"/>
      <c r="AH988" s="142"/>
    </row>
    <row r="989" customFormat="false" ht="12.75" hidden="false" customHeight="true" outlineLevel="0" collapsed="false">
      <c r="Y989" s="142"/>
      <c r="Z989" s="142"/>
      <c r="AA989" s="142"/>
      <c r="AB989" s="142"/>
      <c r="AC989" s="142"/>
      <c r="AD989" s="142"/>
      <c r="AE989" s="142"/>
      <c r="AF989" s="142"/>
      <c r="AG989" s="142"/>
      <c r="AH989" s="142"/>
    </row>
    <row r="990" customFormat="false" ht="12.75" hidden="false" customHeight="true" outlineLevel="0" collapsed="false">
      <c r="Y990" s="142"/>
      <c r="Z990" s="142"/>
      <c r="AA990" s="142"/>
      <c r="AB990" s="142"/>
      <c r="AC990" s="142"/>
      <c r="AD990" s="142"/>
      <c r="AE990" s="142"/>
      <c r="AF990" s="142"/>
      <c r="AG990" s="142"/>
      <c r="AH990" s="142"/>
    </row>
    <row r="991" customFormat="false" ht="12.75" hidden="false" customHeight="true" outlineLevel="0" collapsed="false">
      <c r="Y991" s="142"/>
      <c r="Z991" s="142"/>
      <c r="AA991" s="142"/>
      <c r="AB991" s="142"/>
      <c r="AC991" s="142"/>
      <c r="AD991" s="142"/>
      <c r="AE991" s="142"/>
      <c r="AF991" s="142"/>
      <c r="AG991" s="142"/>
      <c r="AH991" s="142"/>
    </row>
    <row r="992" customFormat="false" ht="12.75" hidden="false" customHeight="true" outlineLevel="0" collapsed="false">
      <c r="Y992" s="142"/>
      <c r="Z992" s="142"/>
      <c r="AA992" s="142"/>
      <c r="AB992" s="142"/>
      <c r="AC992" s="142"/>
      <c r="AD992" s="142"/>
      <c r="AE992" s="142"/>
      <c r="AF992" s="142"/>
      <c r="AG992" s="142"/>
      <c r="AH992" s="142"/>
    </row>
    <row r="993" customFormat="false" ht="12.75" hidden="false" customHeight="true" outlineLevel="0" collapsed="false">
      <c r="Y993" s="142"/>
      <c r="Z993" s="142"/>
      <c r="AA993" s="142"/>
      <c r="AB993" s="142"/>
      <c r="AC993" s="142"/>
      <c r="AD993" s="142"/>
      <c r="AE993" s="142"/>
      <c r="AF993" s="142"/>
      <c r="AG993" s="142"/>
      <c r="AH993" s="142"/>
    </row>
    <row r="994" customFormat="false" ht="12.75" hidden="false" customHeight="true" outlineLevel="0" collapsed="false">
      <c r="Y994" s="142"/>
      <c r="Z994" s="142"/>
      <c r="AA994" s="142"/>
      <c r="AB994" s="142"/>
      <c r="AC994" s="142"/>
      <c r="AD994" s="142"/>
      <c r="AE994" s="142"/>
      <c r="AF994" s="142"/>
      <c r="AG994" s="142"/>
      <c r="AH994" s="142"/>
    </row>
    <row r="995" customFormat="false" ht="12.75" hidden="false" customHeight="true" outlineLevel="0" collapsed="false">
      <c r="Y995" s="142"/>
      <c r="Z995" s="142"/>
      <c r="AA995" s="142"/>
      <c r="AB995" s="142"/>
      <c r="AC995" s="142"/>
      <c r="AD995" s="142"/>
      <c r="AE995" s="142"/>
      <c r="AF995" s="142"/>
      <c r="AG995" s="142"/>
      <c r="AH995" s="142"/>
    </row>
    <row r="996" customFormat="false" ht="12.75" hidden="false" customHeight="true" outlineLevel="0" collapsed="false">
      <c r="Y996" s="142"/>
      <c r="Z996" s="142"/>
      <c r="AA996" s="142"/>
      <c r="AB996" s="142"/>
      <c r="AC996" s="142"/>
      <c r="AD996" s="142"/>
      <c r="AE996" s="142"/>
      <c r="AF996" s="142"/>
      <c r="AG996" s="142"/>
      <c r="AH996" s="142"/>
    </row>
    <row r="997" customFormat="false" ht="12.75" hidden="false" customHeight="true" outlineLevel="0" collapsed="false">
      <c r="Y997" s="142"/>
      <c r="Z997" s="142"/>
      <c r="AA997" s="142"/>
      <c r="AB997" s="142"/>
      <c r="AC997" s="142"/>
      <c r="AD997" s="142"/>
      <c r="AE997" s="142"/>
      <c r="AF997" s="142"/>
      <c r="AG997" s="142"/>
      <c r="AH997" s="142"/>
    </row>
    <row r="998" customFormat="false" ht="12.75" hidden="false" customHeight="true" outlineLevel="0" collapsed="false">
      <c r="Y998" s="142"/>
      <c r="Z998" s="142"/>
      <c r="AA998" s="142"/>
      <c r="AB998" s="142"/>
      <c r="AC998" s="142"/>
      <c r="AD998" s="142"/>
      <c r="AE998" s="142"/>
      <c r="AF998" s="142"/>
      <c r="AG998" s="142"/>
      <c r="AH998" s="142"/>
    </row>
    <row r="999" customFormat="false" ht="12.75" hidden="false" customHeight="true" outlineLevel="0" collapsed="false">
      <c r="Y999" s="142"/>
      <c r="Z999" s="142"/>
      <c r="AA999" s="142"/>
      <c r="AB999" s="142"/>
      <c r="AC999" s="142"/>
      <c r="AD999" s="142"/>
      <c r="AE999" s="142"/>
      <c r="AF999" s="142"/>
      <c r="AG999" s="142"/>
      <c r="AH999" s="142"/>
    </row>
    <row r="1000" customFormat="false" ht="12.75" hidden="false" customHeight="true" outlineLevel="0" collapsed="false">
      <c r="Y1000" s="142"/>
      <c r="Z1000" s="142"/>
      <c r="AA1000" s="142"/>
      <c r="AB1000" s="142"/>
      <c r="AC1000" s="142"/>
      <c r="AD1000" s="142"/>
      <c r="AE1000" s="142"/>
      <c r="AF1000" s="142"/>
      <c r="AG1000" s="142"/>
      <c r="AH1000" s="14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false" showRowColHeaders="true" showZeros="true" rightToLeft="false" tabSelected="false" showOutlineSymbols="true" defaultGridColor="true" view="normal" topLeftCell="B1" colorId="64" zoomScale="85" zoomScaleNormal="85" zoomScalePageLayoutView="100" workbookViewId="0">
      <selection pane="topLeft" activeCell="Y1" activeCellId="0" sqref="Y1"/>
    </sheetView>
  </sheetViews>
  <sheetFormatPr defaultColWidth="12.70703125" defaultRowHeight="12.75" zeroHeight="false" outlineLevelRow="0" outlineLevelCol="0"/>
  <cols>
    <col collapsed="false" customWidth="true" hidden="false" outlineLevel="0" max="1" min="1" style="188" width="3"/>
    <col collapsed="false" customWidth="true" hidden="false" outlineLevel="0" max="2" min="2" style="188" width="16.72"/>
    <col collapsed="false" customWidth="true" hidden="false" outlineLevel="0" max="3" min="3" style="188" width="3"/>
    <col collapsed="false" customWidth="true" hidden="false" outlineLevel="0" max="4" min="4" style="188" width="2.71"/>
    <col collapsed="false" customWidth="true" hidden="false" outlineLevel="0" max="5" min="5" style="188" width="3"/>
    <col collapsed="false" customWidth="true" hidden="false" outlineLevel="0" max="6" min="6" style="188" width="16.85"/>
    <col collapsed="false" customWidth="true" hidden="false" outlineLevel="0" max="7" min="7" style="188" width="2.85"/>
    <col collapsed="false" customWidth="true" hidden="false" outlineLevel="0" max="8" min="8" style="188" width="6.28"/>
    <col collapsed="false" customWidth="true" hidden="false" outlineLevel="0" max="9" min="9" style="188" width="5.99"/>
    <col collapsed="false" customWidth="true" hidden="false" outlineLevel="0" max="10" min="10" style="188" width="4.14"/>
    <col collapsed="false" customWidth="true" hidden="false" outlineLevel="0" max="11" min="11" style="188" width="16.14"/>
    <col collapsed="false" customWidth="true" hidden="false" outlineLevel="0" max="18" min="12" style="188" width="3.58"/>
    <col collapsed="false" customWidth="true" hidden="false" outlineLevel="0" max="19" min="19" style="188" width="2.85"/>
    <col collapsed="false" customWidth="true" hidden="false" outlineLevel="0" max="20" min="20" style="188" width="10.13"/>
    <col collapsed="false" customWidth="true" hidden="false" outlineLevel="0" max="21" min="21" style="188" width="2.43"/>
    <col collapsed="false" customWidth="true" hidden="false" outlineLevel="0" max="22" min="22" style="188" width="2.29"/>
    <col collapsed="false" customWidth="true" hidden="false" outlineLevel="0" max="24" min="23" style="188" width="2"/>
    <col collapsed="false" customWidth="true" hidden="false" outlineLevel="0" max="27" min="25" style="189" width="3.43"/>
    <col collapsed="false" customWidth="true" hidden="false" outlineLevel="0" max="34" min="28" style="189" width="8.85"/>
    <col collapsed="false" customWidth="true" hidden="false" outlineLevel="0" max="44" min="35" style="188" width="8.85"/>
    <col collapsed="false" customWidth="false" hidden="false" outlineLevel="0" max="1024" min="45" style="188" width="12.71"/>
  </cols>
  <sheetData>
    <row r="1" customFormat="false" ht="12.75" hidden="false" customHeight="true" outlineLevel="0" collapsed="false">
      <c r="B1" s="190"/>
      <c r="C1" s="191"/>
      <c r="D1" s="191"/>
      <c r="E1" s="191"/>
      <c r="F1" s="191"/>
      <c r="G1" s="191"/>
      <c r="H1" s="192"/>
      <c r="I1" s="191"/>
      <c r="J1" s="191"/>
      <c r="K1" s="192"/>
      <c r="L1" s="191"/>
      <c r="M1" s="191"/>
      <c r="N1" s="191"/>
      <c r="O1" s="191"/>
      <c r="P1" s="191"/>
      <c r="Q1" s="191"/>
      <c r="R1" s="191"/>
      <c r="S1" s="191"/>
      <c r="T1" s="192"/>
      <c r="U1" s="193"/>
      <c r="V1" s="191"/>
      <c r="W1" s="191"/>
      <c r="X1" s="191"/>
      <c r="Z1" s="194"/>
      <c r="AA1" s="194"/>
      <c r="AB1" s="194"/>
      <c r="AC1" s="194"/>
      <c r="AD1" s="194"/>
      <c r="AE1" s="194"/>
      <c r="AF1" s="194"/>
      <c r="AG1" s="194"/>
      <c r="AH1" s="194"/>
      <c r="AI1" s="191"/>
      <c r="AJ1" s="191"/>
      <c r="AK1" s="191"/>
      <c r="AL1" s="191"/>
      <c r="AM1" s="191"/>
      <c r="AN1" s="191"/>
      <c r="AO1" s="191"/>
      <c r="AP1" s="191"/>
      <c r="AQ1" s="191"/>
      <c r="AR1" s="191"/>
    </row>
    <row r="2" customFormat="false" ht="18.75" hidden="false" customHeight="true" outlineLevel="0" collapsed="false">
      <c r="B2" s="195" t="s">
        <v>19</v>
      </c>
      <c r="C2" s="195"/>
      <c r="D2" s="195"/>
      <c r="E2" s="195"/>
      <c r="F2" s="195"/>
      <c r="G2" s="191"/>
      <c r="H2" s="196" t="s">
        <v>21</v>
      </c>
      <c r="I2" s="196"/>
      <c r="J2" s="191"/>
      <c r="K2" s="196" t="s">
        <v>22</v>
      </c>
      <c r="L2" s="196"/>
      <c r="M2" s="196"/>
      <c r="N2" s="196"/>
      <c r="O2" s="196"/>
      <c r="P2" s="196"/>
      <c r="Q2" s="196"/>
      <c r="R2" s="196"/>
      <c r="S2" s="191"/>
      <c r="T2" s="197" t="s">
        <v>23</v>
      </c>
      <c r="U2" s="197"/>
      <c r="V2" s="197"/>
      <c r="W2" s="197"/>
      <c r="X2" s="197"/>
      <c r="Z2" s="194"/>
      <c r="AA2" s="194"/>
      <c r="AB2" s="194"/>
      <c r="AC2" s="194"/>
      <c r="AD2" s="194"/>
      <c r="AE2" s="194"/>
      <c r="AF2" s="194"/>
      <c r="AG2" s="194"/>
      <c r="AH2" s="194"/>
      <c r="AI2" s="191"/>
      <c r="AJ2" s="191"/>
      <c r="AK2" s="191"/>
      <c r="AL2" s="191"/>
      <c r="AM2" s="191"/>
      <c r="AN2" s="191"/>
      <c r="AO2" s="191"/>
      <c r="AP2" s="191"/>
      <c r="AQ2" s="191"/>
      <c r="AR2" s="191"/>
    </row>
    <row r="3" customFormat="false" ht="15" hidden="false" customHeight="true" outlineLevel="0" collapsed="false">
      <c r="C3" s="191"/>
      <c r="D3" s="191"/>
      <c r="E3" s="191"/>
      <c r="F3" s="191"/>
      <c r="G3" s="191"/>
      <c r="H3" s="191"/>
      <c r="I3" s="191"/>
      <c r="J3" s="191"/>
      <c r="K3" s="192"/>
      <c r="L3" s="191"/>
      <c r="M3" s="191"/>
      <c r="N3" s="191"/>
      <c r="O3" s="191"/>
      <c r="P3" s="191"/>
      <c r="Q3" s="191"/>
      <c r="R3" s="191"/>
      <c r="S3" s="191"/>
      <c r="T3" s="198" t="s">
        <v>24</v>
      </c>
      <c r="U3" s="199" t="n">
        <f aca="false">SUM(U5:U10,U13:U18,U21:U26,U29:U34,U37:U42,U45:U50,U53:U58,U61:U66)</f>
        <v>4</v>
      </c>
      <c r="V3" s="199"/>
      <c r="W3" s="199"/>
      <c r="X3" s="199"/>
    </row>
    <row r="4" customFormat="false" ht="13.5" hidden="false" customHeight="true" outlineLevel="0" collapsed="false">
      <c r="B4" s="200" t="s">
        <v>25</v>
      </c>
      <c r="C4" s="200"/>
      <c r="D4" s="200"/>
      <c r="E4" s="200"/>
      <c r="F4" s="200"/>
      <c r="G4" s="191"/>
      <c r="H4" s="201" t="s">
        <v>26</v>
      </c>
      <c r="I4" s="202" t="s">
        <v>27</v>
      </c>
      <c r="J4" s="203"/>
      <c r="K4" s="191"/>
      <c r="L4" s="191"/>
      <c r="M4" s="191"/>
      <c r="N4" s="191"/>
      <c r="O4" s="191"/>
      <c r="P4" s="191"/>
      <c r="Q4" s="191"/>
      <c r="R4" s="191"/>
      <c r="S4" s="191"/>
      <c r="U4" s="204"/>
      <c r="V4" s="204"/>
      <c r="W4" s="204"/>
      <c r="X4" s="204"/>
    </row>
    <row r="5" customFormat="false" ht="13.5" hidden="false" customHeight="true" outlineLevel="0" collapsed="false">
      <c r="B5" s="205" t="s">
        <v>28</v>
      </c>
      <c r="C5" s="206" t="n">
        <v>2</v>
      </c>
      <c r="D5" s="204" t="s">
        <v>29</v>
      </c>
      <c r="E5" s="207" t="n">
        <v>0</v>
      </c>
      <c r="F5" s="208" t="s">
        <v>30</v>
      </c>
      <c r="G5" s="191"/>
      <c r="H5" s="209" t="n">
        <v>46184</v>
      </c>
      <c r="I5" s="210" t="n">
        <v>0.666666666666667</v>
      </c>
      <c r="J5" s="211"/>
      <c r="K5" s="212"/>
      <c r="L5" s="213" t="s">
        <v>31</v>
      </c>
      <c r="M5" s="213" t="s">
        <v>32</v>
      </c>
      <c r="N5" s="213" t="s">
        <v>33</v>
      </c>
      <c r="O5" s="213" t="s">
        <v>34</v>
      </c>
      <c r="P5" s="213" t="s">
        <v>35</v>
      </c>
      <c r="Q5" s="213" t="s">
        <v>36</v>
      </c>
      <c r="R5" s="214" t="s">
        <v>37</v>
      </c>
      <c r="S5" s="215"/>
      <c r="T5" s="216" t="str">
        <f aca="false">IF(NOT(AND(ISNUMBER(C5),ISNUMBER(E5))),"XXX","")</f>
        <v/>
      </c>
      <c r="U5" s="217" t="n">
        <f aca="false">SUM(Y5,Z5,AA5)</f>
        <v>4</v>
      </c>
      <c r="V5" s="217"/>
      <c r="W5" s="217"/>
      <c r="X5" s="217"/>
      <c r="Y5" s="218" t="n">
        <f aca="false">IF(AND(ISNUMBER(RESULTADOS!C5),ISNUMBER(RESULTADOS!E5),ISNUMBER(C5),ISNUMBER(E5),C5=RESULTADOS!C5,E5=RESULTADOS!E5),2,0)</f>
        <v>2</v>
      </c>
      <c r="Z5" s="218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218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205" t="s">
        <v>38</v>
      </c>
      <c r="C6" s="206" t="n">
        <v>1</v>
      </c>
      <c r="D6" s="204" t="s">
        <v>29</v>
      </c>
      <c r="E6" s="207" t="n">
        <v>0</v>
      </c>
      <c r="F6" s="219" t="s">
        <v>39</v>
      </c>
      <c r="G6" s="191"/>
      <c r="H6" s="209" t="n">
        <v>46184</v>
      </c>
      <c r="I6" s="210" t="n">
        <v>0.958333333333333</v>
      </c>
      <c r="J6" s="211"/>
      <c r="K6" s="220" t="s">
        <v>38</v>
      </c>
      <c r="L6" s="204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204" t="n">
        <f aca="false">N6-O6</f>
        <v>2</v>
      </c>
      <c r="N6" s="204" t="n">
        <f aca="true">SUM(INDIRECT($AC6),INDIRECT($AD6),INDIRECT($AE6))</f>
        <v>3</v>
      </c>
      <c r="O6" s="204" t="n">
        <f aca="true">SUM(INDIRECT($AF6),INDIRECT($AG6),INDIRECT($AH6))</f>
        <v>1</v>
      </c>
      <c r="P6" s="204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204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221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15"/>
      <c r="T6" s="216" t="str">
        <f aca="false">IF(NOT(AND(ISNUMBER(C6),ISNUMBER(E6))),"XXX","")</f>
        <v/>
      </c>
      <c r="U6" s="217" t="n">
        <f aca="false">SUM(Y6,Z6,AA6)</f>
        <v>0</v>
      </c>
      <c r="V6" s="217"/>
      <c r="W6" s="217"/>
      <c r="X6" s="217"/>
      <c r="Y6" s="218" t="n">
        <f aca="false">IF(AND(ISNUMBER(RESULTADOS!C6),ISNUMBER(RESULTADOS!E6),ISNUMBER(C6),ISNUMBER(E6),C6=RESULTADOS!C6,E6=RESULTADOS!E6),2,0)</f>
        <v>0</v>
      </c>
      <c r="Z6" s="218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218" t="n">
        <f aca="false">IF(AND(ISNUMBER(RESULTADOS!C6),ISNUMBER(RESULTADOS!E6),ISNUMBER(C6),ISNUMBER(E6),AND(Z6=1,OR(C6=RESULTADOS!C6,E6=RESULTADOS!E6))),1,0)</f>
        <v>0</v>
      </c>
      <c r="AC6" s="189" t="s">
        <v>40</v>
      </c>
      <c r="AD6" s="189" t="s">
        <v>41</v>
      </c>
      <c r="AE6" s="189" t="s">
        <v>42</v>
      </c>
      <c r="AF6" s="189" t="str">
        <f aca="false">IF(ISNUMBER(FIND("C", AC6, 1)), SUBSTITUTE(AC6, "C", "E"), SUBSTITUTE(AC6, "E", "C"))</f>
        <v>E6</v>
      </c>
      <c r="AG6" s="189" t="str">
        <f aca="false">IF(ISNUMBER(FIND("C", AD6, 1)), SUBSTITUTE(AD6, "C", "E"), SUBSTITUTE(AD6, "E", "C"))</f>
        <v>C8</v>
      </c>
      <c r="AH6" s="189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205" t="s">
        <v>39</v>
      </c>
      <c r="C7" s="206" t="n">
        <v>2</v>
      </c>
      <c r="D7" s="204" t="s">
        <v>29</v>
      </c>
      <c r="E7" s="207" t="n">
        <v>0</v>
      </c>
      <c r="F7" s="219" t="s">
        <v>30</v>
      </c>
      <c r="G7" s="191"/>
      <c r="H7" s="209" t="n">
        <v>46191</v>
      </c>
      <c r="I7" s="210" t="n">
        <v>0.541666666666667</v>
      </c>
      <c r="J7" s="211"/>
      <c r="K7" s="220" t="s">
        <v>28</v>
      </c>
      <c r="L7" s="204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204" t="n">
        <f aca="false">N7-O7</f>
        <v>3</v>
      </c>
      <c r="N7" s="204" t="n">
        <f aca="true">SUM(INDIRECT($AC7),INDIRECT($AD7),INDIRECT($AE7))</f>
        <v>5</v>
      </c>
      <c r="O7" s="204" t="n">
        <f aca="true">SUM(INDIRECT($AF7),INDIRECT($AG7),INDIRECT($AH7))</f>
        <v>2</v>
      </c>
      <c r="P7" s="204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204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221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191"/>
      <c r="T7" s="216" t="str">
        <f aca="false">IF(NOT(AND(ISNUMBER(C7),ISNUMBER(E7))),"XXX","")</f>
        <v/>
      </c>
      <c r="U7" s="217" t="n">
        <f aca="false">SUM(Y7,Z7,AA7)</f>
        <v>0</v>
      </c>
      <c r="V7" s="217"/>
      <c r="W7" s="217"/>
      <c r="X7" s="217"/>
      <c r="Y7" s="218" t="n">
        <f aca="false">IF(AND(ISNUMBER(RESULTADOS!C7),ISNUMBER(RESULTADOS!E7),ISNUMBER(C7),ISNUMBER(E7),C7=RESULTADOS!C7,E7=RESULTADOS!E7),2,0)</f>
        <v>0</v>
      </c>
      <c r="Z7" s="218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218" t="n">
        <f aca="false">IF(AND(ISNUMBER(RESULTADOS!C7),ISNUMBER(RESULTADOS!E7),ISNUMBER(C7),ISNUMBER(E7),AND(Z7=1,OR(C7=RESULTADOS!C7,E7=RESULTADOS!E7))),1,0)</f>
        <v>0</v>
      </c>
      <c r="AC7" s="189" t="s">
        <v>43</v>
      </c>
      <c r="AD7" s="189" t="s">
        <v>44</v>
      </c>
      <c r="AE7" s="189" t="s">
        <v>45</v>
      </c>
      <c r="AF7" s="189" t="str">
        <f aca="false">IF(ISNUMBER(FIND("C", AC7, 1)), SUBSTITUTE(AC7, "C", "E"), SUBSTITUTE(AC7, "E", "C"))</f>
        <v>E5</v>
      </c>
      <c r="AG7" s="189" t="str">
        <f aca="false">IF(ISNUMBER(FIND("C", AD7, 1)), SUBSTITUTE(AD7, "C", "E"), SUBSTITUTE(AD7, "E", "C"))</f>
        <v>E8</v>
      </c>
      <c r="AH7" s="189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205" t="s">
        <v>28</v>
      </c>
      <c r="C8" s="206" t="n">
        <v>1</v>
      </c>
      <c r="D8" s="204" t="s">
        <v>29</v>
      </c>
      <c r="E8" s="207" t="n">
        <v>1</v>
      </c>
      <c r="F8" s="219" t="s">
        <v>38</v>
      </c>
      <c r="G8" s="191"/>
      <c r="H8" s="209" t="n">
        <v>46191</v>
      </c>
      <c r="I8" s="210" t="n">
        <v>0.916666666666667</v>
      </c>
      <c r="J8" s="211"/>
      <c r="K8" s="220" t="s">
        <v>39</v>
      </c>
      <c r="L8" s="204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204" t="n">
        <f aca="false">N8-O8</f>
        <v>0</v>
      </c>
      <c r="N8" s="204" t="n">
        <f aca="true">SUM(INDIRECT($AC8),INDIRECT($AD8),INDIRECT($AE8))</f>
        <v>3</v>
      </c>
      <c r="O8" s="204" t="n">
        <f aca="true">SUM(INDIRECT($AF8),INDIRECT($AG8),INDIRECT($AH8))</f>
        <v>3</v>
      </c>
      <c r="P8" s="204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204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221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191"/>
      <c r="T8" s="216" t="str">
        <f aca="false">IF(NOT(AND(ISNUMBER(C8),ISNUMBER(E8))),"XXX","")</f>
        <v/>
      </c>
      <c r="U8" s="217" t="n">
        <f aca="false">SUM(Y8,Z8,AA8)</f>
        <v>0</v>
      </c>
      <c r="V8" s="217"/>
      <c r="W8" s="217"/>
      <c r="X8" s="217"/>
      <c r="Y8" s="218" t="n">
        <f aca="false">IF(AND(ISNUMBER(RESULTADOS!C8),ISNUMBER(RESULTADOS!E8),ISNUMBER(C8),ISNUMBER(E8),C8=RESULTADOS!C8,E8=RESULTADOS!E8),2,0)</f>
        <v>0</v>
      </c>
      <c r="Z8" s="218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218" t="n">
        <f aca="false">IF(AND(ISNUMBER(RESULTADOS!C8),ISNUMBER(RESULTADOS!E8),ISNUMBER(C8),ISNUMBER(E8),AND(Z8=1,OR(C8=RESULTADOS!C8,E8=RESULTADOS!E8))),1,0)</f>
        <v>0</v>
      </c>
      <c r="AC8" s="189" t="s">
        <v>46</v>
      </c>
      <c r="AD8" s="189" t="s">
        <v>47</v>
      </c>
      <c r="AE8" s="189" t="s">
        <v>48</v>
      </c>
      <c r="AF8" s="189" t="str">
        <f aca="false">IF(ISNUMBER(FIND("C", AC8, 1)), SUBSTITUTE(AC8, "C", "E"), SUBSTITUTE(AC8, "E", "C"))</f>
        <v>C6</v>
      </c>
      <c r="AG8" s="189" t="str">
        <f aca="false">IF(ISNUMBER(FIND("C", AD8, 1)), SUBSTITUTE(AD8, "C", "E"), SUBSTITUTE(AD8, "E", "C"))</f>
        <v>E7</v>
      </c>
      <c r="AH8" s="189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205" t="s">
        <v>30</v>
      </c>
      <c r="C9" s="206" t="n">
        <v>0</v>
      </c>
      <c r="D9" s="204" t="s">
        <v>29</v>
      </c>
      <c r="E9" s="207" t="n">
        <v>1</v>
      </c>
      <c r="F9" s="219" t="s">
        <v>38</v>
      </c>
      <c r="G9" s="191"/>
      <c r="H9" s="209" t="n">
        <v>46197</v>
      </c>
      <c r="I9" s="210" t="n">
        <v>0.916666666666667</v>
      </c>
      <c r="J9" s="211"/>
      <c r="K9" s="222" t="s">
        <v>30</v>
      </c>
      <c r="L9" s="22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223" t="n">
        <f aca="false">N9-O9</f>
        <v>-5</v>
      </c>
      <c r="N9" s="223" t="n">
        <f aca="true">SUM(INDIRECT($AC9),INDIRECT($AD9),INDIRECT($AE9))</f>
        <v>0</v>
      </c>
      <c r="O9" s="223" t="n">
        <f aca="true">SUM(INDIRECT($AF9),INDIRECT($AG9),INDIRECT($AH9))</f>
        <v>5</v>
      </c>
      <c r="P9" s="223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223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224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191"/>
      <c r="T9" s="216" t="str">
        <f aca="false">IF(NOT(AND(ISNUMBER(C9),ISNUMBER(E9))),"XXX","")</f>
        <v/>
      </c>
      <c r="U9" s="217" t="n">
        <f aca="false">SUM(Y9,Z9,AA9)</f>
        <v>0</v>
      </c>
      <c r="V9" s="217"/>
      <c r="W9" s="217"/>
      <c r="X9" s="217"/>
      <c r="Y9" s="218" t="n">
        <f aca="false">IF(AND(ISNUMBER(RESULTADOS!C9),ISNUMBER(RESULTADOS!E9),ISNUMBER(C9),ISNUMBER(E9),C9=RESULTADOS!C9,E9=RESULTADOS!E9),2,0)</f>
        <v>0</v>
      </c>
      <c r="Z9" s="218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218" t="n">
        <f aca="false">IF(AND(ISNUMBER(RESULTADOS!C9),ISNUMBER(RESULTADOS!E9),ISNUMBER(C9),ISNUMBER(E9),AND(Z9=1,OR(C9=RESULTADOS!C9,E9=RESULTADOS!E9))),1,0)</f>
        <v>0</v>
      </c>
      <c r="AC9" s="189" t="s">
        <v>49</v>
      </c>
      <c r="AD9" s="189" t="s">
        <v>50</v>
      </c>
      <c r="AE9" s="189" t="s">
        <v>51</v>
      </c>
      <c r="AF9" s="189" t="str">
        <f aca="false">IF(ISNUMBER(FIND("C", AC9, 1)), SUBSTITUTE(AC9, "C", "E"), SUBSTITUTE(AC9, "E", "C"))</f>
        <v>C5</v>
      </c>
      <c r="AG9" s="189" t="str">
        <f aca="false">IF(ISNUMBER(FIND("C", AD9, 1)), SUBSTITUTE(AD9, "C", "E"), SUBSTITUTE(AD9, "E", "C"))</f>
        <v>C7</v>
      </c>
      <c r="AH9" s="189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225" t="s">
        <v>39</v>
      </c>
      <c r="C10" s="226" t="n">
        <v>1</v>
      </c>
      <c r="D10" s="223" t="s">
        <v>29</v>
      </c>
      <c r="E10" s="227" t="n">
        <v>2</v>
      </c>
      <c r="F10" s="228" t="s">
        <v>28</v>
      </c>
      <c r="G10" s="191"/>
      <c r="H10" s="229" t="n">
        <v>46197</v>
      </c>
      <c r="I10" s="230" t="n">
        <v>0.916666666666667</v>
      </c>
      <c r="J10" s="211"/>
      <c r="K10" s="215"/>
      <c r="S10" s="191"/>
      <c r="T10" s="216" t="str">
        <f aca="false">IF(NOT(AND(ISNUMBER(C10),ISNUMBER(E10))),"XXX","")</f>
        <v/>
      </c>
      <c r="U10" s="217" t="n">
        <f aca="false">SUM(Y10,Z10,AA10)</f>
        <v>0</v>
      </c>
      <c r="V10" s="217"/>
      <c r="W10" s="217"/>
      <c r="X10" s="217"/>
      <c r="Y10" s="218" t="n">
        <f aca="false">IF(AND(ISNUMBER(RESULTADOS!C10),ISNUMBER(RESULTADOS!E10),ISNUMBER(C10),ISNUMBER(E10),C10=RESULTADOS!C10,E10=RESULTADOS!E10),2,0)</f>
        <v>0</v>
      </c>
      <c r="Z10" s="218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218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231"/>
      <c r="C11" s="191"/>
      <c r="D11" s="191"/>
      <c r="E11" s="191"/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U11" s="191"/>
      <c r="V11" s="191"/>
      <c r="W11" s="191"/>
      <c r="X11" s="191"/>
      <c r="Y11" s="194"/>
      <c r="Z11" s="194"/>
      <c r="AA11" s="194"/>
    </row>
    <row r="12" customFormat="false" ht="13.5" hidden="false" customHeight="true" outlineLevel="0" collapsed="false">
      <c r="B12" s="200" t="s">
        <v>52</v>
      </c>
      <c r="C12" s="200"/>
      <c r="D12" s="200"/>
      <c r="E12" s="200"/>
      <c r="F12" s="200"/>
      <c r="G12" s="191"/>
      <c r="H12" s="201" t="s">
        <v>26</v>
      </c>
      <c r="I12" s="202" t="s">
        <v>27</v>
      </c>
      <c r="J12" s="203"/>
      <c r="K12" s="191"/>
      <c r="L12" s="191"/>
      <c r="M12" s="191"/>
      <c r="N12" s="191"/>
      <c r="O12" s="191"/>
      <c r="P12" s="191"/>
      <c r="Q12" s="191"/>
      <c r="R12" s="191"/>
      <c r="S12" s="191"/>
      <c r="U12" s="204"/>
      <c r="V12" s="204"/>
      <c r="W12" s="204"/>
      <c r="X12" s="204"/>
      <c r="Y12" s="218"/>
      <c r="Z12" s="218"/>
      <c r="AA12" s="218"/>
    </row>
    <row r="13" customFormat="false" ht="13.5" hidden="false" customHeight="true" outlineLevel="0" collapsed="false">
      <c r="B13" s="205" t="s">
        <v>53</v>
      </c>
      <c r="C13" s="206" t="n">
        <v>1</v>
      </c>
      <c r="D13" s="204" t="s">
        <v>29</v>
      </c>
      <c r="E13" s="207" t="n">
        <v>1</v>
      </c>
      <c r="F13" s="208" t="s">
        <v>54</v>
      </c>
      <c r="G13" s="191"/>
      <c r="H13" s="209" t="n">
        <v>46185</v>
      </c>
      <c r="I13" s="210" t="n">
        <v>0.666666666666667</v>
      </c>
      <c r="J13" s="211"/>
      <c r="K13" s="232"/>
      <c r="L13" s="213" t="s">
        <v>31</v>
      </c>
      <c r="M13" s="213" t="s">
        <v>32</v>
      </c>
      <c r="N13" s="213" t="s">
        <v>33</v>
      </c>
      <c r="O13" s="213" t="s">
        <v>34</v>
      </c>
      <c r="P13" s="213" t="s">
        <v>35</v>
      </c>
      <c r="Q13" s="213" t="s">
        <v>36</v>
      </c>
      <c r="R13" s="214" t="s">
        <v>37</v>
      </c>
      <c r="S13" s="215"/>
      <c r="T13" s="216" t="str">
        <f aca="false">IF(NOT(AND(ISNUMBER(C13),ISNUMBER(E13))),"XXX","")</f>
        <v/>
      </c>
      <c r="U13" s="217" t="n">
        <f aca="false">SUM(Y13,Z13,AA13)</f>
        <v>0</v>
      </c>
      <c r="V13" s="217"/>
      <c r="W13" s="217"/>
      <c r="X13" s="217"/>
      <c r="Y13" s="218" t="n">
        <f aca="false">IF(AND(ISNUMBER(RESULTADOS!C13),ISNUMBER(RESULTADOS!E13),ISNUMBER(C13),ISNUMBER(E13),C13=RESULTADOS!C13,E13=RESULTADOS!E13),2,0)</f>
        <v>0</v>
      </c>
      <c r="Z13" s="218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218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205" t="s">
        <v>55</v>
      </c>
      <c r="C14" s="206" t="n">
        <v>0</v>
      </c>
      <c r="D14" s="204" t="s">
        <v>29</v>
      </c>
      <c r="E14" s="207" t="n">
        <v>2</v>
      </c>
      <c r="F14" s="208" t="s">
        <v>56</v>
      </c>
      <c r="G14" s="191"/>
      <c r="H14" s="209" t="n">
        <v>46186</v>
      </c>
      <c r="I14" s="210" t="n">
        <v>0.666666666666667</v>
      </c>
      <c r="J14" s="211"/>
      <c r="K14" s="220" t="s">
        <v>54</v>
      </c>
      <c r="L14" s="204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204" t="n">
        <f aca="false">N14-O14</f>
        <v>-1</v>
      </c>
      <c r="N14" s="204" t="n">
        <f aca="true">SUM(INDIRECT($AC14),INDIRECT($AD14),INDIRECT($AE14))</f>
        <v>2</v>
      </c>
      <c r="O14" s="204" t="n">
        <f aca="true">SUM(INDIRECT($AF14),INDIRECT($AG14),INDIRECT($AH14))</f>
        <v>3</v>
      </c>
      <c r="P14" s="204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204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221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15"/>
      <c r="T14" s="216" t="str">
        <f aca="false">IF(NOT(AND(ISNUMBER(C14),ISNUMBER(E14))),"XXX","")</f>
        <v/>
      </c>
      <c r="U14" s="217" t="n">
        <f aca="false">SUM(Y14,Z14,AA14)</f>
        <v>0</v>
      </c>
      <c r="V14" s="217"/>
      <c r="W14" s="217"/>
      <c r="X14" s="217"/>
      <c r="Y14" s="218" t="n">
        <f aca="false">IF(AND(ISNUMBER(RESULTADOS!C14),ISNUMBER(RESULTADOS!E14),ISNUMBER(C14),ISNUMBER(E14),C14=RESULTADOS!C14,E14=RESULTADOS!E14),2,0)</f>
        <v>0</v>
      </c>
      <c r="Z14" s="218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218" t="n">
        <f aca="false">IF(AND(ISNUMBER(RESULTADOS!C14),ISNUMBER(RESULTADOS!E14),ISNUMBER(C14),ISNUMBER(E14),AND(Z14=1,OR(C14=RESULTADOS!C14,E14=RESULTADOS!E14))),1,0)</f>
        <v>0</v>
      </c>
      <c r="AC14" s="189" t="s">
        <v>57</v>
      </c>
      <c r="AD14" s="189" t="s">
        <v>58</v>
      </c>
      <c r="AE14" s="189" t="s">
        <v>59</v>
      </c>
      <c r="AF14" s="189" t="str">
        <f aca="false">IF(ISNUMBER(FIND("C", AC14, 1)), SUBSTITUTE(AC14, "C", "E"), SUBSTITUTE(AC14, "E", "C"))</f>
        <v>C13</v>
      </c>
      <c r="AG14" s="189" t="str">
        <f aca="false">IF(ISNUMBER(FIND("C", AD14, 1)), SUBSTITUTE(AD14, "C", "E"), SUBSTITUTE(AD14, "E", "C"))</f>
        <v>C15</v>
      </c>
      <c r="AH14" s="189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205" t="s">
        <v>56</v>
      </c>
      <c r="C15" s="206" t="n">
        <v>2</v>
      </c>
      <c r="D15" s="204" t="s">
        <v>29</v>
      </c>
      <c r="E15" s="207" t="n">
        <v>0</v>
      </c>
      <c r="F15" s="208" t="s">
        <v>54</v>
      </c>
      <c r="G15" s="191"/>
      <c r="H15" s="209" t="n">
        <v>46191</v>
      </c>
      <c r="I15" s="210" t="n">
        <v>0.666666666666667</v>
      </c>
      <c r="J15" s="211"/>
      <c r="K15" s="220" t="s">
        <v>53</v>
      </c>
      <c r="L15" s="204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204" t="n">
        <f aca="false">N15-O15</f>
        <v>1</v>
      </c>
      <c r="N15" s="204" t="n">
        <f aca="true">SUM(INDIRECT($AC15),INDIRECT($AD15),INDIRECT($AE15))</f>
        <v>4</v>
      </c>
      <c r="O15" s="204" t="n">
        <f aca="true">SUM(INDIRECT($AF15),INDIRECT($AG15),INDIRECT($AH15))</f>
        <v>3</v>
      </c>
      <c r="P15" s="204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204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221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191"/>
      <c r="T15" s="216" t="str">
        <f aca="false">IF(NOT(AND(ISNUMBER(C15),ISNUMBER(E15))),"XXX","")</f>
        <v/>
      </c>
      <c r="U15" s="217" t="n">
        <f aca="false">SUM(Y15,Z15,AA15)</f>
        <v>0</v>
      </c>
      <c r="V15" s="217"/>
      <c r="W15" s="217"/>
      <c r="X15" s="217"/>
      <c r="Y15" s="218" t="n">
        <f aca="false">IF(AND(ISNUMBER(RESULTADOS!C15),ISNUMBER(RESULTADOS!E15),ISNUMBER(C15),ISNUMBER(E15),C15=RESULTADOS!C15,E15=RESULTADOS!E15),2,0)</f>
        <v>0</v>
      </c>
      <c r="Z15" s="218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218" t="n">
        <f aca="false">IF(AND(ISNUMBER(RESULTADOS!C15),ISNUMBER(RESULTADOS!E15),ISNUMBER(C15),ISNUMBER(E15),AND(Z15=1,OR(C15=RESULTADOS!C15,E15=RESULTADOS!E15))),1,0)</f>
        <v>0</v>
      </c>
      <c r="AC15" s="189" t="s">
        <v>60</v>
      </c>
      <c r="AD15" s="189" t="s">
        <v>61</v>
      </c>
      <c r="AE15" s="189" t="s">
        <v>62</v>
      </c>
      <c r="AF15" s="189" t="str">
        <f aca="false">IF(ISNUMBER(FIND("C", AC15, 1)), SUBSTITUTE(AC15, "C", "E"), SUBSTITUTE(AC15, "E", "C"))</f>
        <v>E13</v>
      </c>
      <c r="AG15" s="189" t="str">
        <f aca="false">IF(ISNUMBER(FIND("C", AD15, 1)), SUBSTITUTE(AD15, "C", "E"), SUBSTITUTE(AD15, "E", "C"))</f>
        <v>E16</v>
      </c>
      <c r="AH15" s="189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205" t="s">
        <v>53</v>
      </c>
      <c r="C16" s="206" t="n">
        <v>2</v>
      </c>
      <c r="D16" s="204" t="s">
        <v>29</v>
      </c>
      <c r="E16" s="207" t="n">
        <v>0</v>
      </c>
      <c r="F16" s="208" t="s">
        <v>55</v>
      </c>
      <c r="G16" s="191"/>
      <c r="H16" s="209" t="n">
        <v>46191</v>
      </c>
      <c r="I16" s="210" t="n">
        <v>0.791666666666667</v>
      </c>
      <c r="J16" s="211"/>
      <c r="K16" s="220" t="s">
        <v>55</v>
      </c>
      <c r="L16" s="204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204" t="n">
        <f aca="false">N16-O16</f>
        <v>-5</v>
      </c>
      <c r="N16" s="204" t="n">
        <f aca="true">SUM(INDIRECT($AC16),INDIRECT($AD16),INDIRECT($AE16))</f>
        <v>0</v>
      </c>
      <c r="O16" s="204" t="n">
        <f aca="true">SUM(INDIRECT($AF16),INDIRECT($AG16),INDIRECT($AH16))</f>
        <v>5</v>
      </c>
      <c r="P16" s="204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204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221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191"/>
      <c r="T16" s="216" t="str">
        <f aca="false">IF(NOT(AND(ISNUMBER(C16),ISNUMBER(E16))),"XXX","")</f>
        <v/>
      </c>
      <c r="U16" s="217" t="n">
        <f aca="false">SUM(Y16,Z16,AA16)</f>
        <v>0</v>
      </c>
      <c r="V16" s="217"/>
      <c r="W16" s="217"/>
      <c r="X16" s="217"/>
      <c r="Y16" s="218" t="n">
        <f aca="false">IF(AND(ISNUMBER(RESULTADOS!C16),ISNUMBER(RESULTADOS!E16),ISNUMBER(C16),ISNUMBER(E16),C16=RESULTADOS!C16,E16=RESULTADOS!E16),2,0)</f>
        <v>0</v>
      </c>
      <c r="Z16" s="218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218" t="n">
        <f aca="false">IF(AND(ISNUMBER(RESULTADOS!C16),ISNUMBER(RESULTADOS!E16),ISNUMBER(C16),ISNUMBER(E16),AND(Z16=1,OR(C16=RESULTADOS!C16,E16=RESULTADOS!E16))),1,0)</f>
        <v>0</v>
      </c>
      <c r="AC16" s="189" t="s">
        <v>63</v>
      </c>
      <c r="AD16" s="189" t="s">
        <v>64</v>
      </c>
      <c r="AE16" s="189" t="s">
        <v>65</v>
      </c>
      <c r="AF16" s="189" t="str">
        <f aca="false">IF(ISNUMBER(FIND("C", AC16, 1)), SUBSTITUTE(AC16, "C", "E"), SUBSTITUTE(AC16, "E", "C"))</f>
        <v>E14</v>
      </c>
      <c r="AG16" s="189" t="str">
        <f aca="false">IF(ISNUMBER(FIND("C", AD16, 1)), SUBSTITUTE(AD16, "C", "E"), SUBSTITUTE(AD16, "E", "C"))</f>
        <v>C16</v>
      </c>
      <c r="AH16" s="189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205" t="s">
        <v>56</v>
      </c>
      <c r="C17" s="206" t="n">
        <v>2</v>
      </c>
      <c r="D17" s="204" t="s">
        <v>29</v>
      </c>
      <c r="E17" s="207" t="n">
        <v>1</v>
      </c>
      <c r="F17" s="208" t="s">
        <v>53</v>
      </c>
      <c r="G17" s="191"/>
      <c r="H17" s="209" t="n">
        <v>46197</v>
      </c>
      <c r="I17" s="210" t="n">
        <v>0.666666666666667</v>
      </c>
      <c r="J17" s="211"/>
      <c r="K17" s="222" t="s">
        <v>56</v>
      </c>
      <c r="L17" s="22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223" t="n">
        <f aca="false">N17-O17</f>
        <v>5</v>
      </c>
      <c r="N17" s="223" t="n">
        <f aca="true">SUM(INDIRECT($AC17),INDIRECT($AD17),INDIRECT($AE17))</f>
        <v>6</v>
      </c>
      <c r="O17" s="223" t="n">
        <f aca="true">SUM(INDIRECT($AF17),INDIRECT($AG17),INDIRECT($AH17))</f>
        <v>1</v>
      </c>
      <c r="P17" s="223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223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22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191"/>
      <c r="T17" s="216" t="str">
        <f aca="false">IF(NOT(AND(ISNUMBER(C17),ISNUMBER(E17))),"XXX","")</f>
        <v/>
      </c>
      <c r="U17" s="217" t="n">
        <f aca="false">SUM(Y17,Z17,AA17)</f>
        <v>0</v>
      </c>
      <c r="V17" s="217"/>
      <c r="W17" s="217"/>
      <c r="X17" s="217"/>
      <c r="Y17" s="218" t="n">
        <f aca="false">IF(AND(ISNUMBER(RESULTADOS!C17),ISNUMBER(RESULTADOS!E17),ISNUMBER(C17),ISNUMBER(E17),C17=RESULTADOS!C17,E17=RESULTADOS!E17),2,0)</f>
        <v>0</v>
      </c>
      <c r="Z17" s="218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218" t="n">
        <f aca="false">IF(AND(ISNUMBER(RESULTADOS!C17),ISNUMBER(RESULTADOS!E17),ISNUMBER(C17),ISNUMBER(E17),AND(Z17=1,OR(C17=RESULTADOS!C17,E17=RESULTADOS!E17))),1,0)</f>
        <v>0</v>
      </c>
      <c r="AC17" s="189" t="s">
        <v>66</v>
      </c>
      <c r="AD17" s="189" t="s">
        <v>67</v>
      </c>
      <c r="AE17" s="189" t="s">
        <v>68</v>
      </c>
      <c r="AF17" s="189" t="str">
        <f aca="false">IF(ISNUMBER(FIND("C", AC17, 1)), SUBSTITUTE(AC17, "C", "E"), SUBSTITUTE(AC17, "E", "C"))</f>
        <v>C14</v>
      </c>
      <c r="AG17" s="189" t="str">
        <f aca="false">IF(ISNUMBER(FIND("C", AD17, 1)), SUBSTITUTE(AD17, "C", "E"), SUBSTITUTE(AD17, "E", "C"))</f>
        <v>E15</v>
      </c>
      <c r="AH17" s="189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225" t="s">
        <v>54</v>
      </c>
      <c r="C18" s="226" t="n">
        <v>1</v>
      </c>
      <c r="D18" s="223" t="s">
        <v>29</v>
      </c>
      <c r="E18" s="227" t="n">
        <v>0</v>
      </c>
      <c r="F18" s="233" t="s">
        <v>55</v>
      </c>
      <c r="G18" s="191"/>
      <c r="H18" s="229" t="n">
        <v>46197</v>
      </c>
      <c r="I18" s="230" t="n">
        <v>0.666666666666667</v>
      </c>
      <c r="J18" s="211"/>
      <c r="K18" s="215"/>
      <c r="S18" s="191"/>
      <c r="T18" s="216" t="str">
        <f aca="false">IF(NOT(AND(ISNUMBER(C18),ISNUMBER(E18))),"XXX","")</f>
        <v/>
      </c>
      <c r="U18" s="217" t="n">
        <f aca="false">SUM(Y18,Z18,AA18)</f>
        <v>0</v>
      </c>
      <c r="V18" s="217"/>
      <c r="W18" s="217"/>
      <c r="X18" s="217"/>
      <c r="Y18" s="218" t="n">
        <f aca="false">IF(AND(ISNUMBER(RESULTADOS!C18),ISNUMBER(RESULTADOS!E18),ISNUMBER(C18),ISNUMBER(E18),C18=RESULTADOS!C18,E18=RESULTADOS!E18),2,0)</f>
        <v>0</v>
      </c>
      <c r="Z18" s="218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218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23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U19" s="191"/>
      <c r="V19" s="191"/>
      <c r="W19" s="191"/>
      <c r="X19" s="191"/>
      <c r="Y19" s="194"/>
      <c r="Z19" s="194"/>
      <c r="AA19" s="194"/>
    </row>
    <row r="20" customFormat="false" ht="13.5" hidden="false" customHeight="true" outlineLevel="0" collapsed="false">
      <c r="B20" s="200" t="s">
        <v>69</v>
      </c>
      <c r="C20" s="200"/>
      <c r="D20" s="200"/>
      <c r="E20" s="200"/>
      <c r="F20" s="200"/>
      <c r="G20" s="191"/>
      <c r="H20" s="201" t="s">
        <v>26</v>
      </c>
      <c r="I20" s="202" t="s">
        <v>27</v>
      </c>
      <c r="J20" s="203"/>
      <c r="K20" s="191"/>
      <c r="L20" s="191"/>
      <c r="M20" s="191"/>
      <c r="N20" s="191"/>
      <c r="O20" s="191"/>
      <c r="P20" s="191"/>
      <c r="Q20" s="191"/>
      <c r="R20" s="191"/>
      <c r="S20" s="191"/>
      <c r="U20" s="204"/>
      <c r="V20" s="204"/>
      <c r="W20" s="204"/>
      <c r="X20" s="204"/>
      <c r="Y20" s="218"/>
      <c r="Z20" s="218"/>
      <c r="AA20" s="218"/>
    </row>
    <row r="21" customFormat="false" ht="13.5" hidden="false" customHeight="true" outlineLevel="0" collapsed="false">
      <c r="B21" s="205" t="s">
        <v>70</v>
      </c>
      <c r="C21" s="206" t="n">
        <v>2</v>
      </c>
      <c r="D21" s="204" t="s">
        <v>29</v>
      </c>
      <c r="E21" s="207" t="n">
        <v>1</v>
      </c>
      <c r="F21" s="208" t="s">
        <v>71</v>
      </c>
      <c r="G21" s="191"/>
      <c r="H21" s="209" t="n">
        <v>46186</v>
      </c>
      <c r="I21" s="210" t="n">
        <v>0.791666666666667</v>
      </c>
      <c r="J21" s="211"/>
      <c r="K21" s="232"/>
      <c r="L21" s="213" t="s">
        <v>31</v>
      </c>
      <c r="M21" s="213" t="s">
        <v>32</v>
      </c>
      <c r="N21" s="213" t="s">
        <v>33</v>
      </c>
      <c r="O21" s="213" t="s">
        <v>34</v>
      </c>
      <c r="P21" s="213" t="s">
        <v>35</v>
      </c>
      <c r="Q21" s="213" t="s">
        <v>36</v>
      </c>
      <c r="R21" s="214" t="s">
        <v>37</v>
      </c>
      <c r="S21" s="215"/>
      <c r="T21" s="216" t="str">
        <f aca="false">IF(NOT(AND(ISNUMBER(C21),ISNUMBER(E21))),"XXX","")</f>
        <v/>
      </c>
      <c r="U21" s="217" t="n">
        <f aca="false">SUM(Y21,Z21,AA21)</f>
        <v>0</v>
      </c>
      <c r="V21" s="217"/>
      <c r="W21" s="217"/>
      <c r="X21" s="217"/>
      <c r="Y21" s="218" t="n">
        <f aca="false">IF(AND(ISNUMBER(RESULTADOS!C21),ISNUMBER(RESULTADOS!E21),ISNUMBER(C21),ISNUMBER(E21),C21=RESULTADOS!C21,E21=RESULTADOS!E21),2,0)</f>
        <v>0</v>
      </c>
      <c r="Z21" s="218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218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205" t="s">
        <v>72</v>
      </c>
      <c r="C22" s="206" t="n">
        <v>0</v>
      </c>
      <c r="D22" s="204" t="s">
        <v>29</v>
      </c>
      <c r="E22" s="207" t="n">
        <v>2</v>
      </c>
      <c r="F22" s="208" t="s">
        <v>73</v>
      </c>
      <c r="G22" s="191"/>
      <c r="H22" s="209" t="n">
        <v>46186</v>
      </c>
      <c r="I22" s="210" t="n">
        <v>0.916666666666667</v>
      </c>
      <c r="J22" s="211"/>
      <c r="K22" s="220" t="s">
        <v>70</v>
      </c>
      <c r="L22" s="204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204" t="n">
        <f aca="false">N22-O22</f>
        <v>6</v>
      </c>
      <c r="N22" s="204" t="n">
        <f aca="true">SUM(INDIRECT($AC22),INDIRECT($AD22),INDIRECT($AE22))</f>
        <v>8</v>
      </c>
      <c r="O22" s="204" t="n">
        <f aca="true">SUM(INDIRECT($AF22),INDIRECT($AG22),INDIRECT($AH22))</f>
        <v>2</v>
      </c>
      <c r="P22" s="204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204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221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15"/>
      <c r="T22" s="216" t="str">
        <f aca="false">IF(NOT(AND(ISNUMBER(C22),ISNUMBER(E22))),"XXX","")</f>
        <v/>
      </c>
      <c r="U22" s="217" t="n">
        <f aca="false">SUM(Y22,Z22,AA22)</f>
        <v>0</v>
      </c>
      <c r="V22" s="217"/>
      <c r="W22" s="217"/>
      <c r="X22" s="217"/>
      <c r="Y22" s="218" t="n">
        <f aca="false">IF(AND(ISNUMBER(RESULTADOS!C22),ISNUMBER(RESULTADOS!E22),ISNUMBER(C22),ISNUMBER(E22),C22=RESULTADOS!C22,E22=RESULTADOS!E22),2,0)</f>
        <v>0</v>
      </c>
      <c r="Z22" s="218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218" t="n">
        <f aca="false">IF(AND(ISNUMBER(RESULTADOS!C22),ISNUMBER(RESULTADOS!E22),ISNUMBER(C22),ISNUMBER(E22),AND(Z22=1,OR(C22=RESULTADOS!C22,E22=RESULTADOS!E22))),1,0)</f>
        <v>0</v>
      </c>
      <c r="AC22" s="189" t="s">
        <v>74</v>
      </c>
      <c r="AD22" s="189" t="s">
        <v>75</v>
      </c>
      <c r="AE22" s="189" t="s">
        <v>76</v>
      </c>
      <c r="AF22" s="189" t="str">
        <f aca="false">IF(ISNUMBER(FIND("C", AC22, 1)), SUBSTITUTE(AC22, "C", "E"), SUBSTITUTE(AC22, "E", "C"))</f>
        <v>E21</v>
      </c>
      <c r="AG22" s="189" t="str">
        <f aca="false">IF(ISNUMBER(FIND("C", AD22, 1)), SUBSTITUTE(AD22, "C", "E"), SUBSTITUTE(AD22, "E", "C"))</f>
        <v>E24</v>
      </c>
      <c r="AH22" s="189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205" t="s">
        <v>73</v>
      </c>
      <c r="C23" s="206" t="n">
        <v>1</v>
      </c>
      <c r="D23" s="204" t="s">
        <v>29</v>
      </c>
      <c r="E23" s="207" t="n">
        <v>2</v>
      </c>
      <c r="F23" s="208" t="s">
        <v>71</v>
      </c>
      <c r="G23" s="191"/>
      <c r="H23" s="209" t="n">
        <v>46192</v>
      </c>
      <c r="I23" s="210" t="n">
        <v>0.791666666666667</v>
      </c>
      <c r="J23" s="211"/>
      <c r="K23" s="220" t="s">
        <v>73</v>
      </c>
      <c r="L23" s="204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204" t="n">
        <f aca="false">N23-O23</f>
        <v>-1</v>
      </c>
      <c r="N23" s="204" t="n">
        <f aca="true">SUM(INDIRECT($AC23),INDIRECT($AD23),INDIRECT($AE23))</f>
        <v>4</v>
      </c>
      <c r="O23" s="204" t="n">
        <f aca="true">SUM(INDIRECT($AF23),INDIRECT($AG23),INDIRECT($AH23))</f>
        <v>5</v>
      </c>
      <c r="P23" s="204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204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221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191"/>
      <c r="T23" s="216" t="str">
        <f aca="false">IF(NOT(AND(ISNUMBER(C23),ISNUMBER(E23))),"XXX","")</f>
        <v/>
      </c>
      <c r="U23" s="217" t="n">
        <f aca="false">SUM(Y23,Z23,AA23)</f>
        <v>0</v>
      </c>
      <c r="V23" s="217"/>
      <c r="W23" s="217"/>
      <c r="X23" s="217"/>
      <c r="Y23" s="218" t="n">
        <f aca="false">IF(AND(ISNUMBER(RESULTADOS!C23),ISNUMBER(RESULTADOS!E23),ISNUMBER(C23),ISNUMBER(E23),C23=RESULTADOS!C23,E23=RESULTADOS!E23),2,0)</f>
        <v>0</v>
      </c>
      <c r="Z23" s="218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218" t="n">
        <f aca="false">IF(AND(ISNUMBER(RESULTADOS!C23),ISNUMBER(RESULTADOS!E23),ISNUMBER(C23),ISNUMBER(E23),AND(Z23=1,OR(C23=RESULTADOS!C23,E23=RESULTADOS!E23))),1,0)</f>
        <v>0</v>
      </c>
      <c r="AC23" s="189" t="s">
        <v>77</v>
      </c>
      <c r="AD23" s="189" t="s">
        <v>78</v>
      </c>
      <c r="AE23" s="189" t="s">
        <v>79</v>
      </c>
      <c r="AF23" s="189" t="str">
        <f aca="false">IF(ISNUMBER(FIND("C", AC23, 1)), SUBSTITUTE(AC23, "C", "E"), SUBSTITUTE(AC23, "E", "C"))</f>
        <v>C22</v>
      </c>
      <c r="AG23" s="189" t="str">
        <f aca="false">IF(ISNUMBER(FIND("C", AD23, 1)), SUBSTITUTE(AD23, "C", "E"), SUBSTITUTE(AD23, "E", "C"))</f>
        <v>E23</v>
      </c>
      <c r="AH23" s="189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205" t="s">
        <v>70</v>
      </c>
      <c r="C24" s="206" t="n">
        <v>3</v>
      </c>
      <c r="D24" s="204" t="s">
        <v>29</v>
      </c>
      <c r="E24" s="207" t="n">
        <v>0</v>
      </c>
      <c r="F24" s="208" t="s">
        <v>72</v>
      </c>
      <c r="G24" s="191"/>
      <c r="H24" s="209" t="n">
        <v>46192</v>
      </c>
      <c r="I24" s="210" t="n">
        <v>0.895833333333333</v>
      </c>
      <c r="J24" s="211"/>
      <c r="K24" s="220" t="s">
        <v>72</v>
      </c>
      <c r="L24" s="204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204" t="n">
        <f aca="false">N24-O24</f>
        <v>-7</v>
      </c>
      <c r="N24" s="204" t="n">
        <f aca="true">SUM(INDIRECT($AC24),INDIRECT($AD24),INDIRECT($AE24))</f>
        <v>0</v>
      </c>
      <c r="O24" s="204" t="n">
        <f aca="true">SUM(INDIRECT($AF24),INDIRECT($AG24),INDIRECT($AH24))</f>
        <v>7</v>
      </c>
      <c r="P24" s="204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204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221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191"/>
      <c r="T24" s="216" t="str">
        <f aca="false">IF(NOT(AND(ISNUMBER(C24),ISNUMBER(E24))),"XXX","")</f>
        <v/>
      </c>
      <c r="U24" s="217" t="n">
        <f aca="false">SUM(Y24,Z24,AA24)</f>
        <v>0</v>
      </c>
      <c r="V24" s="217"/>
      <c r="W24" s="217"/>
      <c r="X24" s="217"/>
      <c r="Y24" s="218" t="n">
        <f aca="false">IF(AND(ISNUMBER(RESULTADOS!C24),ISNUMBER(RESULTADOS!E24),ISNUMBER(C24),ISNUMBER(E24),C24=RESULTADOS!C24,E24=RESULTADOS!E24),2,0)</f>
        <v>0</v>
      </c>
      <c r="Z24" s="218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218" t="n">
        <f aca="false">IF(AND(ISNUMBER(RESULTADOS!C24),ISNUMBER(RESULTADOS!E24),ISNUMBER(C24),ISNUMBER(E24),AND(Z24=1,OR(C24=RESULTADOS!C24,E24=RESULTADOS!E24))),1,0)</f>
        <v>0</v>
      </c>
      <c r="AC24" s="189" t="s">
        <v>80</v>
      </c>
      <c r="AD24" s="189" t="s">
        <v>81</v>
      </c>
      <c r="AE24" s="189" t="s">
        <v>82</v>
      </c>
      <c r="AF24" s="189" t="str">
        <f aca="false">IF(ISNUMBER(FIND("C", AC24, 1)), SUBSTITUTE(AC24, "C", "E"), SUBSTITUTE(AC24, "E", "C"))</f>
        <v>E22</v>
      </c>
      <c r="AG24" s="189" t="str">
        <f aca="false">IF(ISNUMBER(FIND("C", AD24, 1)), SUBSTITUTE(AD24, "C", "E"), SUBSTITUTE(AD24, "E", "C"))</f>
        <v>C24</v>
      </c>
      <c r="AH24" s="189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205" t="s">
        <v>71</v>
      </c>
      <c r="C25" s="206" t="n">
        <v>2</v>
      </c>
      <c r="D25" s="204" t="s">
        <v>29</v>
      </c>
      <c r="E25" s="207" t="n">
        <v>0</v>
      </c>
      <c r="F25" s="208" t="s">
        <v>72</v>
      </c>
      <c r="G25" s="191"/>
      <c r="H25" s="209" t="n">
        <v>46197</v>
      </c>
      <c r="I25" s="210" t="n">
        <v>0.791666666666667</v>
      </c>
      <c r="J25" s="211"/>
      <c r="K25" s="222" t="s">
        <v>71</v>
      </c>
      <c r="L25" s="22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223" t="n">
        <f aca="false">N25-O25</f>
        <v>2</v>
      </c>
      <c r="N25" s="223" t="n">
        <f aca="true">SUM(INDIRECT($AC25),INDIRECT($AD25),INDIRECT($AE25))</f>
        <v>5</v>
      </c>
      <c r="O25" s="223" t="n">
        <f aca="true">SUM(INDIRECT($AF25),INDIRECT($AG25),INDIRECT($AH25))</f>
        <v>3</v>
      </c>
      <c r="P25" s="22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223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224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191"/>
      <c r="T25" s="216" t="str">
        <f aca="false">IF(NOT(AND(ISNUMBER(C25),ISNUMBER(E25))),"XXX","")</f>
        <v/>
      </c>
      <c r="U25" s="217" t="n">
        <f aca="false">SUM(Y25,Z25,AA25)</f>
        <v>0</v>
      </c>
      <c r="V25" s="217"/>
      <c r="W25" s="217"/>
      <c r="X25" s="217"/>
      <c r="Y25" s="218" t="n">
        <f aca="false">IF(AND(ISNUMBER(RESULTADOS!C25),ISNUMBER(RESULTADOS!E25),ISNUMBER(C25),ISNUMBER(E25),C25=RESULTADOS!C25,E25=RESULTADOS!E25),2,0)</f>
        <v>0</v>
      </c>
      <c r="Z25" s="218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218" t="n">
        <f aca="false">IF(AND(ISNUMBER(RESULTADOS!C25),ISNUMBER(RESULTADOS!E25),ISNUMBER(C25),ISNUMBER(E25),AND(Z25=1,OR(C25=RESULTADOS!C25,E25=RESULTADOS!E25))),1,0)</f>
        <v>0</v>
      </c>
      <c r="AC25" s="189" t="s">
        <v>83</v>
      </c>
      <c r="AD25" s="189" t="s">
        <v>84</v>
      </c>
      <c r="AE25" s="189" t="s">
        <v>85</v>
      </c>
      <c r="AF25" s="189" t="str">
        <f aca="false">IF(ISNUMBER(FIND("C", AC25, 1)), SUBSTITUTE(AC25, "C", "E"), SUBSTITUTE(AC25, "E", "C"))</f>
        <v>C21</v>
      </c>
      <c r="AG25" s="189" t="str">
        <f aca="false">IF(ISNUMBER(FIND("C", AD25, 1)), SUBSTITUTE(AD25, "C", "E"), SUBSTITUTE(AD25, "E", "C"))</f>
        <v>C23</v>
      </c>
      <c r="AH25" s="189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225" t="s">
        <v>73</v>
      </c>
      <c r="C26" s="226" t="n">
        <v>1</v>
      </c>
      <c r="D26" s="223" t="s">
        <v>29</v>
      </c>
      <c r="E26" s="227" t="n">
        <v>3</v>
      </c>
      <c r="F26" s="233" t="s">
        <v>70</v>
      </c>
      <c r="G26" s="191"/>
      <c r="H26" s="229" t="n">
        <v>46197</v>
      </c>
      <c r="I26" s="230" t="n">
        <v>0.791666666666667</v>
      </c>
      <c r="J26" s="211"/>
      <c r="K26" s="231"/>
      <c r="S26" s="191"/>
      <c r="T26" s="216" t="str">
        <f aca="false">IF(NOT(AND(ISNUMBER(C26),ISNUMBER(E26))),"XXX","")</f>
        <v/>
      </c>
      <c r="U26" s="217" t="n">
        <f aca="false">SUM(Y26,Z26,AA26)</f>
        <v>0</v>
      </c>
      <c r="V26" s="217"/>
      <c r="W26" s="217"/>
      <c r="X26" s="217"/>
      <c r="Y26" s="218" t="n">
        <f aca="false">IF(AND(ISNUMBER(RESULTADOS!C26),ISNUMBER(RESULTADOS!E26),ISNUMBER(C26),ISNUMBER(E26),C26=RESULTADOS!C26,E26=RESULTADOS!E26),2,0)</f>
        <v>0</v>
      </c>
      <c r="Z26" s="218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218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231"/>
      <c r="C27" s="191"/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U27" s="191"/>
      <c r="V27" s="191"/>
      <c r="W27" s="191"/>
      <c r="X27" s="191"/>
      <c r="Y27" s="194"/>
      <c r="Z27" s="194"/>
      <c r="AA27" s="194"/>
    </row>
    <row r="28" customFormat="false" ht="13.5" hidden="false" customHeight="true" outlineLevel="0" collapsed="false">
      <c r="B28" s="200" t="s">
        <v>86</v>
      </c>
      <c r="C28" s="200"/>
      <c r="D28" s="200"/>
      <c r="E28" s="200"/>
      <c r="F28" s="200"/>
      <c r="G28" s="191"/>
      <c r="H28" s="201" t="s">
        <v>26</v>
      </c>
      <c r="I28" s="202" t="s">
        <v>27</v>
      </c>
      <c r="J28" s="203"/>
      <c r="K28" s="191"/>
      <c r="L28" s="191"/>
      <c r="M28" s="191"/>
      <c r="N28" s="191"/>
      <c r="O28" s="191"/>
      <c r="P28" s="191"/>
      <c r="Q28" s="191"/>
      <c r="R28" s="191"/>
      <c r="S28" s="191"/>
      <c r="U28" s="204"/>
      <c r="V28" s="204"/>
      <c r="W28" s="204"/>
      <c r="X28" s="204"/>
      <c r="Y28" s="218"/>
      <c r="Z28" s="218"/>
      <c r="AA28" s="218"/>
    </row>
    <row r="29" customFormat="false" ht="13.5" hidden="false" customHeight="true" outlineLevel="0" collapsed="false">
      <c r="B29" s="205" t="s">
        <v>87</v>
      </c>
      <c r="C29" s="206" t="n">
        <v>2</v>
      </c>
      <c r="D29" s="204" t="s">
        <v>29</v>
      </c>
      <c r="E29" s="207" t="n">
        <v>1</v>
      </c>
      <c r="F29" s="208" t="s">
        <v>88</v>
      </c>
      <c r="G29" s="191"/>
      <c r="H29" s="209" t="n">
        <v>46185</v>
      </c>
      <c r="I29" s="210" t="n">
        <v>0.916666666666667</v>
      </c>
      <c r="J29" s="211"/>
      <c r="K29" s="212"/>
      <c r="L29" s="213" t="s">
        <v>31</v>
      </c>
      <c r="M29" s="213" t="s">
        <v>32</v>
      </c>
      <c r="N29" s="213" t="s">
        <v>33</v>
      </c>
      <c r="O29" s="213" t="s">
        <v>34</v>
      </c>
      <c r="P29" s="213" t="s">
        <v>35</v>
      </c>
      <c r="Q29" s="213" t="s">
        <v>36</v>
      </c>
      <c r="R29" s="214" t="s">
        <v>37</v>
      </c>
      <c r="S29" s="215"/>
      <c r="T29" s="216" t="str">
        <f aca="false">IF(NOT(AND(ISNUMBER(C29),ISNUMBER(E29))),"XXX","")</f>
        <v/>
      </c>
      <c r="U29" s="217" t="n">
        <f aca="false">SUM(Y29,Z29,AA29)</f>
        <v>0</v>
      </c>
      <c r="V29" s="217"/>
      <c r="W29" s="217"/>
      <c r="X29" s="217"/>
      <c r="Y29" s="218" t="n">
        <f aca="false">IF(AND(ISNUMBER(RESULTADOS!C29),ISNUMBER(RESULTADOS!E29),ISNUMBER(C29),ISNUMBER(E29),C29=RESULTADOS!C29,E29=RESULTADOS!E29),2,0)</f>
        <v>0</v>
      </c>
      <c r="Z29" s="218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218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205" t="s">
        <v>89</v>
      </c>
      <c r="C30" s="206" t="n">
        <v>1</v>
      </c>
      <c r="D30" s="204" t="s">
        <v>29</v>
      </c>
      <c r="E30" s="207" t="n">
        <v>2</v>
      </c>
      <c r="F30" s="208" t="s">
        <v>90</v>
      </c>
      <c r="G30" s="191"/>
      <c r="H30" s="209" t="n">
        <v>46187</v>
      </c>
      <c r="I30" s="210" t="n">
        <v>0.0416666666666667</v>
      </c>
      <c r="J30" s="211"/>
      <c r="K30" s="220" t="s">
        <v>89</v>
      </c>
      <c r="L30" s="204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204" t="n">
        <f aca="false">N30-O30</f>
        <v>-3</v>
      </c>
      <c r="N30" s="204" t="n">
        <f aca="true">SUM(INDIRECT($AC30),INDIRECT($AD30),INDIRECT($AE30))</f>
        <v>2</v>
      </c>
      <c r="O30" s="204" t="n">
        <f aca="true">SUM(INDIRECT($AF30),INDIRECT($AG30),INDIRECT($AH30))</f>
        <v>5</v>
      </c>
      <c r="P30" s="204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204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221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15"/>
      <c r="T30" s="216" t="str">
        <f aca="false">IF(NOT(AND(ISNUMBER(C30),ISNUMBER(E30))),"XXX","")</f>
        <v/>
      </c>
      <c r="U30" s="217" t="n">
        <f aca="false">SUM(Y30,Z30,AA30)</f>
        <v>0</v>
      </c>
      <c r="V30" s="217"/>
      <c r="W30" s="217"/>
      <c r="X30" s="217"/>
      <c r="Y30" s="218" t="n">
        <f aca="false">IF(AND(ISNUMBER(RESULTADOS!C30),ISNUMBER(RESULTADOS!E30),ISNUMBER(C30),ISNUMBER(E30),C30=RESULTADOS!C30,E30=RESULTADOS!E30),2,0)</f>
        <v>0</v>
      </c>
      <c r="Z30" s="218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218" t="n">
        <f aca="false">IF(AND(ISNUMBER(RESULTADOS!C30),ISNUMBER(RESULTADOS!E30),ISNUMBER(C30),ISNUMBER(E30),AND(Z30=1,OR(C30=RESULTADOS!C30,E30=RESULTADOS!E30))),1,0)</f>
        <v>0</v>
      </c>
      <c r="AC30" s="189" t="s">
        <v>91</v>
      </c>
      <c r="AD30" s="189" t="s">
        <v>92</v>
      </c>
      <c r="AE30" s="189" t="s">
        <v>93</v>
      </c>
      <c r="AF30" s="189" t="str">
        <f aca="false">IF(ISNUMBER(FIND("C", AC30, 1)), SUBSTITUTE(AC30, "C", "E"), SUBSTITUTE(AC30, "E", "C"))</f>
        <v>E30</v>
      </c>
      <c r="AG30" s="189" t="str">
        <f aca="false">IF(ISNUMBER(FIND("C", AD30, 1)), SUBSTITUTE(AD30, "C", "E"), SUBSTITUTE(AD30, "E", "C"))</f>
        <v>C31</v>
      </c>
      <c r="AH30" s="189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205" t="s">
        <v>87</v>
      </c>
      <c r="C31" s="206" t="n">
        <v>2</v>
      </c>
      <c r="D31" s="204" t="s">
        <v>29</v>
      </c>
      <c r="E31" s="207" t="n">
        <v>0</v>
      </c>
      <c r="F31" s="208" t="s">
        <v>89</v>
      </c>
      <c r="G31" s="191"/>
      <c r="H31" s="209" t="n">
        <v>46192</v>
      </c>
      <c r="I31" s="210" t="n">
        <v>0.666666666666667</v>
      </c>
      <c r="J31" s="211"/>
      <c r="K31" s="220" t="s">
        <v>87</v>
      </c>
      <c r="L31" s="204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204" t="n">
        <f aca="false">N31-O31</f>
        <v>3</v>
      </c>
      <c r="N31" s="204" t="n">
        <f aca="true">SUM(INDIRECT($AC31),INDIRECT($AD31),INDIRECT($AE31))</f>
        <v>5</v>
      </c>
      <c r="O31" s="204" t="n">
        <f aca="true">SUM(INDIRECT($AF31),INDIRECT($AG31),INDIRECT($AH31))</f>
        <v>2</v>
      </c>
      <c r="P31" s="204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204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221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191"/>
      <c r="T31" s="216" t="str">
        <f aca="false">IF(NOT(AND(ISNUMBER(C31),ISNUMBER(E31))),"XXX","")</f>
        <v/>
      </c>
      <c r="U31" s="217" t="n">
        <f aca="false">SUM(Y31,Z31,AA31)</f>
        <v>0</v>
      </c>
      <c r="V31" s="217"/>
      <c r="W31" s="217"/>
      <c r="X31" s="217"/>
      <c r="Y31" s="218" t="n">
        <f aca="false">IF(AND(ISNUMBER(RESULTADOS!C31),ISNUMBER(RESULTADOS!E31),ISNUMBER(C31),ISNUMBER(E31),C31=RESULTADOS!C31,E31=RESULTADOS!E31),2,0)</f>
        <v>0</v>
      </c>
      <c r="Z31" s="218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218" t="n">
        <f aca="false">IF(AND(ISNUMBER(RESULTADOS!C31),ISNUMBER(RESULTADOS!E31),ISNUMBER(C31),ISNUMBER(E31),AND(Z31=1,OR(C31=RESULTADOS!C31,E31=RESULTADOS!E31))),1,0)</f>
        <v>0</v>
      </c>
      <c r="AC31" s="189" t="s">
        <v>94</v>
      </c>
      <c r="AD31" s="189" t="s">
        <v>95</v>
      </c>
      <c r="AE31" s="189" t="s">
        <v>96</v>
      </c>
      <c r="AF31" s="189" t="str">
        <f aca="false">IF(ISNUMBER(FIND("C", AC31, 1)), SUBSTITUTE(AC31, "C", "E"), SUBSTITUTE(AC31, "E", "C"))</f>
        <v>E29</v>
      </c>
      <c r="AG31" s="189" t="str">
        <f aca="false">IF(ISNUMBER(FIND("C", AD31, 1)), SUBSTITUTE(AD31, "C", "E"), SUBSTITUTE(AD31, "E", "C"))</f>
        <v>E31</v>
      </c>
      <c r="AH31" s="189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205" t="s">
        <v>90</v>
      </c>
      <c r="C32" s="206" t="n">
        <v>2</v>
      </c>
      <c r="D32" s="204" t="s">
        <v>29</v>
      </c>
      <c r="E32" s="207" t="n">
        <v>1</v>
      </c>
      <c r="F32" s="208" t="s">
        <v>88</v>
      </c>
      <c r="G32" s="191"/>
      <c r="H32" s="209" t="n">
        <v>46193</v>
      </c>
      <c r="I32" s="210" t="n">
        <v>0.0416666666666667</v>
      </c>
      <c r="J32" s="211"/>
      <c r="K32" s="220" t="s">
        <v>88</v>
      </c>
      <c r="L32" s="204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204" t="n">
        <f aca="false">N32-O32</f>
        <v>-2</v>
      </c>
      <c r="N32" s="204" t="n">
        <f aca="true">SUM(INDIRECT($AC32),INDIRECT($AD32),INDIRECT($AE32))</f>
        <v>3</v>
      </c>
      <c r="O32" s="204" t="n">
        <f aca="true">SUM(INDIRECT($AF32),INDIRECT($AG32),INDIRECT($AH32))</f>
        <v>5</v>
      </c>
      <c r="P32" s="204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204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221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191"/>
      <c r="T32" s="216" t="str">
        <f aca="false">IF(NOT(AND(ISNUMBER(C32),ISNUMBER(E32))),"XXX","")</f>
        <v/>
      </c>
      <c r="U32" s="217" t="n">
        <f aca="false">SUM(Y32,Z32,AA32)</f>
        <v>0</v>
      </c>
      <c r="V32" s="217"/>
      <c r="W32" s="217"/>
      <c r="X32" s="217"/>
      <c r="Y32" s="218" t="n">
        <f aca="false">IF(AND(ISNUMBER(RESULTADOS!C32),ISNUMBER(RESULTADOS!E32),ISNUMBER(C32),ISNUMBER(E32),C32=RESULTADOS!C32,E32=RESULTADOS!E32),2,0)</f>
        <v>0</v>
      </c>
      <c r="Z32" s="218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218" t="n">
        <f aca="false">IF(AND(ISNUMBER(RESULTADOS!C32),ISNUMBER(RESULTADOS!E32),ISNUMBER(C32),ISNUMBER(E32),AND(Z32=1,OR(C32=RESULTADOS!C32,E32=RESULTADOS!E32))),1,0)</f>
        <v>0</v>
      </c>
      <c r="AC32" s="189" t="s">
        <v>97</v>
      </c>
      <c r="AD32" s="189" t="s">
        <v>98</v>
      </c>
      <c r="AE32" s="189" t="s">
        <v>93</v>
      </c>
      <c r="AF32" s="189" t="str">
        <f aca="false">IF(ISNUMBER(FIND("C", AC32, 1)), SUBSTITUTE(AC32, "C", "E"), SUBSTITUTE(AC32, "E", "C"))</f>
        <v>C29</v>
      </c>
      <c r="AG32" s="189" t="str">
        <f aca="false">IF(ISNUMBER(FIND("C", AD32, 1)), SUBSTITUTE(AD32, "C", "E"), SUBSTITUTE(AD32, "E", "C"))</f>
        <v>C32</v>
      </c>
      <c r="AH32" s="189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205" t="s">
        <v>90</v>
      </c>
      <c r="C33" s="206" t="n">
        <v>1</v>
      </c>
      <c r="D33" s="204" t="s">
        <v>29</v>
      </c>
      <c r="E33" s="207" t="n">
        <v>1</v>
      </c>
      <c r="F33" s="208" t="s">
        <v>87</v>
      </c>
      <c r="G33" s="191"/>
      <c r="H33" s="209" t="n">
        <v>46198</v>
      </c>
      <c r="I33" s="210" t="n">
        <v>0.958333333333333</v>
      </c>
      <c r="J33" s="211"/>
      <c r="K33" s="222" t="s">
        <v>90</v>
      </c>
      <c r="L33" s="22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223" t="n">
        <f aca="false">N33-O33</f>
        <v>2</v>
      </c>
      <c r="N33" s="223" t="n">
        <f aca="true">SUM(INDIRECT($AC33),INDIRECT($AD33),INDIRECT($AE33))</f>
        <v>5</v>
      </c>
      <c r="O33" s="223" t="n">
        <f aca="true">SUM(INDIRECT($AF33),INDIRECT($AG33),INDIRECT($AH33))</f>
        <v>3</v>
      </c>
      <c r="P33" s="223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223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22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191"/>
      <c r="T33" s="216" t="str">
        <f aca="false">IF(NOT(AND(ISNUMBER(C33),ISNUMBER(E33))),"XXX","")</f>
        <v/>
      </c>
      <c r="U33" s="217" t="n">
        <f aca="false">SUM(Y33,Z33,AA33)</f>
        <v>0</v>
      </c>
      <c r="V33" s="217"/>
      <c r="W33" s="217"/>
      <c r="X33" s="217"/>
      <c r="Y33" s="218" t="n">
        <f aca="false">IF(AND(ISNUMBER(RESULTADOS!C33),ISNUMBER(RESULTADOS!E33),ISNUMBER(C33),ISNUMBER(E33),C33=RESULTADOS!C33,E33=RESULTADOS!E33),2,0)</f>
        <v>0</v>
      </c>
      <c r="Z33" s="218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218" t="n">
        <f aca="false">IF(AND(ISNUMBER(RESULTADOS!C33),ISNUMBER(RESULTADOS!E33),ISNUMBER(C33),ISNUMBER(E33),AND(Z33=1,OR(C33=RESULTADOS!C33,E33=RESULTADOS!E33))),1,0)</f>
        <v>0</v>
      </c>
      <c r="AC33" s="189" t="s">
        <v>99</v>
      </c>
      <c r="AD33" s="189" t="s">
        <v>100</v>
      </c>
      <c r="AE33" s="189" t="s">
        <v>101</v>
      </c>
      <c r="AF33" s="189" t="str">
        <f aca="false">IF(ISNUMBER(FIND("C", AC33, 1)), SUBSTITUTE(AC33, "C", "E"), SUBSTITUTE(AC33, "E", "C"))</f>
        <v>C30</v>
      </c>
      <c r="AG33" s="189" t="str">
        <f aca="false">IF(ISNUMBER(FIND("C", AD33, 1)), SUBSTITUTE(AD33, "C", "E"), SUBSTITUTE(AD33, "E", "C"))</f>
        <v>E32</v>
      </c>
      <c r="AH33" s="189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225" t="s">
        <v>88</v>
      </c>
      <c r="C34" s="226" t="n">
        <v>1</v>
      </c>
      <c r="D34" s="223" t="s">
        <v>29</v>
      </c>
      <c r="E34" s="227" t="n">
        <v>1</v>
      </c>
      <c r="F34" s="233" t="s">
        <v>89</v>
      </c>
      <c r="G34" s="191"/>
      <c r="H34" s="229" t="n">
        <v>46198</v>
      </c>
      <c r="I34" s="230" t="n">
        <v>0.958333333333333</v>
      </c>
      <c r="J34" s="211"/>
      <c r="K34" s="231"/>
      <c r="S34" s="191"/>
      <c r="T34" s="216" t="str">
        <f aca="false">IF(NOT(AND(ISNUMBER(C34),ISNUMBER(E34))),"XXX","")</f>
        <v/>
      </c>
      <c r="U34" s="217" t="n">
        <f aca="false">SUM(Y34,Z34,AA34)</f>
        <v>0</v>
      </c>
      <c r="V34" s="217"/>
      <c r="W34" s="217"/>
      <c r="X34" s="217"/>
      <c r="Y34" s="218" t="n">
        <f aca="false">IF(AND(ISNUMBER(RESULTADOS!C34),ISNUMBER(RESULTADOS!E34),ISNUMBER(C34),ISNUMBER(E34),C34=RESULTADOS!C34,E34=RESULTADOS!E34),2,0)</f>
        <v>0</v>
      </c>
      <c r="Z34" s="218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218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23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U35" s="191"/>
      <c r="V35" s="191"/>
      <c r="W35" s="191"/>
      <c r="X35" s="191"/>
      <c r="Y35" s="194"/>
      <c r="Z35" s="194"/>
      <c r="AA35" s="194"/>
    </row>
    <row r="36" customFormat="false" ht="13.5" hidden="false" customHeight="true" outlineLevel="0" collapsed="false">
      <c r="B36" s="200" t="s">
        <v>102</v>
      </c>
      <c r="C36" s="200"/>
      <c r="D36" s="200"/>
      <c r="E36" s="200"/>
      <c r="F36" s="200"/>
      <c r="G36" s="191"/>
      <c r="H36" s="201" t="s">
        <v>26</v>
      </c>
      <c r="I36" s="202" t="s">
        <v>27</v>
      </c>
      <c r="J36" s="203"/>
      <c r="K36" s="191"/>
      <c r="L36" s="191"/>
      <c r="M36" s="191"/>
      <c r="N36" s="191"/>
      <c r="O36" s="191"/>
      <c r="P36" s="191"/>
      <c r="Q36" s="191"/>
      <c r="R36" s="191"/>
      <c r="S36" s="191"/>
      <c r="U36" s="204"/>
      <c r="V36" s="204"/>
      <c r="W36" s="204"/>
      <c r="X36" s="204"/>
      <c r="Y36" s="218"/>
      <c r="Z36" s="218"/>
      <c r="AA36" s="218"/>
    </row>
    <row r="37" customFormat="false" ht="13.5" hidden="false" customHeight="true" outlineLevel="0" collapsed="false">
      <c r="B37" s="205" t="s">
        <v>103</v>
      </c>
      <c r="C37" s="206" t="n">
        <v>3</v>
      </c>
      <c r="D37" s="204" t="s">
        <v>29</v>
      </c>
      <c r="E37" s="207" t="n">
        <v>0</v>
      </c>
      <c r="F37" s="219" t="s">
        <v>104</v>
      </c>
      <c r="G37" s="191"/>
      <c r="H37" s="209" t="n">
        <v>46187</v>
      </c>
      <c r="I37" s="210" t="n">
        <v>0.583333333333333</v>
      </c>
      <c r="J37" s="211"/>
      <c r="K37" s="212"/>
      <c r="L37" s="213" t="s">
        <v>31</v>
      </c>
      <c r="M37" s="213" t="s">
        <v>32</v>
      </c>
      <c r="N37" s="213" t="s">
        <v>33</v>
      </c>
      <c r="O37" s="213" t="s">
        <v>34</v>
      </c>
      <c r="P37" s="213" t="s">
        <v>35</v>
      </c>
      <c r="Q37" s="213" t="s">
        <v>36</v>
      </c>
      <c r="R37" s="214" t="s">
        <v>37</v>
      </c>
      <c r="S37" s="215"/>
      <c r="T37" s="216" t="str">
        <f aca="false">IF(NOT(AND(ISNUMBER(C37),ISNUMBER(E37))),"XXX","")</f>
        <v/>
      </c>
      <c r="U37" s="217" t="n">
        <f aca="false">SUM(Y37,Z37,AA37)</f>
        <v>0</v>
      </c>
      <c r="V37" s="217"/>
      <c r="W37" s="217"/>
      <c r="X37" s="217"/>
      <c r="Y37" s="218" t="n">
        <f aca="false">IF(AND(ISNUMBER(RESULTADOS!C37),ISNUMBER(RESULTADOS!E37),ISNUMBER(C37),ISNUMBER(E37),C37=RESULTADOS!C37,E37=RESULTADOS!E37),2,0)</f>
        <v>0</v>
      </c>
      <c r="Z37" s="218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218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205" t="s">
        <v>105</v>
      </c>
      <c r="C38" s="206" t="n">
        <v>1</v>
      </c>
      <c r="D38" s="204" t="s">
        <v>29</v>
      </c>
      <c r="E38" s="207" t="n">
        <v>1</v>
      </c>
      <c r="F38" s="219" t="s">
        <v>106</v>
      </c>
      <c r="G38" s="191"/>
      <c r="H38" s="209" t="n">
        <v>46187</v>
      </c>
      <c r="I38" s="210" t="n">
        <v>0.833333333333333</v>
      </c>
      <c r="J38" s="211"/>
      <c r="K38" s="234" t="s">
        <v>103</v>
      </c>
      <c r="L38" s="204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204" t="n">
        <f aca="false">N38-O38</f>
        <v>6</v>
      </c>
      <c r="N38" s="204" t="n">
        <f aca="true">SUM(INDIRECT($AC38),INDIRECT($AD38),INDIRECT($AE38))</f>
        <v>7</v>
      </c>
      <c r="O38" s="204" t="n">
        <f aca="true">SUM(INDIRECT($AF38),INDIRECT($AG38),INDIRECT($AH38))</f>
        <v>1</v>
      </c>
      <c r="P38" s="204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204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221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15"/>
      <c r="T38" s="216" t="str">
        <f aca="false">IF(NOT(AND(ISNUMBER(C38),ISNUMBER(E38))),"XXX","")</f>
        <v/>
      </c>
      <c r="U38" s="217" t="n">
        <f aca="false">SUM(Y38,Z38,AA38)</f>
        <v>0</v>
      </c>
      <c r="V38" s="217"/>
      <c r="W38" s="217"/>
      <c r="X38" s="217"/>
      <c r="Y38" s="218" t="n">
        <f aca="false">IF(AND(ISNUMBER(RESULTADOS!C38),ISNUMBER(RESULTADOS!E38),ISNUMBER(C38),ISNUMBER(E38),C38=RESULTADOS!C38,E38=RESULTADOS!E38),2,0)</f>
        <v>0</v>
      </c>
      <c r="Z38" s="218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218" t="n">
        <f aca="false">IF(AND(ISNUMBER(RESULTADOS!C38),ISNUMBER(RESULTADOS!E38),ISNUMBER(C38),ISNUMBER(E38),AND(Z38=1,OR(C38=RESULTADOS!C38,E38=RESULTADOS!E38))),1,0)</f>
        <v>0</v>
      </c>
      <c r="AC38" s="189" t="s">
        <v>107</v>
      </c>
      <c r="AD38" s="189" t="s">
        <v>108</v>
      </c>
      <c r="AE38" s="189" t="s">
        <v>109</v>
      </c>
      <c r="AF38" s="189" t="str">
        <f aca="false">IF(ISNUMBER(FIND("C", AC38, 1)), SUBSTITUTE(AC38, "C", "E"), SUBSTITUTE(AC38, "E", "C"))</f>
        <v>E37</v>
      </c>
      <c r="AG38" s="189" t="str">
        <f aca="false">IF(ISNUMBER(FIND("C", AD38, 1)), SUBSTITUTE(AD38, "C", "E"), SUBSTITUTE(AD38, "E", "C"))</f>
        <v>E39</v>
      </c>
      <c r="AH38" s="189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205" t="s">
        <v>103</v>
      </c>
      <c r="C39" s="206" t="n">
        <v>2</v>
      </c>
      <c r="D39" s="204" t="s">
        <v>29</v>
      </c>
      <c r="E39" s="207" t="n">
        <v>1</v>
      </c>
      <c r="F39" s="219" t="s">
        <v>105</v>
      </c>
      <c r="G39" s="191"/>
      <c r="H39" s="209" t="n">
        <v>46193</v>
      </c>
      <c r="I39" s="210" t="n">
        <v>0.708333333333333</v>
      </c>
      <c r="J39" s="211"/>
      <c r="K39" s="234" t="s">
        <v>105</v>
      </c>
      <c r="L39" s="204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204" t="n">
        <f aca="false">N39-O39</f>
        <v>1</v>
      </c>
      <c r="N39" s="204" t="n">
        <f aca="true">SUM(INDIRECT($AC39),INDIRECT($AD39),INDIRECT($AE39))</f>
        <v>4</v>
      </c>
      <c r="O39" s="204" t="n">
        <f aca="true">SUM(INDIRECT($AF39),INDIRECT($AG39),INDIRECT($AH39))</f>
        <v>3</v>
      </c>
      <c r="P39" s="204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204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221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191"/>
      <c r="T39" s="216" t="str">
        <f aca="false">IF(NOT(AND(ISNUMBER(C39),ISNUMBER(E39))),"XXX","")</f>
        <v/>
      </c>
      <c r="U39" s="217" t="n">
        <f aca="false">SUM(Y39,Z39,AA39)</f>
        <v>0</v>
      </c>
      <c r="V39" s="217"/>
      <c r="W39" s="217"/>
      <c r="X39" s="217"/>
      <c r="Y39" s="218" t="n">
        <f aca="false">IF(AND(ISNUMBER(RESULTADOS!C39),ISNUMBER(RESULTADOS!E39),ISNUMBER(C39),ISNUMBER(E39),C39=RESULTADOS!C39,E39=RESULTADOS!E39),2,0)</f>
        <v>0</v>
      </c>
      <c r="Z39" s="218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218" t="n">
        <f aca="false">IF(AND(ISNUMBER(RESULTADOS!C39),ISNUMBER(RESULTADOS!E39),ISNUMBER(C39),ISNUMBER(E39),AND(Z39=1,OR(C39=RESULTADOS!C39,E39=RESULTADOS!E39))),1,0)</f>
        <v>0</v>
      </c>
      <c r="AC39" s="189" t="s">
        <v>110</v>
      </c>
      <c r="AD39" s="189" t="s">
        <v>111</v>
      </c>
      <c r="AE39" s="189" t="s">
        <v>112</v>
      </c>
      <c r="AF39" s="189" t="str">
        <f aca="false">IF(ISNUMBER(FIND("C", AC39, 1)), SUBSTITUTE(AC39, "C", "E"), SUBSTITUTE(AC39, "E", "C"))</f>
        <v>E38</v>
      </c>
      <c r="AG39" s="189" t="str">
        <f aca="false">IF(ISNUMBER(FIND("C", AD39, 1)), SUBSTITUTE(AD39, "C", "E"), SUBSTITUTE(AD39, "E", "C"))</f>
        <v>C39</v>
      </c>
      <c r="AH39" s="189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205" t="s">
        <v>106</v>
      </c>
      <c r="C40" s="206" t="n">
        <v>1</v>
      </c>
      <c r="D40" s="204" t="s">
        <v>29</v>
      </c>
      <c r="E40" s="207" t="n">
        <v>0</v>
      </c>
      <c r="F40" s="219" t="s">
        <v>104</v>
      </c>
      <c r="G40" s="191"/>
      <c r="H40" s="209" t="n">
        <v>46193</v>
      </c>
      <c r="I40" s="210" t="n">
        <v>0.875</v>
      </c>
      <c r="J40" s="211"/>
      <c r="K40" s="234" t="s">
        <v>104</v>
      </c>
      <c r="L40" s="204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204" t="n">
        <f aca="false">N40-O40</f>
        <v>-6</v>
      </c>
      <c r="N40" s="204" t="n">
        <f aca="true">SUM(INDIRECT($AC40),INDIRECT($AD40),INDIRECT($AE40))</f>
        <v>0</v>
      </c>
      <c r="O40" s="204" t="n">
        <f aca="true">SUM(INDIRECT($AF40),INDIRECT($AG40),INDIRECT($AH40))</f>
        <v>6</v>
      </c>
      <c r="P40" s="204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204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221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191"/>
      <c r="T40" s="216" t="str">
        <f aca="false">IF(NOT(AND(ISNUMBER(C40),ISNUMBER(E40))),"XXX","")</f>
        <v/>
      </c>
      <c r="U40" s="217" t="n">
        <f aca="false">SUM(Y40,Z40,AA40)</f>
        <v>0</v>
      </c>
      <c r="V40" s="217"/>
      <c r="W40" s="217"/>
      <c r="X40" s="217"/>
      <c r="Y40" s="218" t="n">
        <f aca="false">IF(AND(ISNUMBER(RESULTADOS!C40),ISNUMBER(RESULTADOS!E40),ISNUMBER(C40),ISNUMBER(E40),C40=RESULTADOS!C40,E40=RESULTADOS!E40),2,0)</f>
        <v>0</v>
      </c>
      <c r="Z40" s="218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218" t="n">
        <f aca="false">IF(AND(ISNUMBER(RESULTADOS!C40),ISNUMBER(RESULTADOS!E40),ISNUMBER(C40),ISNUMBER(E40),AND(Z40=1,OR(C40=RESULTADOS!C40,E40=RESULTADOS!E40))),1,0)</f>
        <v>0</v>
      </c>
      <c r="AC40" s="189" t="s">
        <v>113</v>
      </c>
      <c r="AD40" s="189" t="s">
        <v>114</v>
      </c>
      <c r="AE40" s="189" t="s">
        <v>115</v>
      </c>
      <c r="AF40" s="189" t="str">
        <f aca="false">IF(ISNUMBER(FIND("C", AC40, 1)), SUBSTITUTE(AC40, "C", "E"), SUBSTITUTE(AC40, "E", "C"))</f>
        <v>C37</v>
      </c>
      <c r="AG40" s="189" t="str">
        <f aca="false">IF(ISNUMBER(FIND("C", AD40, 1)), SUBSTITUTE(AD40, "C", "E"), SUBSTITUTE(AD40, "E", "C"))</f>
        <v>C40</v>
      </c>
      <c r="AH40" s="189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205" t="s">
        <v>106</v>
      </c>
      <c r="C41" s="206" t="n">
        <v>0</v>
      </c>
      <c r="D41" s="204" t="s">
        <v>29</v>
      </c>
      <c r="E41" s="207" t="n">
        <v>2</v>
      </c>
      <c r="F41" s="219" t="s">
        <v>103</v>
      </c>
      <c r="G41" s="191"/>
      <c r="H41" s="209" t="n">
        <v>46198</v>
      </c>
      <c r="I41" s="210" t="n">
        <v>0.708333333333333</v>
      </c>
      <c r="J41" s="211"/>
      <c r="K41" s="235" t="s">
        <v>106</v>
      </c>
      <c r="L41" s="22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223" t="n">
        <f aca="false">N41-O41</f>
        <v>-1</v>
      </c>
      <c r="N41" s="223" t="n">
        <f aca="true">SUM(INDIRECT($AC41),INDIRECT($AD41),INDIRECT($AE41))</f>
        <v>2</v>
      </c>
      <c r="O41" s="223" t="n">
        <f aca="true">SUM(INDIRECT($AF41),INDIRECT($AG41),INDIRECT($AH41))</f>
        <v>3</v>
      </c>
      <c r="P41" s="22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223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224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191"/>
      <c r="T41" s="216" t="str">
        <f aca="false">IF(NOT(AND(ISNUMBER(C41),ISNUMBER(E41))),"XXX","")</f>
        <v/>
      </c>
      <c r="U41" s="217" t="n">
        <f aca="false">SUM(Y41,Z41,AA41)</f>
        <v>0</v>
      </c>
      <c r="V41" s="217"/>
      <c r="W41" s="217"/>
      <c r="X41" s="217"/>
      <c r="Y41" s="218" t="n">
        <f aca="false">IF(AND(ISNUMBER(RESULTADOS!C41),ISNUMBER(RESULTADOS!E41),ISNUMBER(C41),ISNUMBER(E41),C41=RESULTADOS!C41,E41=RESULTADOS!E41),2,0)</f>
        <v>0</v>
      </c>
      <c r="Z41" s="218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218" t="n">
        <f aca="false">IF(AND(ISNUMBER(RESULTADOS!C41),ISNUMBER(RESULTADOS!E41),ISNUMBER(C41),ISNUMBER(E41),AND(Z41=1,OR(C41=RESULTADOS!C41,E41=RESULTADOS!E41))),1,0)</f>
        <v>0</v>
      </c>
      <c r="AC41" s="189" t="s">
        <v>116</v>
      </c>
      <c r="AD41" s="189" t="s">
        <v>117</v>
      </c>
      <c r="AE41" s="189" t="s">
        <v>118</v>
      </c>
      <c r="AF41" s="189" t="str">
        <f aca="false">IF(ISNUMBER(FIND("C", AC41, 1)), SUBSTITUTE(AC41, "C", "E"), SUBSTITUTE(AC41, "E", "C"))</f>
        <v>C38</v>
      </c>
      <c r="AG41" s="189" t="str">
        <f aca="false">IF(ISNUMBER(FIND("C", AD41, 1)), SUBSTITUTE(AD41, "C", "E"), SUBSTITUTE(AD41, "E", "C"))</f>
        <v>E40</v>
      </c>
      <c r="AH41" s="189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225" t="s">
        <v>104</v>
      </c>
      <c r="C42" s="226" t="n">
        <v>0</v>
      </c>
      <c r="D42" s="223" t="s">
        <v>29</v>
      </c>
      <c r="E42" s="227" t="n">
        <v>2</v>
      </c>
      <c r="F42" s="228" t="s">
        <v>105</v>
      </c>
      <c r="G42" s="191"/>
      <c r="H42" s="229" t="n">
        <v>46198</v>
      </c>
      <c r="I42" s="230" t="n">
        <v>0.708333333333333</v>
      </c>
      <c r="J42" s="211"/>
      <c r="K42" s="231"/>
      <c r="S42" s="191"/>
      <c r="T42" s="216" t="str">
        <f aca="false">IF(NOT(AND(ISNUMBER(C42),ISNUMBER(E42))),"XXX","")</f>
        <v/>
      </c>
      <c r="U42" s="217" t="n">
        <f aca="false">SUM(Y42,Z42,AA42)</f>
        <v>0</v>
      </c>
      <c r="V42" s="217"/>
      <c r="W42" s="217"/>
      <c r="X42" s="217"/>
      <c r="Y42" s="218" t="n">
        <f aca="false">IF(AND(ISNUMBER(RESULTADOS!C42),ISNUMBER(RESULTADOS!E42),ISNUMBER(C42),ISNUMBER(E42),C42=RESULTADOS!C42,E42=RESULTADOS!E42),2,0)</f>
        <v>0</v>
      </c>
      <c r="Z42" s="218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218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231"/>
      <c r="C43" s="191"/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U43" s="191"/>
      <c r="V43" s="191"/>
      <c r="W43" s="191"/>
      <c r="X43" s="191"/>
      <c r="Y43" s="194"/>
      <c r="Z43" s="194"/>
      <c r="AA43" s="194"/>
    </row>
    <row r="44" customFormat="false" ht="13.5" hidden="false" customHeight="true" outlineLevel="0" collapsed="false">
      <c r="B44" s="200" t="s">
        <v>119</v>
      </c>
      <c r="C44" s="200"/>
      <c r="D44" s="200"/>
      <c r="E44" s="200"/>
      <c r="F44" s="200"/>
      <c r="G44" s="191"/>
      <c r="H44" s="201" t="s">
        <v>26</v>
      </c>
      <c r="I44" s="202" t="s">
        <v>27</v>
      </c>
      <c r="J44" s="203"/>
      <c r="K44" s="191"/>
      <c r="L44" s="191"/>
      <c r="M44" s="191"/>
      <c r="N44" s="191"/>
      <c r="O44" s="191"/>
      <c r="P44" s="191"/>
      <c r="Q44" s="191"/>
      <c r="R44" s="191"/>
      <c r="S44" s="191"/>
      <c r="U44" s="204"/>
      <c r="V44" s="204"/>
      <c r="W44" s="204"/>
      <c r="X44" s="204"/>
      <c r="Y44" s="218"/>
      <c r="Z44" s="218"/>
      <c r="AA44" s="218"/>
    </row>
    <row r="45" customFormat="false" ht="13.5" hidden="false" customHeight="true" outlineLevel="0" collapsed="false">
      <c r="B45" s="205" t="s">
        <v>120</v>
      </c>
      <c r="C45" s="206" t="n">
        <v>2</v>
      </c>
      <c r="D45" s="204" t="s">
        <v>29</v>
      </c>
      <c r="E45" s="207" t="n">
        <v>1</v>
      </c>
      <c r="F45" s="219" t="s">
        <v>121</v>
      </c>
      <c r="G45" s="191"/>
      <c r="H45" s="209" t="n">
        <v>46187</v>
      </c>
      <c r="I45" s="210" t="n">
        <v>0.708333333333333</v>
      </c>
      <c r="J45" s="211"/>
      <c r="K45" s="212"/>
      <c r="L45" s="213" t="s">
        <v>31</v>
      </c>
      <c r="M45" s="213" t="s">
        <v>32</v>
      </c>
      <c r="N45" s="213" t="s">
        <v>33</v>
      </c>
      <c r="O45" s="213" t="s">
        <v>34</v>
      </c>
      <c r="P45" s="213" t="s">
        <v>35</v>
      </c>
      <c r="Q45" s="213" t="s">
        <v>36</v>
      </c>
      <c r="R45" s="214" t="s">
        <v>37</v>
      </c>
      <c r="S45" s="215"/>
      <c r="T45" s="216" t="str">
        <f aca="false">IF(NOT(AND(ISNUMBER(C45),ISNUMBER(E45))),"XXX","")</f>
        <v/>
      </c>
      <c r="U45" s="217" t="n">
        <f aca="false">SUM(Y45,Z45,AA45)</f>
        <v>0</v>
      </c>
      <c r="V45" s="217"/>
      <c r="W45" s="217"/>
      <c r="X45" s="217"/>
      <c r="Y45" s="218" t="n">
        <f aca="false">IF(AND(ISNUMBER(RESULTADOS!C45),ISNUMBER(RESULTADOS!E45),ISNUMBER(C45),ISNUMBER(E45),C45=RESULTADOS!C45,E45=RESULTADOS!E45),2,0)</f>
        <v>0</v>
      </c>
      <c r="Z45" s="218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218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205" t="s">
        <v>122</v>
      </c>
      <c r="C46" s="206" t="n">
        <v>2</v>
      </c>
      <c r="D46" s="204" t="s">
        <v>29</v>
      </c>
      <c r="E46" s="207" t="n">
        <v>0</v>
      </c>
      <c r="F46" s="219" t="s">
        <v>123</v>
      </c>
      <c r="G46" s="191"/>
      <c r="H46" s="209" t="n">
        <v>46187</v>
      </c>
      <c r="I46" s="210" t="n">
        <v>0.958333333333333</v>
      </c>
      <c r="J46" s="211"/>
      <c r="K46" s="234" t="s">
        <v>120</v>
      </c>
      <c r="L46" s="204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204" t="n">
        <f aca="false">N46-O46</f>
        <v>3</v>
      </c>
      <c r="N46" s="204" t="n">
        <f aca="true">SUM(INDIRECT($AC46),INDIRECT($AD46),INDIRECT($AE46))</f>
        <v>5</v>
      </c>
      <c r="O46" s="204" t="n">
        <f aca="true">SUM(INDIRECT($AF46),INDIRECT($AG46),INDIRECT($AH46))</f>
        <v>2</v>
      </c>
      <c r="P46" s="204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204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221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15"/>
      <c r="T46" s="216" t="str">
        <f aca="false">IF(NOT(AND(ISNUMBER(C46),ISNUMBER(E46))),"XXX","")</f>
        <v/>
      </c>
      <c r="U46" s="217" t="n">
        <f aca="false">SUM(Y46,Z46,AA46)</f>
        <v>0</v>
      </c>
      <c r="V46" s="217"/>
      <c r="W46" s="217"/>
      <c r="X46" s="217"/>
      <c r="Y46" s="218" t="n">
        <f aca="false">IF(AND(ISNUMBER(RESULTADOS!C46),ISNUMBER(RESULTADOS!E46),ISNUMBER(C46),ISNUMBER(E46),C46=RESULTADOS!C46,E46=RESULTADOS!E46),2,0)</f>
        <v>0</v>
      </c>
      <c r="Z46" s="218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218" t="n">
        <f aca="false">IF(AND(ISNUMBER(RESULTADOS!C46),ISNUMBER(RESULTADOS!E46),ISNUMBER(C46),ISNUMBER(E46),AND(Z46=1,OR(C46=RESULTADOS!C46,E46=RESULTADOS!E46))),1,0)</f>
        <v>0</v>
      </c>
      <c r="AC46" s="189" t="s">
        <v>124</v>
      </c>
      <c r="AD46" s="189" t="s">
        <v>125</v>
      </c>
      <c r="AE46" s="189" t="s">
        <v>126</v>
      </c>
      <c r="AF46" s="189" t="str">
        <f aca="false">IF(ISNUMBER(FIND("C", AC46, 1)), SUBSTITUTE(AC46, "C", "E"), SUBSTITUTE(AC46, "E", "C"))</f>
        <v>E45</v>
      </c>
      <c r="AG46" s="189" t="str">
        <f aca="false">IF(ISNUMBER(FIND("C", AD46, 1)), SUBSTITUTE(AD46, "C", "E"), SUBSTITUTE(AD46, "E", "C"))</f>
        <v>E47</v>
      </c>
      <c r="AH46" s="189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205" t="s">
        <v>120</v>
      </c>
      <c r="C47" s="206" t="n">
        <v>1</v>
      </c>
      <c r="D47" s="204" t="s">
        <v>29</v>
      </c>
      <c r="E47" s="207" t="n">
        <v>1</v>
      </c>
      <c r="F47" s="219" t="s">
        <v>122</v>
      </c>
      <c r="G47" s="191"/>
      <c r="H47" s="209" t="n">
        <v>46193</v>
      </c>
      <c r="I47" s="210" t="n">
        <v>0.583333333333333</v>
      </c>
      <c r="J47" s="211"/>
      <c r="K47" s="234" t="s">
        <v>121</v>
      </c>
      <c r="L47" s="204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204" t="n">
        <f aca="false">N47-O47</f>
        <v>1</v>
      </c>
      <c r="N47" s="204" t="n">
        <f aca="true">SUM(INDIRECT($AC47),INDIRECT($AD47),INDIRECT($AE47))</f>
        <v>4</v>
      </c>
      <c r="O47" s="204" t="n">
        <f aca="true">SUM(INDIRECT($AF47),INDIRECT($AG47),INDIRECT($AH47))</f>
        <v>3</v>
      </c>
      <c r="P47" s="204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204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221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191"/>
      <c r="T47" s="216" t="str">
        <f aca="false">IF(NOT(AND(ISNUMBER(C47),ISNUMBER(E47))),"XXX","")</f>
        <v/>
      </c>
      <c r="U47" s="217" t="n">
        <f aca="false">SUM(Y47,Z47,AA47)</f>
        <v>0</v>
      </c>
      <c r="V47" s="217"/>
      <c r="W47" s="217"/>
      <c r="X47" s="217"/>
      <c r="Y47" s="218" t="n">
        <f aca="false">IF(AND(ISNUMBER(RESULTADOS!C47),ISNUMBER(RESULTADOS!E47),ISNUMBER(C47),ISNUMBER(E47),C47=RESULTADOS!C47,E47=RESULTADOS!E47),2,0)</f>
        <v>0</v>
      </c>
      <c r="Z47" s="218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218" t="n">
        <f aca="false">IF(AND(ISNUMBER(RESULTADOS!C47),ISNUMBER(RESULTADOS!E47),ISNUMBER(C47),ISNUMBER(E47),AND(Z47=1,OR(C47=RESULTADOS!C47,E47=RESULTADOS!E47))),1,0)</f>
        <v>0</v>
      </c>
      <c r="AC47" s="189" t="s">
        <v>127</v>
      </c>
      <c r="AD47" s="189" t="s">
        <v>128</v>
      </c>
      <c r="AE47" s="189" t="s">
        <v>129</v>
      </c>
      <c r="AF47" s="189" t="str">
        <f aca="false">IF(ISNUMBER(FIND("C", AC47, 1)), SUBSTITUTE(AC47, "C", "E"), SUBSTITUTE(AC47, "E", "C"))</f>
        <v>C45</v>
      </c>
      <c r="AG47" s="189" t="str">
        <f aca="false">IF(ISNUMBER(FIND("C", AD47, 1)), SUBSTITUTE(AD47, "C", "E"), SUBSTITUTE(AD47, "E", "C"))</f>
        <v>C48</v>
      </c>
      <c r="AH47" s="189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205" t="s">
        <v>123</v>
      </c>
      <c r="C48" s="206" t="n">
        <v>0</v>
      </c>
      <c r="D48" s="204" t="s">
        <v>29</v>
      </c>
      <c r="E48" s="207" t="n">
        <v>2</v>
      </c>
      <c r="F48" s="219" t="s">
        <v>121</v>
      </c>
      <c r="G48" s="191"/>
      <c r="H48" s="209" t="n">
        <v>46194</v>
      </c>
      <c r="I48" s="210" t="n">
        <v>0.0416666666666667</v>
      </c>
      <c r="J48" s="211"/>
      <c r="K48" s="234" t="s">
        <v>122</v>
      </c>
      <c r="L48" s="204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204" t="n">
        <f aca="false">N48-O48</f>
        <v>2</v>
      </c>
      <c r="N48" s="204" t="n">
        <f aca="true">SUM(INDIRECT($AC48),INDIRECT($AD48),INDIRECT($AE48))</f>
        <v>4</v>
      </c>
      <c r="O48" s="204" t="n">
        <f aca="true">SUM(INDIRECT($AF48),INDIRECT($AG48),INDIRECT($AH48))</f>
        <v>2</v>
      </c>
      <c r="P48" s="204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204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221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191"/>
      <c r="T48" s="216" t="str">
        <f aca="false">IF(NOT(AND(ISNUMBER(C48),ISNUMBER(E48))),"XXX","")</f>
        <v/>
      </c>
      <c r="U48" s="217" t="n">
        <f aca="false">SUM(Y48,Z48,AA48)</f>
        <v>0</v>
      </c>
      <c r="V48" s="217"/>
      <c r="W48" s="217"/>
      <c r="X48" s="217"/>
      <c r="Y48" s="218" t="n">
        <f aca="false">IF(AND(ISNUMBER(RESULTADOS!C48),ISNUMBER(RESULTADOS!E48),ISNUMBER(C48),ISNUMBER(E48),C48=RESULTADOS!C48,E48=RESULTADOS!E48),2,0)</f>
        <v>0</v>
      </c>
      <c r="Z48" s="218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218" t="n">
        <f aca="false">IF(AND(ISNUMBER(RESULTADOS!C48),ISNUMBER(RESULTADOS!E48),ISNUMBER(C48),ISNUMBER(E48),AND(Z48=1,OR(C48=RESULTADOS!C48,E48=RESULTADOS!E48))),1,0)</f>
        <v>0</v>
      </c>
      <c r="AC48" s="189" t="s">
        <v>130</v>
      </c>
      <c r="AD48" s="189" t="s">
        <v>131</v>
      </c>
      <c r="AE48" s="189" t="s">
        <v>132</v>
      </c>
      <c r="AF48" s="189" t="str">
        <f aca="false">IF(ISNUMBER(FIND("C", AC48, 1)), SUBSTITUTE(AC48, "C", "E"), SUBSTITUTE(AC48, "E", "C"))</f>
        <v>E46</v>
      </c>
      <c r="AG48" s="189" t="str">
        <f aca="false">IF(ISNUMBER(FIND("C", AD48, 1)), SUBSTITUTE(AD48, "C", "E"), SUBSTITUTE(AD48, "E", "C"))</f>
        <v>C47</v>
      </c>
      <c r="AH48" s="189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205" t="s">
        <v>123</v>
      </c>
      <c r="C49" s="206" t="n">
        <v>0</v>
      </c>
      <c r="D49" s="204" t="s">
        <v>29</v>
      </c>
      <c r="E49" s="207" t="n">
        <v>2</v>
      </c>
      <c r="F49" s="219" t="s">
        <v>120</v>
      </c>
      <c r="G49" s="191"/>
      <c r="H49" s="209" t="n">
        <v>46198</v>
      </c>
      <c r="I49" s="210" t="n">
        <v>0.833333333333333</v>
      </c>
      <c r="J49" s="211"/>
      <c r="K49" s="235" t="s">
        <v>123</v>
      </c>
      <c r="L49" s="22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223" t="n">
        <f aca="false">N49-O49</f>
        <v>-6</v>
      </c>
      <c r="N49" s="223" t="n">
        <f aca="true">SUM(INDIRECT($AC49),INDIRECT($AD49),INDIRECT($AE49))</f>
        <v>0</v>
      </c>
      <c r="O49" s="223" t="n">
        <f aca="true">SUM(INDIRECT($AF49),INDIRECT($AG49),INDIRECT($AH49))</f>
        <v>6</v>
      </c>
      <c r="P49" s="22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22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22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191"/>
      <c r="T49" s="216" t="str">
        <f aca="false">IF(NOT(AND(ISNUMBER(C49),ISNUMBER(E49))),"XXX","")</f>
        <v/>
      </c>
      <c r="U49" s="217" t="n">
        <f aca="false">SUM(Y49,Z49,AA49)</f>
        <v>0</v>
      </c>
      <c r="V49" s="217"/>
      <c r="W49" s="217"/>
      <c r="X49" s="217"/>
      <c r="Y49" s="218" t="n">
        <f aca="false">IF(AND(ISNUMBER(RESULTADOS!C49),ISNUMBER(RESULTADOS!E49),ISNUMBER(C49),ISNUMBER(E49),C49=RESULTADOS!C49,E49=RESULTADOS!E49),2,0)</f>
        <v>0</v>
      </c>
      <c r="Z49" s="218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218" t="n">
        <f aca="false">IF(AND(ISNUMBER(RESULTADOS!C49),ISNUMBER(RESULTADOS!E49),ISNUMBER(C49),ISNUMBER(E49),AND(Z49=1,OR(C49=RESULTADOS!C49,E49=RESULTADOS!E49))),1,0)</f>
        <v>0</v>
      </c>
      <c r="AC49" s="189" t="s">
        <v>133</v>
      </c>
      <c r="AD49" s="189" t="s">
        <v>134</v>
      </c>
      <c r="AE49" s="189" t="s">
        <v>135</v>
      </c>
      <c r="AF49" s="189" t="str">
        <f aca="false">IF(ISNUMBER(FIND("C", AC49, 1)), SUBSTITUTE(AC49, "C", "E"), SUBSTITUTE(AC49, "E", "C"))</f>
        <v>C46</v>
      </c>
      <c r="AG49" s="189" t="str">
        <f aca="false">IF(ISNUMBER(FIND("C", AD49, 1)), SUBSTITUTE(AD49, "C", "E"), SUBSTITUTE(AD49, "E", "C"))</f>
        <v>E48</v>
      </c>
      <c r="AH49" s="189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225" t="s">
        <v>121</v>
      </c>
      <c r="C50" s="226" t="n">
        <v>1</v>
      </c>
      <c r="D50" s="223" t="s">
        <v>29</v>
      </c>
      <c r="E50" s="227" t="n">
        <v>1</v>
      </c>
      <c r="F50" s="228" t="s">
        <v>122</v>
      </c>
      <c r="G50" s="191"/>
      <c r="H50" s="229" t="n">
        <v>46198</v>
      </c>
      <c r="I50" s="230" t="n">
        <v>0.833333333333333</v>
      </c>
      <c r="J50" s="211"/>
      <c r="K50" s="231"/>
      <c r="S50" s="191"/>
      <c r="T50" s="216" t="str">
        <f aca="false">IF(NOT(AND(ISNUMBER(C50),ISNUMBER(E50))),"XXX","")</f>
        <v/>
      </c>
      <c r="U50" s="217" t="n">
        <f aca="false">SUM(Y50,Z50,AA50)</f>
        <v>0</v>
      </c>
      <c r="V50" s="217"/>
      <c r="W50" s="217"/>
      <c r="X50" s="217"/>
      <c r="Y50" s="218" t="n">
        <f aca="false">IF(AND(ISNUMBER(RESULTADOS!C50),ISNUMBER(RESULTADOS!E50),ISNUMBER(C50),ISNUMBER(E50),C50=RESULTADOS!C50,E50=RESULTADOS!E50),2,0)</f>
        <v>0</v>
      </c>
      <c r="Z50" s="218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218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231"/>
      <c r="C51" s="191"/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U51" s="191"/>
      <c r="V51" s="191"/>
      <c r="W51" s="191"/>
      <c r="X51" s="191"/>
      <c r="Y51" s="194"/>
      <c r="Z51" s="194"/>
      <c r="AA51" s="194"/>
    </row>
    <row r="52" customFormat="false" ht="13.5" hidden="false" customHeight="true" outlineLevel="0" collapsed="false">
      <c r="B52" s="200" t="s">
        <v>136</v>
      </c>
      <c r="C52" s="200"/>
      <c r="D52" s="200"/>
      <c r="E52" s="200"/>
      <c r="F52" s="200"/>
      <c r="G52" s="191"/>
      <c r="H52" s="201" t="s">
        <v>26</v>
      </c>
      <c r="I52" s="202" t="s">
        <v>27</v>
      </c>
      <c r="J52" s="203"/>
      <c r="K52" s="191"/>
      <c r="L52" s="191"/>
      <c r="M52" s="191"/>
      <c r="N52" s="191"/>
      <c r="O52" s="191"/>
      <c r="P52" s="191"/>
      <c r="Q52" s="191"/>
      <c r="R52" s="191"/>
      <c r="S52" s="191"/>
      <c r="U52" s="204"/>
      <c r="V52" s="204"/>
      <c r="W52" s="204"/>
      <c r="X52" s="204"/>
      <c r="Y52" s="218"/>
      <c r="Z52" s="218"/>
      <c r="AA52" s="218"/>
    </row>
    <row r="53" customFormat="false" ht="13.5" hidden="false" customHeight="true" outlineLevel="0" collapsed="false">
      <c r="B53" s="205" t="s">
        <v>137</v>
      </c>
      <c r="C53" s="206" t="n">
        <v>1</v>
      </c>
      <c r="D53" s="204" t="s">
        <v>29</v>
      </c>
      <c r="E53" s="207" t="n">
        <v>1</v>
      </c>
      <c r="F53" s="219" t="s">
        <v>138</v>
      </c>
      <c r="G53" s="191"/>
      <c r="H53" s="209" t="n">
        <v>46188</v>
      </c>
      <c r="I53" s="210" t="n">
        <v>0.666666666666667</v>
      </c>
      <c r="J53" s="211"/>
      <c r="K53" s="212"/>
      <c r="L53" s="213" t="s">
        <v>31</v>
      </c>
      <c r="M53" s="213" t="s">
        <v>32</v>
      </c>
      <c r="N53" s="213" t="s">
        <v>33</v>
      </c>
      <c r="O53" s="213" t="s">
        <v>34</v>
      </c>
      <c r="P53" s="213" t="s">
        <v>35</v>
      </c>
      <c r="Q53" s="213" t="s">
        <v>36</v>
      </c>
      <c r="R53" s="214" t="s">
        <v>37</v>
      </c>
      <c r="S53" s="215"/>
      <c r="T53" s="216" t="str">
        <f aca="false">IF(NOT(AND(ISNUMBER(C53),ISNUMBER(E53))),"XXX","")</f>
        <v/>
      </c>
      <c r="U53" s="217" t="n">
        <f aca="false">SUM(Y53,Z53,AA53)</f>
        <v>0</v>
      </c>
      <c r="V53" s="217"/>
      <c r="W53" s="217"/>
      <c r="X53" s="217"/>
      <c r="Y53" s="218" t="n">
        <f aca="false">IF(AND(ISNUMBER(RESULTADOS!C53),ISNUMBER(RESULTADOS!E53),ISNUMBER(C53),ISNUMBER(E53),C53=RESULTADOS!C53,E53=RESULTADOS!E53),2,0)</f>
        <v>0</v>
      </c>
      <c r="Z53" s="218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218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205" t="s">
        <v>139</v>
      </c>
      <c r="C54" s="206" t="n">
        <v>2</v>
      </c>
      <c r="D54" s="204" t="s">
        <v>29</v>
      </c>
      <c r="E54" s="207" t="n">
        <v>0</v>
      </c>
      <c r="F54" s="219" t="s">
        <v>140</v>
      </c>
      <c r="G54" s="191"/>
      <c r="H54" s="209" t="n">
        <v>46188</v>
      </c>
      <c r="I54" s="210" t="n">
        <v>0.916666666666667</v>
      </c>
      <c r="J54" s="211"/>
      <c r="K54" s="234" t="s">
        <v>137</v>
      </c>
      <c r="L54" s="204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204" t="n">
        <f aca="false">N54-O54</f>
        <v>3</v>
      </c>
      <c r="N54" s="204" t="n">
        <f aca="true">SUM(INDIRECT($AC54),INDIRECT($AD54),INDIRECT($AE54))</f>
        <v>5</v>
      </c>
      <c r="O54" s="204" t="n">
        <f aca="true">SUM(INDIRECT($AF54),INDIRECT($AG54),INDIRECT($AH54))</f>
        <v>2</v>
      </c>
      <c r="P54" s="204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204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221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15"/>
      <c r="T54" s="216" t="str">
        <f aca="false">IF(NOT(AND(ISNUMBER(C54),ISNUMBER(E54))),"XXX","")</f>
        <v/>
      </c>
      <c r="U54" s="217" t="n">
        <f aca="false">SUM(Y54,Z54,AA54)</f>
        <v>0</v>
      </c>
      <c r="V54" s="217"/>
      <c r="W54" s="217"/>
      <c r="X54" s="217"/>
      <c r="Y54" s="218" t="n">
        <f aca="false">IF(AND(ISNUMBER(RESULTADOS!C54),ISNUMBER(RESULTADOS!E54),ISNUMBER(C54),ISNUMBER(E54),C54=RESULTADOS!C54,E54=RESULTADOS!E54),2,0)</f>
        <v>0</v>
      </c>
      <c r="Z54" s="218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218" t="n">
        <f aca="false">IF(AND(ISNUMBER(RESULTADOS!C54),ISNUMBER(RESULTADOS!E54),ISNUMBER(C54),ISNUMBER(E54),AND(Z54=1,OR(C54=RESULTADOS!C54,E54=RESULTADOS!E54))),1,0)</f>
        <v>0</v>
      </c>
      <c r="AC54" s="189" t="s">
        <v>141</v>
      </c>
      <c r="AD54" s="189" t="s">
        <v>142</v>
      </c>
      <c r="AE54" s="189" t="s">
        <v>143</v>
      </c>
      <c r="AF54" s="189" t="str">
        <f aca="false">IF(ISNUMBER(FIND("C", AC54, 1)), SUBSTITUTE(AC54, "C", "E"), SUBSTITUTE(AC54, "E", "C"))</f>
        <v>E53</v>
      </c>
      <c r="AG54" s="189" t="str">
        <f aca="false">IF(ISNUMBER(FIND("C", AD54, 1)), SUBSTITUTE(AD54, "C", "E"), SUBSTITUTE(AD54, "E", "C"))</f>
        <v>E55</v>
      </c>
      <c r="AH54" s="189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205" t="s">
        <v>137</v>
      </c>
      <c r="C55" s="206" t="n">
        <v>2</v>
      </c>
      <c r="D55" s="204" t="s">
        <v>29</v>
      </c>
      <c r="E55" s="207" t="n">
        <v>1</v>
      </c>
      <c r="F55" s="219" t="s">
        <v>139</v>
      </c>
      <c r="G55" s="191"/>
      <c r="H55" s="209" t="n">
        <v>46194</v>
      </c>
      <c r="I55" s="210" t="n">
        <v>0.666666666666667</v>
      </c>
      <c r="J55" s="211"/>
      <c r="K55" s="234" t="s">
        <v>138</v>
      </c>
      <c r="L55" s="204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204" t="n">
        <f aca="false">N55-O55</f>
        <v>1</v>
      </c>
      <c r="N55" s="204" t="n">
        <f aca="true">SUM(INDIRECT($AC55),INDIRECT($AD55),INDIRECT($AE55))</f>
        <v>3</v>
      </c>
      <c r="O55" s="204" t="n">
        <f aca="true">SUM(INDIRECT($AF55),INDIRECT($AG55),INDIRECT($AH55))</f>
        <v>2</v>
      </c>
      <c r="P55" s="204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204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221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191"/>
      <c r="T55" s="216" t="str">
        <f aca="false">IF(NOT(AND(ISNUMBER(C55),ISNUMBER(E55))),"XXX","")</f>
        <v/>
      </c>
      <c r="U55" s="217" t="n">
        <f aca="false">SUM(Y55,Z55,AA55)</f>
        <v>0</v>
      </c>
      <c r="V55" s="217"/>
      <c r="W55" s="217"/>
      <c r="X55" s="217"/>
      <c r="Y55" s="218" t="n">
        <f aca="false">IF(AND(ISNUMBER(RESULTADOS!C55),ISNUMBER(RESULTADOS!E55),ISNUMBER(C55),ISNUMBER(E55),C55=RESULTADOS!C55,E55=RESULTADOS!E55),2,0)</f>
        <v>0</v>
      </c>
      <c r="Z55" s="218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218" t="n">
        <f aca="false">IF(AND(ISNUMBER(RESULTADOS!C55),ISNUMBER(RESULTADOS!E55),ISNUMBER(C55),ISNUMBER(E55),AND(Z55=1,OR(C55=RESULTADOS!C55,E55=RESULTADOS!E55))),1,0)</f>
        <v>0</v>
      </c>
      <c r="AC55" s="189" t="s">
        <v>144</v>
      </c>
      <c r="AD55" s="189" t="s">
        <v>145</v>
      </c>
      <c r="AE55" s="189" t="s">
        <v>146</v>
      </c>
      <c r="AF55" s="189" t="str">
        <f aca="false">IF(ISNUMBER(FIND("C", AC55, 1)), SUBSTITUTE(AC55, "C", "E"), SUBSTITUTE(AC55, "E", "C"))</f>
        <v>C53</v>
      </c>
      <c r="AG55" s="189" t="str">
        <f aca="false">IF(ISNUMBER(FIND("C", AD55, 1)), SUBSTITUTE(AD55, "C", "E"), SUBSTITUTE(AD55, "E", "C"))</f>
        <v>C56</v>
      </c>
      <c r="AH55" s="189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205" t="s">
        <v>140</v>
      </c>
      <c r="C56" s="206" t="n">
        <v>0</v>
      </c>
      <c r="D56" s="204" t="s">
        <v>29</v>
      </c>
      <c r="E56" s="207" t="n">
        <v>2</v>
      </c>
      <c r="F56" s="219" t="s">
        <v>138</v>
      </c>
      <c r="G56" s="191"/>
      <c r="H56" s="209" t="n">
        <v>46194</v>
      </c>
      <c r="I56" s="210" t="n">
        <v>0.916666666666667</v>
      </c>
      <c r="J56" s="211"/>
      <c r="K56" s="234" t="s">
        <v>139</v>
      </c>
      <c r="L56" s="204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204" t="n">
        <f aca="false">N56-O56</f>
        <v>2</v>
      </c>
      <c r="N56" s="204" t="n">
        <f aca="true">SUM(INDIRECT($AC56),INDIRECT($AD56),INDIRECT($AE56))</f>
        <v>4</v>
      </c>
      <c r="O56" s="204" t="n">
        <f aca="true">SUM(INDIRECT($AF56),INDIRECT($AG56),INDIRECT($AH56))</f>
        <v>2</v>
      </c>
      <c r="P56" s="204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204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221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191"/>
      <c r="T56" s="216" t="str">
        <f aca="false">IF(NOT(AND(ISNUMBER(C56),ISNUMBER(E56))),"XXX","")</f>
        <v/>
      </c>
      <c r="U56" s="217" t="n">
        <f aca="false">SUM(Y56,Z56,AA56)</f>
        <v>0</v>
      </c>
      <c r="V56" s="217"/>
      <c r="W56" s="217"/>
      <c r="X56" s="217"/>
      <c r="Y56" s="218" t="n">
        <f aca="false">IF(AND(ISNUMBER(RESULTADOS!C56),ISNUMBER(RESULTADOS!E56),ISNUMBER(C56),ISNUMBER(E56),C56=RESULTADOS!C56,E56=RESULTADOS!E56),2,0)</f>
        <v>0</v>
      </c>
      <c r="Z56" s="218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218" t="n">
        <f aca="false">IF(AND(ISNUMBER(RESULTADOS!C56),ISNUMBER(RESULTADOS!E56),ISNUMBER(C56),ISNUMBER(E56),AND(Z56=1,OR(C56=RESULTADOS!C56,E56=RESULTADOS!E56))),1,0)</f>
        <v>0</v>
      </c>
      <c r="AC56" s="189" t="s">
        <v>147</v>
      </c>
      <c r="AD56" s="189" t="s">
        <v>148</v>
      </c>
      <c r="AE56" s="189" t="s">
        <v>149</v>
      </c>
      <c r="AF56" s="189" t="str">
        <f aca="false">IF(ISNUMBER(FIND("C", AC56, 1)), SUBSTITUTE(AC56, "C", "E"), SUBSTITUTE(AC56, "E", "C"))</f>
        <v>E54</v>
      </c>
      <c r="AG56" s="189" t="str">
        <f aca="false">IF(ISNUMBER(FIND("C", AD56, 1)), SUBSTITUTE(AD56, "C", "E"), SUBSTITUTE(AD56, "E", "C"))</f>
        <v>C55</v>
      </c>
      <c r="AH56" s="189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205" t="s">
        <v>138</v>
      </c>
      <c r="C57" s="206" t="n">
        <v>0</v>
      </c>
      <c r="D57" s="204" t="s">
        <v>29</v>
      </c>
      <c r="E57" s="207" t="n">
        <v>1</v>
      </c>
      <c r="F57" s="219" t="s">
        <v>139</v>
      </c>
      <c r="G57" s="191"/>
      <c r="H57" s="209" t="n">
        <v>46200</v>
      </c>
      <c r="I57" s="210" t="n">
        <v>0</v>
      </c>
      <c r="J57" s="211"/>
      <c r="K57" s="235" t="s">
        <v>140</v>
      </c>
      <c r="L57" s="22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223" t="n">
        <f aca="false">N57-O57</f>
        <v>-6</v>
      </c>
      <c r="N57" s="223" t="n">
        <f aca="true">SUM(INDIRECT($AC57),INDIRECT($AD57),INDIRECT($AE57))</f>
        <v>0</v>
      </c>
      <c r="O57" s="223" t="n">
        <f aca="true">SUM(INDIRECT($AF57),INDIRECT($AG57),INDIRECT($AH57))</f>
        <v>6</v>
      </c>
      <c r="P57" s="22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223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224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191"/>
      <c r="T57" s="216" t="str">
        <f aca="false">IF(NOT(AND(ISNUMBER(C57),ISNUMBER(E57))),"XXX","")</f>
        <v/>
      </c>
      <c r="U57" s="217" t="n">
        <f aca="false">SUM(Y57,Z57,AA57)</f>
        <v>0</v>
      </c>
      <c r="V57" s="217"/>
      <c r="W57" s="217"/>
      <c r="X57" s="217"/>
      <c r="Y57" s="218" t="n">
        <f aca="false">IF(AND(ISNUMBER(RESULTADOS!C57),ISNUMBER(RESULTADOS!E57),ISNUMBER(C57),ISNUMBER(E57),C57=RESULTADOS!C57,E57=RESULTADOS!E57),2,0)</f>
        <v>0</v>
      </c>
      <c r="Z57" s="218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218" t="n">
        <f aca="false">IF(AND(ISNUMBER(RESULTADOS!C57),ISNUMBER(RESULTADOS!E57),ISNUMBER(C57),ISNUMBER(E57),AND(Z57=1,OR(C57=RESULTADOS!C57,E57=RESULTADOS!E57))),1,0)</f>
        <v>0</v>
      </c>
      <c r="AC57" s="189" t="s">
        <v>150</v>
      </c>
      <c r="AD57" s="189" t="s">
        <v>151</v>
      </c>
      <c r="AE57" s="189" t="s">
        <v>152</v>
      </c>
      <c r="AF57" s="189" t="str">
        <f aca="false">IF(ISNUMBER(FIND("C", AC57, 1)), SUBSTITUTE(AC57, "C", "E"), SUBSTITUTE(AC57, "E", "C"))</f>
        <v>C54</v>
      </c>
      <c r="AG57" s="189" t="str">
        <f aca="false">IF(ISNUMBER(FIND("C", AD57, 1)), SUBSTITUTE(AD57, "C", "E"), SUBSTITUTE(AD57, "E", "C"))</f>
        <v>E56</v>
      </c>
      <c r="AH57" s="189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225" t="s">
        <v>140</v>
      </c>
      <c r="C58" s="226" t="n">
        <v>0</v>
      </c>
      <c r="D58" s="223" t="s">
        <v>29</v>
      </c>
      <c r="E58" s="227" t="n">
        <v>2</v>
      </c>
      <c r="F58" s="228" t="s">
        <v>137</v>
      </c>
      <c r="G58" s="191"/>
      <c r="H58" s="229" t="n">
        <v>46200</v>
      </c>
      <c r="I58" s="230" t="n">
        <v>0</v>
      </c>
      <c r="J58" s="211"/>
      <c r="K58" s="231"/>
      <c r="S58" s="191"/>
      <c r="T58" s="216" t="str">
        <f aca="false">IF(NOT(AND(ISNUMBER(C58),ISNUMBER(E58))),"XXX","")</f>
        <v/>
      </c>
      <c r="U58" s="217" t="n">
        <f aca="false">SUM(Y58,Z58,AA58)</f>
        <v>0</v>
      </c>
      <c r="V58" s="217"/>
      <c r="W58" s="217"/>
      <c r="X58" s="217"/>
      <c r="Y58" s="218" t="n">
        <f aca="false">IF(AND(ISNUMBER(RESULTADOS!C58),ISNUMBER(RESULTADOS!E58),ISNUMBER(C58),ISNUMBER(E58),C58=RESULTADOS!C58,E58=RESULTADOS!E58),2,0)</f>
        <v>0</v>
      </c>
      <c r="Z58" s="218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218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23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U59" s="191"/>
      <c r="V59" s="191"/>
      <c r="W59" s="191"/>
      <c r="X59" s="191"/>
      <c r="Y59" s="194"/>
      <c r="Z59" s="194"/>
      <c r="AA59" s="194"/>
    </row>
    <row r="60" customFormat="false" ht="13.5" hidden="false" customHeight="true" outlineLevel="0" collapsed="false">
      <c r="B60" s="200" t="s">
        <v>153</v>
      </c>
      <c r="C60" s="200"/>
      <c r="D60" s="200"/>
      <c r="E60" s="200"/>
      <c r="F60" s="200"/>
      <c r="G60" s="191"/>
      <c r="H60" s="201" t="s">
        <v>26</v>
      </c>
      <c r="I60" s="202" t="s">
        <v>27</v>
      </c>
      <c r="J60" s="203"/>
      <c r="K60" s="191"/>
      <c r="L60" s="191"/>
      <c r="M60" s="191"/>
      <c r="N60" s="191"/>
      <c r="O60" s="191"/>
      <c r="P60" s="191"/>
      <c r="Q60" s="191"/>
      <c r="R60" s="191"/>
      <c r="S60" s="191"/>
      <c r="U60" s="204"/>
      <c r="V60" s="204"/>
      <c r="W60" s="204"/>
      <c r="X60" s="204"/>
      <c r="Y60" s="218"/>
      <c r="Z60" s="218"/>
      <c r="AA60" s="218"/>
    </row>
    <row r="61" customFormat="false" ht="13.5" hidden="false" customHeight="true" outlineLevel="0" collapsed="false">
      <c r="B61" s="205" t="s">
        <v>154</v>
      </c>
      <c r="C61" s="206" t="n">
        <v>3</v>
      </c>
      <c r="D61" s="204" t="s">
        <v>29</v>
      </c>
      <c r="E61" s="207" t="n">
        <v>0</v>
      </c>
      <c r="F61" s="219" t="s">
        <v>155</v>
      </c>
      <c r="G61" s="191"/>
      <c r="H61" s="209" t="n">
        <v>46188</v>
      </c>
      <c r="I61" s="210" t="n">
        <v>0.541666666666667</v>
      </c>
      <c r="J61" s="211"/>
      <c r="K61" s="212"/>
      <c r="L61" s="213" t="s">
        <v>31</v>
      </c>
      <c r="M61" s="213" t="s">
        <v>32</v>
      </c>
      <c r="N61" s="213" t="s">
        <v>33</v>
      </c>
      <c r="O61" s="213" t="s">
        <v>34</v>
      </c>
      <c r="P61" s="213" t="s">
        <v>35</v>
      </c>
      <c r="Q61" s="213" t="s">
        <v>36</v>
      </c>
      <c r="R61" s="214" t="s">
        <v>37</v>
      </c>
      <c r="S61" s="215"/>
      <c r="T61" s="216" t="str">
        <f aca="false">IF(NOT(AND(ISNUMBER(C61),ISNUMBER(E61))),"XXX","")</f>
        <v/>
      </c>
      <c r="U61" s="217" t="n">
        <f aca="false">SUM(Y61,Z61,AA61)</f>
        <v>0</v>
      </c>
      <c r="V61" s="217"/>
      <c r="W61" s="217"/>
      <c r="X61" s="217"/>
      <c r="Y61" s="218" t="n">
        <f aca="false">IF(AND(ISNUMBER(RESULTADOS!C61),ISNUMBER(RESULTADOS!E61),ISNUMBER(C61),ISNUMBER(E61),C61=RESULTADOS!C61,E61=RESULTADOS!E61),2,0)</f>
        <v>0</v>
      </c>
      <c r="Z61" s="218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218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205" t="s">
        <v>156</v>
      </c>
      <c r="C62" s="206" t="n">
        <v>0</v>
      </c>
      <c r="D62" s="204" t="s">
        <v>29</v>
      </c>
      <c r="E62" s="207" t="n">
        <v>2</v>
      </c>
      <c r="F62" s="219" t="s">
        <v>157</v>
      </c>
      <c r="G62" s="191"/>
      <c r="H62" s="209" t="n">
        <v>46188</v>
      </c>
      <c r="I62" s="210" t="n">
        <v>0.791666666666667</v>
      </c>
      <c r="J62" s="211"/>
      <c r="K62" s="234" t="s">
        <v>156</v>
      </c>
      <c r="L62" s="204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204" t="n">
        <f aca="false">N62-O62</f>
        <v>-4</v>
      </c>
      <c r="N62" s="204" t="n">
        <f aca="true">SUM(INDIRECT($AC62),INDIRECT($AD62),INDIRECT($AE62))</f>
        <v>1</v>
      </c>
      <c r="O62" s="204" t="n">
        <f aca="true">SUM(INDIRECT($AF62),INDIRECT($AG62),INDIRECT($AH62))</f>
        <v>5</v>
      </c>
      <c r="P62" s="204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204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221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15"/>
      <c r="T62" s="216" t="str">
        <f aca="false">IF(NOT(AND(ISNUMBER(C62),ISNUMBER(E62))),"XXX","")</f>
        <v/>
      </c>
      <c r="U62" s="217" t="n">
        <f aca="false">SUM(Y62,Z62,AA62)</f>
        <v>0</v>
      </c>
      <c r="V62" s="217"/>
      <c r="W62" s="217"/>
      <c r="X62" s="217"/>
      <c r="Y62" s="218" t="n">
        <f aca="false">IF(AND(ISNUMBER(RESULTADOS!C62),ISNUMBER(RESULTADOS!E62),ISNUMBER(C62),ISNUMBER(E62),C62=RESULTADOS!C62,E62=RESULTADOS!E62),2,0)</f>
        <v>0</v>
      </c>
      <c r="Z62" s="218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218" t="n">
        <f aca="false">IF(AND(ISNUMBER(RESULTADOS!C62),ISNUMBER(RESULTADOS!E62),ISNUMBER(C62),ISNUMBER(E62),AND(Z62=1,OR(C62=RESULTADOS!C62,E62=RESULTADOS!E62))),1,0)</f>
        <v>0</v>
      </c>
      <c r="AC62" s="189" t="s">
        <v>158</v>
      </c>
      <c r="AD62" s="189" t="s">
        <v>159</v>
      </c>
      <c r="AE62" s="189" t="s">
        <v>160</v>
      </c>
      <c r="AF62" s="189" t="str">
        <f aca="false">IF(ISNUMBER(FIND("C", AC62, 1)), SUBSTITUTE(AC62, "C", "E"), SUBSTITUTE(AC62, "E", "C"))</f>
        <v>E62</v>
      </c>
      <c r="AG62" s="189" t="str">
        <f aca="false">IF(ISNUMBER(FIND("C", AD62, 1)), SUBSTITUTE(AD62, "C", "E"), SUBSTITUTE(AD62, "E", "C"))</f>
        <v>C63</v>
      </c>
      <c r="AH62" s="189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205" t="s">
        <v>154</v>
      </c>
      <c r="C63" s="206" t="n">
        <v>3</v>
      </c>
      <c r="D63" s="204" t="s">
        <v>29</v>
      </c>
      <c r="E63" s="207" t="n">
        <v>0</v>
      </c>
      <c r="F63" s="219" t="s">
        <v>156</v>
      </c>
      <c r="G63" s="191"/>
      <c r="H63" s="209" t="n">
        <v>46194</v>
      </c>
      <c r="I63" s="210" t="n">
        <v>0.541666666666667</v>
      </c>
      <c r="J63" s="211"/>
      <c r="K63" s="234" t="s">
        <v>155</v>
      </c>
      <c r="L63" s="204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204" t="n">
        <f aca="false">N63-O63</f>
        <v>-2</v>
      </c>
      <c r="N63" s="204" t="n">
        <f aca="true">SUM(INDIRECT($AC63),INDIRECT($AD63),INDIRECT($AE63))</f>
        <v>2</v>
      </c>
      <c r="O63" s="204" t="n">
        <f aca="true">SUM(INDIRECT($AF63),INDIRECT($AG63),INDIRECT($AH63))</f>
        <v>4</v>
      </c>
      <c r="P63" s="204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204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221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191"/>
      <c r="T63" s="216" t="str">
        <f aca="false">IF(NOT(AND(ISNUMBER(C63),ISNUMBER(E63))),"XXX","")</f>
        <v/>
      </c>
      <c r="U63" s="217" t="n">
        <f aca="false">SUM(Y63,Z63,AA63)</f>
        <v>0</v>
      </c>
      <c r="V63" s="217"/>
      <c r="W63" s="217"/>
      <c r="X63" s="217"/>
      <c r="Y63" s="218" t="n">
        <f aca="false">IF(AND(ISNUMBER(RESULTADOS!C63),ISNUMBER(RESULTADOS!E63),ISNUMBER(C63),ISNUMBER(E63),C63=RESULTADOS!C63,E63=RESULTADOS!E63),2,0)</f>
        <v>0</v>
      </c>
      <c r="Z63" s="218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218" t="n">
        <f aca="false">IF(AND(ISNUMBER(RESULTADOS!C63),ISNUMBER(RESULTADOS!E63),ISNUMBER(C63),ISNUMBER(E63),AND(Z63=1,OR(C63=RESULTADOS!C63,E63=RESULTADOS!E63))),1,0)</f>
        <v>0</v>
      </c>
      <c r="AC63" s="189" t="s">
        <v>161</v>
      </c>
      <c r="AD63" s="189" t="s">
        <v>162</v>
      </c>
      <c r="AE63" s="189" t="s">
        <v>163</v>
      </c>
      <c r="AF63" s="189" t="str">
        <f aca="false">IF(ISNUMBER(FIND("C", AC63, 1)), SUBSTITUTE(AC63, "C", "E"), SUBSTITUTE(AC63, "E", "C"))</f>
        <v>C61</v>
      </c>
      <c r="AG63" s="189" t="str">
        <f aca="false">IF(ISNUMBER(FIND("C", AD63, 1)), SUBSTITUTE(AD63, "C", "E"), SUBSTITUTE(AD63, "E", "C"))</f>
        <v>C64</v>
      </c>
      <c r="AH63" s="189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205" t="s">
        <v>157</v>
      </c>
      <c r="C64" s="206" t="n">
        <v>0</v>
      </c>
      <c r="D64" s="204" t="s">
        <v>29</v>
      </c>
      <c r="E64" s="207" t="n">
        <v>2</v>
      </c>
      <c r="F64" s="219" t="s">
        <v>155</v>
      </c>
      <c r="G64" s="191"/>
      <c r="H64" s="209" t="n">
        <v>46194</v>
      </c>
      <c r="I64" s="210" t="n">
        <v>0.791666666666667</v>
      </c>
      <c r="J64" s="211"/>
      <c r="K64" s="234" t="s">
        <v>154</v>
      </c>
      <c r="L64" s="204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204" t="n">
        <f aca="false">N64-O64</f>
        <v>7</v>
      </c>
      <c r="N64" s="204" t="n">
        <f aca="true">SUM(INDIRECT($AC64),INDIRECT($AD64),INDIRECT($AE64))</f>
        <v>8</v>
      </c>
      <c r="O64" s="204" t="n">
        <f aca="true">SUM(INDIRECT($AF64),INDIRECT($AG64),INDIRECT($AH64))</f>
        <v>1</v>
      </c>
      <c r="P64" s="204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204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221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191"/>
      <c r="T64" s="216" t="str">
        <f aca="false">IF(NOT(AND(ISNUMBER(C64),ISNUMBER(E64))),"XXX","")</f>
        <v/>
      </c>
      <c r="U64" s="217" t="n">
        <f aca="false">SUM(Y64,Z64,AA64)</f>
        <v>0</v>
      </c>
      <c r="V64" s="217"/>
      <c r="W64" s="217"/>
      <c r="X64" s="217"/>
      <c r="Y64" s="218" t="n">
        <f aca="false">IF(AND(ISNUMBER(RESULTADOS!C64),ISNUMBER(RESULTADOS!E64),ISNUMBER(C64),ISNUMBER(E64),C64=RESULTADOS!C64,E64=RESULTADOS!E64),2,0)</f>
        <v>0</v>
      </c>
      <c r="Z64" s="218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218" t="n">
        <f aca="false">IF(AND(ISNUMBER(RESULTADOS!C64),ISNUMBER(RESULTADOS!E64),ISNUMBER(C64),ISNUMBER(E64),AND(Z64=1,OR(C64=RESULTADOS!C64,E64=RESULTADOS!E64))),1,0)</f>
        <v>0</v>
      </c>
      <c r="AC64" s="189" t="s">
        <v>164</v>
      </c>
      <c r="AD64" s="189" t="s">
        <v>165</v>
      </c>
      <c r="AE64" s="189" t="s">
        <v>166</v>
      </c>
      <c r="AF64" s="189" t="str">
        <f aca="false">IF(ISNUMBER(FIND("C", AC64, 1)), SUBSTITUTE(AC64, "C", "E"), SUBSTITUTE(AC64, "E", "C"))</f>
        <v>E61</v>
      </c>
      <c r="AG64" s="189" t="str">
        <f aca="false">IF(ISNUMBER(FIND("C", AD64, 1)), SUBSTITUTE(AD64, "C", "E"), SUBSTITUTE(AD64, "E", "C"))</f>
        <v>E63</v>
      </c>
      <c r="AH64" s="189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205" t="s">
        <v>155</v>
      </c>
      <c r="C65" s="206" t="n">
        <v>0</v>
      </c>
      <c r="D65" s="204" t="s">
        <v>29</v>
      </c>
      <c r="E65" s="207" t="n">
        <v>1</v>
      </c>
      <c r="F65" s="219" t="s">
        <v>156</v>
      </c>
      <c r="G65" s="191"/>
      <c r="H65" s="209" t="n">
        <v>46199</v>
      </c>
      <c r="I65" s="210" t="n">
        <v>0.875</v>
      </c>
      <c r="J65" s="211"/>
      <c r="K65" s="235" t="s">
        <v>157</v>
      </c>
      <c r="L65" s="22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223" t="n">
        <f aca="false">N65-O65</f>
        <v>-1</v>
      </c>
      <c r="N65" s="223" t="n">
        <f aca="true">SUM(INDIRECT($AC65),INDIRECT($AD65),INDIRECT($AE65))</f>
        <v>3</v>
      </c>
      <c r="O65" s="223" t="n">
        <f aca="true">SUM(INDIRECT($AF65),INDIRECT($AG65),INDIRECT($AH65))</f>
        <v>4</v>
      </c>
      <c r="P65" s="223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22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224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191"/>
      <c r="T65" s="216" t="str">
        <f aca="false">IF(NOT(AND(ISNUMBER(C65),ISNUMBER(E65))),"XXX","")</f>
        <v/>
      </c>
      <c r="U65" s="217" t="n">
        <f aca="false">SUM(Y65,Z65,AA65)</f>
        <v>0</v>
      </c>
      <c r="V65" s="217"/>
      <c r="W65" s="217"/>
      <c r="X65" s="217"/>
      <c r="Y65" s="218" t="n">
        <f aca="false">IF(AND(ISNUMBER(RESULTADOS!C65),ISNUMBER(RESULTADOS!E65),ISNUMBER(C65),ISNUMBER(E65),C65=RESULTADOS!C65,E65=RESULTADOS!E65),2,0)</f>
        <v>0</v>
      </c>
      <c r="Z65" s="218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218" t="n">
        <f aca="false">IF(AND(ISNUMBER(RESULTADOS!C65),ISNUMBER(RESULTADOS!E65),ISNUMBER(C65),ISNUMBER(E65),AND(Z65=1,OR(C65=RESULTADOS!C65,E65=RESULTADOS!E65))),1,0)</f>
        <v>0</v>
      </c>
      <c r="AC65" s="189" t="s">
        <v>167</v>
      </c>
      <c r="AD65" s="189" t="s">
        <v>168</v>
      </c>
      <c r="AE65" s="189" t="s">
        <v>169</v>
      </c>
      <c r="AF65" s="189" t="str">
        <f aca="false">IF(ISNUMBER(FIND("C", AC65, 1)), SUBSTITUTE(AC65, "C", "E"), SUBSTITUTE(AC65, "E", "C"))</f>
        <v>C62</v>
      </c>
      <c r="AG65" s="189" t="str">
        <f aca="false">IF(ISNUMBER(FIND("C", AD65, 1)), SUBSTITUTE(AD65, "C", "E"), SUBSTITUTE(AD65, "E", "C"))</f>
        <v>E64</v>
      </c>
      <c r="AH65" s="189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225" t="s">
        <v>157</v>
      </c>
      <c r="C66" s="226" t="n">
        <v>1</v>
      </c>
      <c r="D66" s="223" t="s">
        <v>29</v>
      </c>
      <c r="E66" s="227" t="n">
        <v>2</v>
      </c>
      <c r="F66" s="228" t="s">
        <v>154</v>
      </c>
      <c r="G66" s="191"/>
      <c r="H66" s="229" t="n">
        <v>46199</v>
      </c>
      <c r="I66" s="230" t="n">
        <v>0.875</v>
      </c>
      <c r="J66" s="211"/>
      <c r="K66" s="231"/>
      <c r="S66" s="191"/>
      <c r="T66" s="216" t="str">
        <f aca="false">IF(NOT(AND(ISNUMBER(C66),ISNUMBER(E66))),"XXX","")</f>
        <v/>
      </c>
      <c r="U66" s="217" t="n">
        <f aca="false">SUM(Y66,Z66,AA66)</f>
        <v>0</v>
      </c>
      <c r="V66" s="217"/>
      <c r="W66" s="217"/>
      <c r="X66" s="217"/>
      <c r="Y66" s="218" t="n">
        <f aca="false">IF(AND(ISNUMBER(RESULTADOS!C66),ISNUMBER(RESULTADOS!E66),ISNUMBER(C66),ISNUMBER(E66),C66=RESULTADOS!C66,E66=RESULTADOS!E66),2,0)</f>
        <v>0</v>
      </c>
      <c r="Z66" s="218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218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1"/>
      <c r="X67" s="191"/>
    </row>
    <row r="68" customFormat="false" ht="12.75" hidden="false" customHeight="true" outlineLevel="0" collapsed="false">
      <c r="B68" s="200" t="s">
        <v>170</v>
      </c>
      <c r="C68" s="200"/>
      <c r="D68" s="200"/>
      <c r="E68" s="200"/>
      <c r="F68" s="200"/>
      <c r="G68" s="191"/>
      <c r="H68" s="201" t="s">
        <v>26</v>
      </c>
      <c r="I68" s="202" t="s">
        <v>27</v>
      </c>
      <c r="J68" s="203"/>
      <c r="K68" s="191"/>
      <c r="L68" s="191"/>
      <c r="M68" s="191"/>
      <c r="N68" s="191"/>
      <c r="O68" s="191"/>
      <c r="P68" s="191"/>
      <c r="Q68" s="191"/>
      <c r="R68" s="191"/>
      <c r="S68" s="191"/>
      <c r="U68" s="204"/>
      <c r="V68" s="204"/>
      <c r="W68" s="204"/>
      <c r="X68" s="204"/>
    </row>
    <row r="69" customFormat="false" ht="12.75" hidden="false" customHeight="true" outlineLevel="0" collapsed="false">
      <c r="B69" s="205" t="s">
        <v>171</v>
      </c>
      <c r="C69" s="206" t="n">
        <v>2</v>
      </c>
      <c r="D69" s="204" t="s">
        <v>29</v>
      </c>
      <c r="E69" s="207" t="n">
        <v>1</v>
      </c>
      <c r="F69" s="219" t="s">
        <v>172</v>
      </c>
      <c r="G69" s="191"/>
      <c r="H69" s="209" t="n">
        <v>46189</v>
      </c>
      <c r="I69" s="210" t="n">
        <v>0.666666666666667</v>
      </c>
      <c r="J69" s="211"/>
      <c r="K69" s="212"/>
      <c r="L69" s="213" t="s">
        <v>31</v>
      </c>
      <c r="M69" s="213" t="s">
        <v>32</v>
      </c>
      <c r="N69" s="213" t="s">
        <v>33</v>
      </c>
      <c r="O69" s="213" t="s">
        <v>34</v>
      </c>
      <c r="P69" s="213" t="s">
        <v>35</v>
      </c>
      <c r="Q69" s="213" t="s">
        <v>36</v>
      </c>
      <c r="R69" s="214" t="s">
        <v>37</v>
      </c>
      <c r="S69" s="215"/>
      <c r="T69" s="216" t="str">
        <f aca="false">IF(NOT(AND(ISNUMBER(C69),ISNUMBER(E69))),"XXX","")</f>
        <v/>
      </c>
      <c r="U69" s="217" t="n">
        <f aca="false">SUM(Y69,Z69,AA69)</f>
        <v>0</v>
      </c>
      <c r="V69" s="217"/>
      <c r="W69" s="217"/>
      <c r="X69" s="217"/>
      <c r="Y69" s="218" t="n">
        <f aca="false">IF(AND(ISNUMBER(RESULTADOS!C69),ISNUMBER(RESULTADOS!E69),ISNUMBER(C69),ISNUMBER(E69),C69=RESULTADOS!C69,E69=RESULTADOS!E69),2,0)</f>
        <v>0</v>
      </c>
      <c r="Z69" s="218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218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205" t="s">
        <v>173</v>
      </c>
      <c r="C70" s="206" t="n">
        <v>0</v>
      </c>
      <c r="D70" s="204" t="s">
        <v>29</v>
      </c>
      <c r="E70" s="207" t="n">
        <v>2</v>
      </c>
      <c r="F70" s="219" t="s">
        <v>174</v>
      </c>
      <c r="G70" s="191"/>
      <c r="H70" s="209" t="n">
        <v>46189</v>
      </c>
      <c r="I70" s="210" t="n">
        <v>0.791666666666667</v>
      </c>
      <c r="J70" s="211"/>
      <c r="K70" s="234" t="s">
        <v>171</v>
      </c>
      <c r="L70" s="204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204" t="n">
        <f aca="false">N70-O70</f>
        <v>6</v>
      </c>
      <c r="N70" s="204" t="n">
        <f aca="true">SUM(INDIRECT($AC70),INDIRECT($AD70),INDIRECT($AE70))</f>
        <v>8</v>
      </c>
      <c r="O70" s="204" t="n">
        <f aca="true">SUM(INDIRECT($AF70),INDIRECT($AG70),INDIRECT($AH70))</f>
        <v>2</v>
      </c>
      <c r="P70" s="204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204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221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15"/>
      <c r="T70" s="216" t="str">
        <f aca="false">IF(NOT(AND(ISNUMBER(C70),ISNUMBER(E70))),"XXX","")</f>
        <v/>
      </c>
      <c r="U70" s="217" t="n">
        <f aca="false">SUM(Y70,Z70,AA70)</f>
        <v>0</v>
      </c>
      <c r="V70" s="217"/>
      <c r="W70" s="217"/>
      <c r="X70" s="217"/>
      <c r="Y70" s="218" t="n">
        <f aca="false">IF(AND(ISNUMBER(RESULTADOS!C70),ISNUMBER(RESULTADOS!E70),ISNUMBER(C70),ISNUMBER(E70),C70=RESULTADOS!C70,E70=RESULTADOS!E70),2,0)</f>
        <v>0</v>
      </c>
      <c r="Z70" s="218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218" t="n">
        <f aca="false">IF(AND(ISNUMBER(RESULTADOS!C70),ISNUMBER(RESULTADOS!E70),ISNUMBER(C70),ISNUMBER(E70),AND(Z70=1,OR(C70=RESULTADOS!C70,E70=RESULTADOS!E70))),1,0)</f>
        <v>0</v>
      </c>
      <c r="AC70" s="189" t="s">
        <v>175</v>
      </c>
      <c r="AD70" s="189" t="s">
        <v>176</v>
      </c>
      <c r="AE70" s="189" t="s">
        <v>177</v>
      </c>
      <c r="AF70" s="189" t="str">
        <f aca="false">IF(ISNUMBER(FIND("C", AC70, 1)), SUBSTITUTE(AC70, "C", "E"), SUBSTITUTE(AC70, "E", "C"))</f>
        <v>E69</v>
      </c>
      <c r="AG70" s="189" t="str">
        <f aca="false">IF(ISNUMBER(FIND("C", AD70, 1)), SUBSTITUTE(AD70, "C", "E"), SUBSTITUTE(AD70, "E", "C"))</f>
        <v>E71</v>
      </c>
      <c r="AH70" s="189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205" t="s">
        <v>171</v>
      </c>
      <c r="C71" s="206" t="n">
        <v>3</v>
      </c>
      <c r="D71" s="204" t="s">
        <v>29</v>
      </c>
      <c r="E71" s="207" t="n">
        <v>0</v>
      </c>
      <c r="F71" s="219" t="s">
        <v>173</v>
      </c>
      <c r="G71" s="191"/>
      <c r="H71" s="209" t="n">
        <v>46195</v>
      </c>
      <c r="I71" s="210" t="n">
        <v>0.75</v>
      </c>
      <c r="J71" s="211"/>
      <c r="K71" s="234" t="s">
        <v>173</v>
      </c>
      <c r="L71" s="204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204" t="n">
        <f aca="false">N71-O71</f>
        <v>-7</v>
      </c>
      <c r="N71" s="204" t="n">
        <f aca="true">SUM(INDIRECT($AC71),INDIRECT($AD71),INDIRECT($AE71))</f>
        <v>0</v>
      </c>
      <c r="O71" s="204" t="n">
        <f aca="true">SUM(INDIRECT($AF71),INDIRECT($AG71),INDIRECT($AH71))</f>
        <v>7</v>
      </c>
      <c r="P71" s="204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204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221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191"/>
      <c r="T71" s="216" t="str">
        <f aca="false">IF(NOT(AND(ISNUMBER(C71),ISNUMBER(E71))),"XXX","")</f>
        <v/>
      </c>
      <c r="U71" s="217" t="n">
        <f aca="false">SUM(Y71,Z71,AA71)</f>
        <v>0</v>
      </c>
      <c r="V71" s="217"/>
      <c r="W71" s="217"/>
      <c r="X71" s="217"/>
      <c r="Y71" s="218" t="n">
        <f aca="false">IF(AND(ISNUMBER(RESULTADOS!C71),ISNUMBER(RESULTADOS!E71),ISNUMBER(C71),ISNUMBER(E71),C71=RESULTADOS!C71,E71=RESULTADOS!E71),2,0)</f>
        <v>0</v>
      </c>
      <c r="Z71" s="218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218" t="n">
        <f aca="false">IF(AND(ISNUMBER(RESULTADOS!C71),ISNUMBER(RESULTADOS!E71),ISNUMBER(C71),ISNUMBER(E71),AND(Z71=1,OR(C71=RESULTADOS!C71,E71=RESULTADOS!E71))),1,0)</f>
        <v>0</v>
      </c>
      <c r="AC71" s="189" t="s">
        <v>178</v>
      </c>
      <c r="AD71" s="189" t="s">
        <v>179</v>
      </c>
      <c r="AE71" s="189" t="s">
        <v>180</v>
      </c>
      <c r="AF71" s="189" t="str">
        <f aca="false">IF(ISNUMBER(FIND("C", AC71, 1)), SUBSTITUTE(AC71, "C", "E"), SUBSTITUTE(AC71, "E", "C"))</f>
        <v>E70</v>
      </c>
      <c r="AG71" s="189" t="str">
        <f aca="false">IF(ISNUMBER(FIND("C", AD71, 1)), SUBSTITUTE(AD71, "C", "E"), SUBSTITUTE(AD71, "E", "C"))</f>
        <v>C71</v>
      </c>
      <c r="AH71" s="189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205" t="s">
        <v>174</v>
      </c>
      <c r="C72" s="206" t="n">
        <v>1</v>
      </c>
      <c r="D72" s="204" t="s">
        <v>29</v>
      </c>
      <c r="E72" s="207" t="n">
        <v>2</v>
      </c>
      <c r="F72" s="219" t="s">
        <v>172</v>
      </c>
      <c r="G72" s="191"/>
      <c r="H72" s="209" t="n">
        <v>46195</v>
      </c>
      <c r="I72" s="210" t="n">
        <v>0.875</v>
      </c>
      <c r="J72" s="211"/>
      <c r="K72" s="234" t="s">
        <v>174</v>
      </c>
      <c r="L72" s="204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204" t="n">
        <f aca="false">N72-O72</f>
        <v>-1</v>
      </c>
      <c r="N72" s="204" t="n">
        <f aca="true">SUM(INDIRECT($AC72),INDIRECT($AD72),INDIRECT($AE72))</f>
        <v>4</v>
      </c>
      <c r="O72" s="204" t="n">
        <f aca="true">SUM(INDIRECT($AF72),INDIRECT($AG72),INDIRECT($AH72))</f>
        <v>5</v>
      </c>
      <c r="P72" s="204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204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221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191"/>
      <c r="T72" s="216" t="str">
        <f aca="false">IF(NOT(AND(ISNUMBER(C72),ISNUMBER(E72))),"XXX","")</f>
        <v/>
      </c>
      <c r="U72" s="217" t="n">
        <f aca="false">SUM(Y72,Z72,AA72)</f>
        <v>0</v>
      </c>
      <c r="V72" s="217"/>
      <c r="W72" s="217"/>
      <c r="X72" s="217"/>
      <c r="Y72" s="218" t="n">
        <f aca="false">IF(AND(ISNUMBER(RESULTADOS!C72),ISNUMBER(RESULTADOS!E72),ISNUMBER(C72),ISNUMBER(E72),C72=RESULTADOS!C72,E72=RESULTADOS!E72),2,0)</f>
        <v>0</v>
      </c>
      <c r="Z72" s="218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218" t="n">
        <f aca="false">IF(AND(ISNUMBER(RESULTADOS!C72),ISNUMBER(RESULTADOS!E72),ISNUMBER(C72),ISNUMBER(E72),AND(Z72=1,OR(C72=RESULTADOS!C72,E72=RESULTADOS!E72))),1,0)</f>
        <v>0</v>
      </c>
      <c r="AC72" s="189" t="s">
        <v>181</v>
      </c>
      <c r="AD72" s="189" t="s">
        <v>182</v>
      </c>
      <c r="AE72" s="189" t="s">
        <v>183</v>
      </c>
      <c r="AF72" s="189" t="str">
        <f aca="false">IF(ISNUMBER(FIND("C", AC72, 1)), SUBSTITUTE(AC72, "C", "E"), SUBSTITUTE(AC72, "E", "C"))</f>
        <v>C70</v>
      </c>
      <c r="AG72" s="189" t="str">
        <f aca="false">IF(ISNUMBER(FIND("C", AD72, 1)), SUBSTITUTE(AD72, "C", "E"), SUBSTITUTE(AD72, "E", "C"))</f>
        <v>E72</v>
      </c>
      <c r="AH72" s="189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205" t="s">
        <v>172</v>
      </c>
      <c r="C73" s="206" t="n">
        <v>2</v>
      </c>
      <c r="D73" s="204" t="s">
        <v>29</v>
      </c>
      <c r="E73" s="207" t="n">
        <v>0</v>
      </c>
      <c r="F73" s="219" t="s">
        <v>173</v>
      </c>
      <c r="G73" s="191"/>
      <c r="H73" s="209" t="n">
        <v>46199</v>
      </c>
      <c r="I73" s="210" t="n">
        <v>0.666666666666667</v>
      </c>
      <c r="J73" s="211"/>
      <c r="K73" s="235" t="s">
        <v>172</v>
      </c>
      <c r="L73" s="22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223" t="n">
        <f aca="false">N73-O73</f>
        <v>2</v>
      </c>
      <c r="N73" s="223" t="n">
        <f aca="true">SUM(INDIRECT($AC73),INDIRECT($AD73),INDIRECT($AE73))</f>
        <v>5</v>
      </c>
      <c r="O73" s="223" t="n">
        <f aca="true">SUM(INDIRECT($AF73),INDIRECT($AG73),INDIRECT($AH73))</f>
        <v>3</v>
      </c>
      <c r="P73" s="223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223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22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191"/>
      <c r="T73" s="216" t="str">
        <f aca="false">IF(NOT(AND(ISNUMBER(C73),ISNUMBER(E73))),"XXX","")</f>
        <v/>
      </c>
      <c r="U73" s="217" t="n">
        <f aca="false">SUM(Y73,Z73,AA73)</f>
        <v>0</v>
      </c>
      <c r="V73" s="217"/>
      <c r="W73" s="217"/>
      <c r="X73" s="217"/>
      <c r="Y73" s="218" t="n">
        <f aca="false">IF(AND(ISNUMBER(RESULTADOS!C73),ISNUMBER(RESULTADOS!E73),ISNUMBER(C73),ISNUMBER(E73),C73=RESULTADOS!C73,E73=RESULTADOS!E73),2,0)</f>
        <v>0</v>
      </c>
      <c r="Z73" s="218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218" t="n">
        <f aca="false">IF(AND(ISNUMBER(RESULTADOS!C73),ISNUMBER(RESULTADOS!E73),ISNUMBER(C73),ISNUMBER(E73),AND(Z73=1,OR(C73=RESULTADOS!C73,E73=RESULTADOS!E73))),1,0)</f>
        <v>0</v>
      </c>
      <c r="AC73" s="189" t="s">
        <v>184</v>
      </c>
      <c r="AD73" s="189" t="s">
        <v>185</v>
      </c>
      <c r="AE73" s="189" t="s">
        <v>186</v>
      </c>
      <c r="AF73" s="189" t="str">
        <f aca="false">IF(ISNUMBER(FIND("C", AC73, 1)), SUBSTITUTE(AC73, "C", "E"), SUBSTITUTE(AC73, "E", "C"))</f>
        <v>C69</v>
      </c>
      <c r="AG73" s="189" t="str">
        <f aca="false">IF(ISNUMBER(FIND("C", AD73, 1)), SUBSTITUTE(AD73, "C", "E"), SUBSTITUTE(AD73, "E", "C"))</f>
        <v>C72</v>
      </c>
      <c r="AH73" s="189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225" t="s">
        <v>174</v>
      </c>
      <c r="C74" s="226" t="n">
        <v>1</v>
      </c>
      <c r="D74" s="223" t="s">
        <v>29</v>
      </c>
      <c r="E74" s="227" t="n">
        <v>3</v>
      </c>
      <c r="F74" s="228" t="s">
        <v>171</v>
      </c>
      <c r="G74" s="191"/>
      <c r="H74" s="229" t="n">
        <v>46199</v>
      </c>
      <c r="I74" s="230" t="n">
        <v>0.666666666666667</v>
      </c>
      <c r="J74" s="211"/>
      <c r="K74" s="231"/>
      <c r="S74" s="191"/>
      <c r="T74" s="216" t="str">
        <f aca="false">IF(NOT(AND(ISNUMBER(C74),ISNUMBER(E74))),"XXX","")</f>
        <v/>
      </c>
      <c r="U74" s="217" t="n">
        <f aca="false">SUM(Y74,Z74,AA74)</f>
        <v>0</v>
      </c>
      <c r="V74" s="217"/>
      <c r="W74" s="217"/>
      <c r="X74" s="217"/>
      <c r="Y74" s="218" t="n">
        <f aca="false">IF(AND(ISNUMBER(RESULTADOS!C74),ISNUMBER(RESULTADOS!E74),ISNUMBER(C74),ISNUMBER(E74),C74=RESULTADOS!C74,E74=RESULTADOS!E74),2,0)</f>
        <v>0</v>
      </c>
      <c r="Z74" s="218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218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23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U75" s="191"/>
      <c r="V75" s="191"/>
      <c r="W75" s="191"/>
      <c r="X75" s="191"/>
    </row>
    <row r="76" customFormat="false" ht="12.75" hidden="false" customHeight="true" outlineLevel="0" collapsed="false">
      <c r="B76" s="200" t="s">
        <v>187</v>
      </c>
      <c r="C76" s="200"/>
      <c r="D76" s="200"/>
      <c r="E76" s="200"/>
      <c r="F76" s="200"/>
      <c r="G76" s="191"/>
      <c r="H76" s="201" t="s">
        <v>26</v>
      </c>
      <c r="I76" s="202" t="s">
        <v>27</v>
      </c>
      <c r="J76" s="203"/>
      <c r="K76" s="191"/>
      <c r="L76" s="191"/>
      <c r="M76" s="191"/>
      <c r="N76" s="191"/>
      <c r="O76" s="191"/>
      <c r="P76" s="191"/>
      <c r="Q76" s="191"/>
      <c r="R76" s="191"/>
      <c r="S76" s="191"/>
      <c r="U76" s="204"/>
      <c r="V76" s="204"/>
      <c r="W76" s="204"/>
      <c r="X76" s="204"/>
    </row>
    <row r="77" customFormat="false" ht="12.75" hidden="false" customHeight="true" outlineLevel="0" collapsed="false">
      <c r="B77" s="205" t="s">
        <v>188</v>
      </c>
      <c r="C77" s="206" t="n">
        <v>3</v>
      </c>
      <c r="D77" s="204" t="s">
        <v>29</v>
      </c>
      <c r="E77" s="207" t="n">
        <v>1</v>
      </c>
      <c r="F77" s="219" t="s">
        <v>189</v>
      </c>
      <c r="G77" s="191"/>
      <c r="H77" s="209" t="n">
        <v>46189</v>
      </c>
      <c r="I77" s="210" t="n">
        <v>0.916666666666667</v>
      </c>
      <c r="J77" s="211"/>
      <c r="K77" s="212"/>
      <c r="L77" s="213" t="s">
        <v>31</v>
      </c>
      <c r="M77" s="213" t="s">
        <v>32</v>
      </c>
      <c r="N77" s="213" t="s">
        <v>33</v>
      </c>
      <c r="O77" s="213" t="s">
        <v>34</v>
      </c>
      <c r="P77" s="213" t="s">
        <v>35</v>
      </c>
      <c r="Q77" s="213" t="s">
        <v>36</v>
      </c>
      <c r="R77" s="214" t="s">
        <v>37</v>
      </c>
      <c r="S77" s="215"/>
      <c r="T77" s="216" t="str">
        <f aca="false">IF(NOT(AND(ISNUMBER(C77),ISNUMBER(E77))),"XXX","")</f>
        <v/>
      </c>
      <c r="U77" s="217" t="n">
        <f aca="false">SUM(Y77,Z77,AA77)</f>
        <v>0</v>
      </c>
      <c r="V77" s="217"/>
      <c r="W77" s="217"/>
      <c r="X77" s="217"/>
      <c r="Y77" s="218" t="n">
        <f aca="false">IF(AND(ISNUMBER(RESULTADOS!C77),ISNUMBER(RESULTADOS!E77),ISNUMBER(C77),ISNUMBER(E77),C77=RESULTADOS!C77,E77=RESULTADOS!E77),2,0)</f>
        <v>0</v>
      </c>
      <c r="Z77" s="218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218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205" t="s">
        <v>190</v>
      </c>
      <c r="C78" s="206" t="n">
        <v>1</v>
      </c>
      <c r="D78" s="204" t="s">
        <v>29</v>
      </c>
      <c r="E78" s="207" t="n">
        <v>0</v>
      </c>
      <c r="F78" s="219" t="s">
        <v>191</v>
      </c>
      <c r="G78" s="191"/>
      <c r="H78" s="209" t="n">
        <v>46190</v>
      </c>
      <c r="I78" s="210" t="n">
        <v>0.0416666666666667</v>
      </c>
      <c r="J78" s="211"/>
      <c r="K78" s="234" t="s">
        <v>188</v>
      </c>
      <c r="L78" s="204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204" t="n">
        <f aca="false">N78-O78</f>
        <v>6</v>
      </c>
      <c r="N78" s="204" t="n">
        <f aca="true">SUM(INDIRECT($AC78),INDIRECT($AD78),INDIRECT($AE78))</f>
        <v>8</v>
      </c>
      <c r="O78" s="204" t="n">
        <f aca="true">SUM(INDIRECT($AF78),INDIRECT($AG78),INDIRECT($AH78))</f>
        <v>2</v>
      </c>
      <c r="P78" s="204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204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221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15"/>
      <c r="T78" s="216" t="str">
        <f aca="false">IF(NOT(AND(ISNUMBER(C78),ISNUMBER(E78))),"XXX","")</f>
        <v/>
      </c>
      <c r="U78" s="217" t="n">
        <f aca="false">SUM(Y78,Z78,AA78)</f>
        <v>0</v>
      </c>
      <c r="V78" s="217"/>
      <c r="W78" s="217"/>
      <c r="X78" s="217"/>
      <c r="Y78" s="218" t="n">
        <f aca="false">IF(AND(ISNUMBER(RESULTADOS!C78),ISNUMBER(RESULTADOS!E78),ISNUMBER(C78),ISNUMBER(E78),C78=RESULTADOS!C78,E78=RESULTADOS!E78),2,0)</f>
        <v>0</v>
      </c>
      <c r="Z78" s="218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218" t="n">
        <f aca="false">IF(AND(ISNUMBER(RESULTADOS!C78),ISNUMBER(RESULTADOS!E78),ISNUMBER(C78),ISNUMBER(E78),AND(Z78=1,OR(C78=RESULTADOS!C78,E78=RESULTADOS!E78))),1,0)</f>
        <v>0</v>
      </c>
      <c r="AC78" s="189" t="s">
        <v>192</v>
      </c>
      <c r="AD78" s="189" t="s">
        <v>193</v>
      </c>
      <c r="AE78" s="189" t="s">
        <v>194</v>
      </c>
      <c r="AF78" s="189" t="str">
        <f aca="false">IF(ISNUMBER(FIND("C", AC78, 1)), SUBSTITUTE(AC78, "C", "E"), SUBSTITUTE(AC78, "E", "C"))</f>
        <v>E77</v>
      </c>
      <c r="AG78" s="189" t="str">
        <f aca="false">IF(ISNUMBER(FIND("C", AD78, 1)), SUBSTITUTE(AD78, "C", "E"), SUBSTITUTE(AD78, "E", "C"))</f>
        <v>E79</v>
      </c>
      <c r="AH78" s="189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205" t="s">
        <v>188</v>
      </c>
      <c r="C79" s="206" t="n">
        <v>2</v>
      </c>
      <c r="D79" s="204" t="s">
        <v>29</v>
      </c>
      <c r="E79" s="207" t="n">
        <v>1</v>
      </c>
      <c r="F79" s="219" t="s">
        <v>190</v>
      </c>
      <c r="G79" s="191"/>
      <c r="H79" s="209" t="n">
        <v>46195</v>
      </c>
      <c r="I79" s="210" t="n">
        <v>0.583333333333333</v>
      </c>
      <c r="J79" s="211"/>
      <c r="K79" s="234" t="s">
        <v>189</v>
      </c>
      <c r="L79" s="204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204" t="n">
        <f aca="false">N79-O79</f>
        <v>-1</v>
      </c>
      <c r="N79" s="204" t="n">
        <f aca="true">SUM(INDIRECT($AC79),INDIRECT($AD79),INDIRECT($AE79))</f>
        <v>4</v>
      </c>
      <c r="O79" s="204" t="n">
        <f aca="true">SUM(INDIRECT($AF79),INDIRECT($AG79),INDIRECT($AH79))</f>
        <v>5</v>
      </c>
      <c r="P79" s="204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204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221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191"/>
      <c r="T79" s="216" t="str">
        <f aca="false">IF(NOT(AND(ISNUMBER(C79),ISNUMBER(E79))),"XXX","")</f>
        <v/>
      </c>
      <c r="U79" s="217" t="n">
        <f aca="false">SUM(Y79,Z79,AA79)</f>
        <v>0</v>
      </c>
      <c r="V79" s="217"/>
      <c r="W79" s="217"/>
      <c r="X79" s="217"/>
      <c r="Y79" s="218" t="n">
        <f aca="false">IF(AND(ISNUMBER(RESULTADOS!C79),ISNUMBER(RESULTADOS!E79),ISNUMBER(C79),ISNUMBER(E79),C79=RESULTADOS!C79,E79=RESULTADOS!E79),2,0)</f>
        <v>0</v>
      </c>
      <c r="Z79" s="218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218" t="n">
        <f aca="false">IF(AND(ISNUMBER(RESULTADOS!C79),ISNUMBER(RESULTADOS!E79),ISNUMBER(C79),ISNUMBER(E79),AND(Z79=1,OR(C79=RESULTADOS!C79,E79=RESULTADOS!E79))),1,0)</f>
        <v>0</v>
      </c>
      <c r="AC79" s="189" t="s">
        <v>195</v>
      </c>
      <c r="AD79" s="189" t="s">
        <v>196</v>
      </c>
      <c r="AE79" s="189" t="s">
        <v>197</v>
      </c>
      <c r="AF79" s="189" t="str">
        <f aca="false">IF(ISNUMBER(FIND("C", AC79, 1)), SUBSTITUTE(AC79, "C", "E"), SUBSTITUTE(AC79, "E", "C"))</f>
        <v>C77</v>
      </c>
      <c r="AG79" s="189" t="str">
        <f aca="false">IF(ISNUMBER(FIND("C", AD79, 1)), SUBSTITUTE(AD79, "C", "E"), SUBSTITUTE(AD79, "E", "C"))</f>
        <v>C80</v>
      </c>
      <c r="AH79" s="189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205" t="s">
        <v>191</v>
      </c>
      <c r="C80" s="206" t="n">
        <v>0</v>
      </c>
      <c r="D80" s="204" t="s">
        <v>29</v>
      </c>
      <c r="E80" s="207" t="n">
        <v>2</v>
      </c>
      <c r="F80" s="219" t="s">
        <v>189</v>
      </c>
      <c r="G80" s="191"/>
      <c r="H80" s="209" t="n">
        <v>46196</v>
      </c>
      <c r="I80" s="210" t="n">
        <v>0</v>
      </c>
      <c r="J80" s="211"/>
      <c r="K80" s="234" t="s">
        <v>191</v>
      </c>
      <c r="L80" s="204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204" t="n">
        <f aca="false">N80-O80</f>
        <v>-6</v>
      </c>
      <c r="N80" s="204" t="n">
        <f aca="true">SUM(INDIRECT($AC80),INDIRECT($AD80),INDIRECT($AE80))</f>
        <v>0</v>
      </c>
      <c r="O80" s="204" t="n">
        <f aca="true">SUM(INDIRECT($AF80),INDIRECT($AG80),INDIRECT($AH80))</f>
        <v>6</v>
      </c>
      <c r="P80" s="204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204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221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191"/>
      <c r="T80" s="216" t="str">
        <f aca="false">IF(NOT(AND(ISNUMBER(C80),ISNUMBER(E80))),"XXX","")</f>
        <v/>
      </c>
      <c r="U80" s="217" t="n">
        <f aca="false">SUM(Y80,Z80,AA80)</f>
        <v>0</v>
      </c>
      <c r="V80" s="217"/>
      <c r="W80" s="217"/>
      <c r="X80" s="217"/>
      <c r="Y80" s="218" t="n">
        <f aca="false">IF(AND(ISNUMBER(RESULTADOS!C80),ISNUMBER(RESULTADOS!E80),ISNUMBER(C80),ISNUMBER(E80),C80=RESULTADOS!C80,E80=RESULTADOS!E80),2,0)</f>
        <v>0</v>
      </c>
      <c r="Z80" s="218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218" t="n">
        <f aca="false">IF(AND(ISNUMBER(RESULTADOS!C80),ISNUMBER(RESULTADOS!E80),ISNUMBER(C80),ISNUMBER(E80),AND(Z80=1,OR(C80=RESULTADOS!C80,E80=RESULTADOS!E80))),1,0)</f>
        <v>0</v>
      </c>
      <c r="AC80" s="189" t="s">
        <v>198</v>
      </c>
      <c r="AD80" s="189" t="s">
        <v>199</v>
      </c>
      <c r="AE80" s="189" t="s">
        <v>200</v>
      </c>
      <c r="AF80" s="189" t="str">
        <f aca="false">IF(ISNUMBER(FIND("C", AC80, 1)), SUBSTITUTE(AC80, "C", "E"), SUBSTITUTE(AC80, "E", "C"))</f>
        <v>C78</v>
      </c>
      <c r="AG80" s="189" t="str">
        <f aca="false">IF(ISNUMBER(FIND("C", AD80, 1)), SUBSTITUTE(AD80, "C", "E"), SUBSTITUTE(AD80, "E", "C"))</f>
        <v>E80</v>
      </c>
      <c r="AH80" s="189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205" t="s">
        <v>191</v>
      </c>
      <c r="C81" s="206" t="n">
        <v>0</v>
      </c>
      <c r="D81" s="204" t="s">
        <v>29</v>
      </c>
      <c r="E81" s="207" t="n">
        <v>3</v>
      </c>
      <c r="F81" s="219" t="s">
        <v>188</v>
      </c>
      <c r="G81" s="191"/>
      <c r="H81" s="209" t="n">
        <v>46200</v>
      </c>
      <c r="I81" s="210" t="n">
        <v>0.958333333333333</v>
      </c>
      <c r="J81" s="211"/>
      <c r="K81" s="235" t="s">
        <v>190</v>
      </c>
      <c r="L81" s="22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223" t="n">
        <f aca="false">N81-O81</f>
        <v>1</v>
      </c>
      <c r="N81" s="223" t="n">
        <f aca="true">SUM(INDIRECT($AC81),INDIRECT($AD81),INDIRECT($AE81))</f>
        <v>4</v>
      </c>
      <c r="O81" s="223" t="n">
        <f aca="true">SUM(INDIRECT($AF81),INDIRECT($AG81),INDIRECT($AH81))</f>
        <v>3</v>
      </c>
      <c r="P81" s="223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223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22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191"/>
      <c r="T81" s="216" t="str">
        <f aca="false">IF(NOT(AND(ISNUMBER(C81),ISNUMBER(E81))),"XXX","")</f>
        <v/>
      </c>
      <c r="U81" s="217" t="n">
        <f aca="false">SUM(Y81,Z81,AA81)</f>
        <v>0</v>
      </c>
      <c r="V81" s="217"/>
      <c r="W81" s="217"/>
      <c r="X81" s="217"/>
      <c r="Y81" s="218" t="n">
        <f aca="false">IF(AND(ISNUMBER(RESULTADOS!C81),ISNUMBER(RESULTADOS!E81),ISNUMBER(C81),ISNUMBER(E81),C81=RESULTADOS!C81,E81=RESULTADOS!E81),2,0)</f>
        <v>0</v>
      </c>
      <c r="Z81" s="218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218" t="n">
        <f aca="false">IF(AND(ISNUMBER(RESULTADOS!C81),ISNUMBER(RESULTADOS!E81),ISNUMBER(C81),ISNUMBER(E81),AND(Z81=1,OR(C81=RESULTADOS!C81,E81=RESULTADOS!E81))),1,0)</f>
        <v>0</v>
      </c>
      <c r="AC81" s="189" t="s">
        <v>201</v>
      </c>
      <c r="AD81" s="189" t="s">
        <v>202</v>
      </c>
      <c r="AE81" s="189" t="s">
        <v>203</v>
      </c>
      <c r="AF81" s="189" t="str">
        <f aca="false">IF(ISNUMBER(FIND("C", AC81, 1)), SUBSTITUTE(AC81, "C", "E"), SUBSTITUTE(AC81, "E", "C"))</f>
        <v>E78</v>
      </c>
      <c r="AG81" s="189" t="str">
        <f aca="false">IF(ISNUMBER(FIND("C", AD81, 1)), SUBSTITUTE(AD81, "C", "E"), SUBSTITUTE(AD81, "E", "C"))</f>
        <v>C79</v>
      </c>
      <c r="AH81" s="189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225" t="s">
        <v>189</v>
      </c>
      <c r="C82" s="226" t="n">
        <v>1</v>
      </c>
      <c r="D82" s="223" t="s">
        <v>29</v>
      </c>
      <c r="E82" s="227" t="n">
        <v>2</v>
      </c>
      <c r="F82" s="228" t="s">
        <v>190</v>
      </c>
      <c r="G82" s="191"/>
      <c r="H82" s="229" t="n">
        <v>46200</v>
      </c>
      <c r="I82" s="230" t="n">
        <v>0.958333333333333</v>
      </c>
      <c r="J82" s="211"/>
      <c r="K82" s="231"/>
      <c r="S82" s="191"/>
      <c r="T82" s="216" t="str">
        <f aca="false">IF(NOT(AND(ISNUMBER(C82),ISNUMBER(E82))),"XXX","")</f>
        <v/>
      </c>
      <c r="U82" s="217" t="n">
        <f aca="false">SUM(Y82,Z82,AA82)</f>
        <v>0</v>
      </c>
      <c r="V82" s="217"/>
      <c r="W82" s="217"/>
      <c r="X82" s="217"/>
      <c r="Y82" s="218" t="n">
        <f aca="false">IF(AND(ISNUMBER(RESULTADOS!C82),ISNUMBER(RESULTADOS!E82),ISNUMBER(C82),ISNUMBER(E82),C82=RESULTADOS!C82,E82=RESULTADOS!E82),2,0)</f>
        <v>0</v>
      </c>
      <c r="Z82" s="218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218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231"/>
      <c r="C83" s="191"/>
      <c r="D83" s="191"/>
      <c r="E83" s="191"/>
      <c r="F83" s="191"/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U83" s="191"/>
      <c r="V83" s="191"/>
      <c r="W83" s="191"/>
      <c r="X83" s="191"/>
    </row>
    <row r="84" customFormat="false" ht="12.75" hidden="false" customHeight="true" outlineLevel="0" collapsed="false">
      <c r="B84" s="200" t="s">
        <v>204</v>
      </c>
      <c r="C84" s="200"/>
      <c r="D84" s="200"/>
      <c r="E84" s="200"/>
      <c r="F84" s="200"/>
      <c r="G84" s="191"/>
      <c r="H84" s="201" t="s">
        <v>26</v>
      </c>
      <c r="I84" s="202" t="s">
        <v>27</v>
      </c>
      <c r="J84" s="203"/>
      <c r="K84" s="191"/>
      <c r="L84" s="191"/>
      <c r="M84" s="191"/>
      <c r="N84" s="191"/>
      <c r="O84" s="191"/>
      <c r="P84" s="191"/>
      <c r="Q84" s="191"/>
      <c r="R84" s="191"/>
      <c r="S84" s="191"/>
      <c r="U84" s="204"/>
      <c r="V84" s="204"/>
      <c r="W84" s="204"/>
      <c r="X84" s="204"/>
    </row>
    <row r="85" customFormat="false" ht="12.75" hidden="false" customHeight="true" outlineLevel="0" collapsed="false">
      <c r="B85" s="205" t="s">
        <v>205</v>
      </c>
      <c r="C85" s="206" t="n">
        <v>3</v>
      </c>
      <c r="D85" s="204" t="s">
        <v>29</v>
      </c>
      <c r="E85" s="207" t="n">
        <v>0</v>
      </c>
      <c r="F85" s="219" t="s">
        <v>206</v>
      </c>
      <c r="G85" s="191"/>
      <c r="H85" s="209" t="n">
        <v>46190</v>
      </c>
      <c r="I85" s="210" t="n">
        <v>0.583333333333333</v>
      </c>
      <c r="J85" s="211"/>
      <c r="K85" s="212"/>
      <c r="L85" s="213" t="s">
        <v>31</v>
      </c>
      <c r="M85" s="213" t="s">
        <v>32</v>
      </c>
      <c r="N85" s="213" t="s">
        <v>33</v>
      </c>
      <c r="O85" s="213" t="s">
        <v>34</v>
      </c>
      <c r="P85" s="213" t="s">
        <v>35</v>
      </c>
      <c r="Q85" s="213" t="s">
        <v>36</v>
      </c>
      <c r="R85" s="214" t="s">
        <v>37</v>
      </c>
      <c r="S85" s="215"/>
      <c r="T85" s="216" t="str">
        <f aca="false">IF(NOT(AND(ISNUMBER(C85),ISNUMBER(E85))),"XXX","")</f>
        <v/>
      </c>
      <c r="U85" s="217" t="n">
        <f aca="false">SUM(Y85,Z85,AA85)</f>
        <v>0</v>
      </c>
      <c r="V85" s="217"/>
      <c r="W85" s="217"/>
      <c r="X85" s="217"/>
      <c r="Y85" s="218" t="n">
        <f aca="false">IF(AND(ISNUMBER(RESULTADOS!C85),ISNUMBER(RESULTADOS!E85),ISNUMBER(C85),ISNUMBER(E85),C85=RESULTADOS!C85,E85=RESULTADOS!E85),2,0)</f>
        <v>0</v>
      </c>
      <c r="Z85" s="218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218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205" t="s">
        <v>207</v>
      </c>
      <c r="C86" s="206" t="n">
        <v>0</v>
      </c>
      <c r="D86" s="204" t="s">
        <v>29</v>
      </c>
      <c r="E86" s="207" t="n">
        <v>2</v>
      </c>
      <c r="F86" s="219" t="s">
        <v>208</v>
      </c>
      <c r="G86" s="191"/>
      <c r="H86" s="209" t="n">
        <v>46190</v>
      </c>
      <c r="I86" s="210" t="n">
        <v>0.958333333333333</v>
      </c>
      <c r="J86" s="211"/>
      <c r="K86" s="234" t="s">
        <v>208</v>
      </c>
      <c r="L86" s="204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204" t="n">
        <f aca="false">N86-O86</f>
        <v>3</v>
      </c>
      <c r="N86" s="204" t="n">
        <f aca="true">SUM(INDIRECT($AC86),INDIRECT($AD86),INDIRECT($AE86))</f>
        <v>5</v>
      </c>
      <c r="O86" s="204" t="n">
        <f aca="true">SUM(INDIRECT($AF86),INDIRECT($AG86),INDIRECT($AH86))</f>
        <v>2</v>
      </c>
      <c r="P86" s="204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204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221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15"/>
      <c r="T86" s="216" t="str">
        <f aca="false">IF(NOT(AND(ISNUMBER(C86),ISNUMBER(E86))),"XXX","")</f>
        <v/>
      </c>
      <c r="U86" s="217" t="n">
        <f aca="false">SUM(Y86,Z86,AA86)</f>
        <v>0</v>
      </c>
      <c r="V86" s="217"/>
      <c r="W86" s="217"/>
      <c r="X86" s="217"/>
      <c r="Y86" s="218" t="n">
        <f aca="false">IF(AND(ISNUMBER(RESULTADOS!C86),ISNUMBER(RESULTADOS!E86),ISNUMBER(C86),ISNUMBER(E86),C86=RESULTADOS!C86,E86=RESULTADOS!E86),2,0)</f>
        <v>0</v>
      </c>
      <c r="Z86" s="218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218" t="n">
        <f aca="false">IF(AND(ISNUMBER(RESULTADOS!C86),ISNUMBER(RESULTADOS!E86),ISNUMBER(C86),ISNUMBER(E86),AND(Z86=1,OR(C86=RESULTADOS!C86,E86=RESULTADOS!E86))),1,0)</f>
        <v>0</v>
      </c>
      <c r="AC86" s="189" t="s">
        <v>209</v>
      </c>
      <c r="AD86" s="189" t="s">
        <v>210</v>
      </c>
      <c r="AE86" s="189" t="s">
        <v>211</v>
      </c>
      <c r="AF86" s="189" t="str">
        <f aca="false">IF(ISNUMBER(FIND("C", AC86, 1)), SUBSTITUTE(AC86, "C", "E"), SUBSTITUTE(AC86, "E", "C"))</f>
        <v>C86</v>
      </c>
      <c r="AG86" s="189" t="str">
        <f aca="false">IF(ISNUMBER(FIND("C", AD86, 1)), SUBSTITUTE(AD86, "C", "E"), SUBSTITUTE(AD86, "E", "C"))</f>
        <v>E88</v>
      </c>
      <c r="AH86" s="189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205" t="s">
        <v>205</v>
      </c>
      <c r="C87" s="206" t="n">
        <v>3</v>
      </c>
      <c r="D87" s="204" t="s">
        <v>29</v>
      </c>
      <c r="E87" s="207" t="n">
        <v>0</v>
      </c>
      <c r="F87" s="219" t="s">
        <v>207</v>
      </c>
      <c r="G87" s="191"/>
      <c r="H87" s="209" t="n">
        <v>46196</v>
      </c>
      <c r="I87" s="210" t="n">
        <v>0.583333333333333</v>
      </c>
      <c r="J87" s="211"/>
      <c r="K87" s="234" t="s">
        <v>205</v>
      </c>
      <c r="L87" s="204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204" t="n">
        <f aca="false">N87-O87</f>
        <v>7</v>
      </c>
      <c r="N87" s="204" t="n">
        <f aca="true">SUM(INDIRECT($AC87),INDIRECT($AD87),INDIRECT($AE87))</f>
        <v>8</v>
      </c>
      <c r="O87" s="204" t="n">
        <f aca="true">SUM(INDIRECT($AF87),INDIRECT($AG87),INDIRECT($AH87))</f>
        <v>1</v>
      </c>
      <c r="P87" s="204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204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221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191"/>
      <c r="T87" s="216" t="str">
        <f aca="false">IF(NOT(AND(ISNUMBER(C87),ISNUMBER(E87))),"XXX","")</f>
        <v/>
      </c>
      <c r="U87" s="217" t="n">
        <f aca="false">SUM(Y87,Z87,AA87)</f>
        <v>0</v>
      </c>
      <c r="V87" s="217"/>
      <c r="W87" s="217"/>
      <c r="X87" s="217"/>
      <c r="Y87" s="218" t="n">
        <f aca="false">IF(AND(ISNUMBER(RESULTADOS!C87),ISNUMBER(RESULTADOS!E87),ISNUMBER(C87),ISNUMBER(E87),C87=RESULTADOS!C87,E87=RESULTADOS!E87),2,0)</f>
        <v>0</v>
      </c>
      <c r="Z87" s="218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218" t="n">
        <f aca="false">IF(AND(ISNUMBER(RESULTADOS!C87),ISNUMBER(RESULTADOS!E87),ISNUMBER(C87),ISNUMBER(E87),AND(Z87=1,OR(C87=RESULTADOS!C87,E87=RESULTADOS!E87))),1,0)</f>
        <v>0</v>
      </c>
      <c r="AC87" s="189" t="s">
        <v>212</v>
      </c>
      <c r="AD87" s="189" t="s">
        <v>213</v>
      </c>
      <c r="AE87" s="189" t="s">
        <v>214</v>
      </c>
      <c r="AF87" s="189" t="str">
        <f aca="false">IF(ISNUMBER(FIND("C", AC87, 1)), SUBSTITUTE(AC87, "C", "E"), SUBSTITUTE(AC87, "E", "C"))</f>
        <v>E85</v>
      </c>
      <c r="AG87" s="189" t="str">
        <f aca="false">IF(ISNUMBER(FIND("C", AD87, 1)), SUBSTITUTE(AD87, "C", "E"), SUBSTITUTE(AD87, "E", "C"))</f>
        <v>E87</v>
      </c>
      <c r="AH87" s="189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205" t="s">
        <v>208</v>
      </c>
      <c r="C88" s="206" t="n">
        <v>2</v>
      </c>
      <c r="D88" s="204" t="s">
        <v>29</v>
      </c>
      <c r="E88" s="207" t="n">
        <v>0</v>
      </c>
      <c r="F88" s="219" t="s">
        <v>206</v>
      </c>
      <c r="G88" s="191"/>
      <c r="H88" s="209" t="n">
        <v>46196</v>
      </c>
      <c r="I88" s="210" t="n">
        <v>0.958333333333333</v>
      </c>
      <c r="J88" s="211"/>
      <c r="K88" s="234" t="s">
        <v>206</v>
      </c>
      <c r="L88" s="204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204" t="n">
        <f aca="false">N88-O88</f>
        <v>-5</v>
      </c>
      <c r="N88" s="204" t="n">
        <f aca="true">SUM(INDIRECT($AC88),INDIRECT($AD88),INDIRECT($AE88))</f>
        <v>1</v>
      </c>
      <c r="O88" s="204" t="n">
        <f aca="true">SUM(INDIRECT($AF88),INDIRECT($AG88),INDIRECT($AH88))</f>
        <v>6</v>
      </c>
      <c r="P88" s="204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204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221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191"/>
      <c r="T88" s="216" t="str">
        <f aca="false">IF(NOT(AND(ISNUMBER(C88),ISNUMBER(E88))),"XXX","")</f>
        <v/>
      </c>
      <c r="U88" s="217" t="n">
        <f aca="false">SUM(Y88,Z88,AA88)</f>
        <v>0</v>
      </c>
      <c r="V88" s="217"/>
      <c r="W88" s="217"/>
      <c r="X88" s="217"/>
      <c r="Y88" s="218" t="n">
        <f aca="false">IF(AND(ISNUMBER(RESULTADOS!C88),ISNUMBER(RESULTADOS!E88),ISNUMBER(C88),ISNUMBER(E88),C88=RESULTADOS!C88,E88=RESULTADOS!E88),2,0)</f>
        <v>0</v>
      </c>
      <c r="Z88" s="218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218" t="n">
        <f aca="false">IF(AND(ISNUMBER(RESULTADOS!C88),ISNUMBER(RESULTADOS!E88),ISNUMBER(C88),ISNUMBER(E88),AND(Z88=1,OR(C88=RESULTADOS!C88,E88=RESULTADOS!E88))),1,0)</f>
        <v>0</v>
      </c>
      <c r="AC88" s="189" t="s">
        <v>215</v>
      </c>
      <c r="AD88" s="189" t="s">
        <v>216</v>
      </c>
      <c r="AE88" s="189" t="s">
        <v>217</v>
      </c>
      <c r="AF88" s="189" t="str">
        <f aca="false">IF(ISNUMBER(FIND("C", AC88, 1)), SUBSTITUTE(AC88, "C", "E"), SUBSTITUTE(AC88, "E", "C"))</f>
        <v>C85</v>
      </c>
      <c r="AG88" s="189" t="str">
        <f aca="false">IF(ISNUMBER(FIND("C", AD88, 1)), SUBSTITUTE(AD88, "C", "E"), SUBSTITUTE(AD88, "E", "C"))</f>
        <v>C88</v>
      </c>
      <c r="AH88" s="189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205" t="s">
        <v>206</v>
      </c>
      <c r="C89" s="206" t="n">
        <v>1</v>
      </c>
      <c r="D89" s="204" t="s">
        <v>29</v>
      </c>
      <c r="E89" s="207" t="n">
        <v>1</v>
      </c>
      <c r="F89" s="219" t="s">
        <v>207</v>
      </c>
      <c r="G89" s="191"/>
      <c r="H89" s="209" t="n">
        <v>46200</v>
      </c>
      <c r="I89" s="210" t="n">
        <v>0.854166666666667</v>
      </c>
      <c r="J89" s="211"/>
      <c r="K89" s="235" t="s">
        <v>207</v>
      </c>
      <c r="L89" s="22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223" t="n">
        <f aca="false">N89-O89</f>
        <v>-5</v>
      </c>
      <c r="N89" s="223" t="n">
        <f aca="true">SUM(INDIRECT($AC89),INDIRECT($AD89),INDIRECT($AE89))</f>
        <v>1</v>
      </c>
      <c r="O89" s="223" t="n">
        <f aca="true">SUM(INDIRECT($AF89),INDIRECT($AG89),INDIRECT($AH89))</f>
        <v>6</v>
      </c>
      <c r="P89" s="22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223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224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191"/>
      <c r="T89" s="216" t="str">
        <f aca="false">IF(NOT(AND(ISNUMBER(C89),ISNUMBER(E89))),"XXX","")</f>
        <v/>
      </c>
      <c r="U89" s="217" t="n">
        <f aca="false">SUM(Y89,Z89,AA89)</f>
        <v>0</v>
      </c>
      <c r="V89" s="217"/>
      <c r="W89" s="217"/>
      <c r="X89" s="217"/>
      <c r="Y89" s="218" t="n">
        <f aca="false">IF(AND(ISNUMBER(RESULTADOS!C89),ISNUMBER(RESULTADOS!E89),ISNUMBER(C89),ISNUMBER(E89),C89=RESULTADOS!C89,E89=RESULTADOS!E89),2,0)</f>
        <v>0</v>
      </c>
      <c r="Z89" s="218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218" t="n">
        <f aca="false">IF(AND(ISNUMBER(RESULTADOS!C89),ISNUMBER(RESULTADOS!E89),ISNUMBER(C89),ISNUMBER(E89),AND(Z89=1,OR(C89=RESULTADOS!C89,E89=RESULTADOS!E89))),1,0)</f>
        <v>0</v>
      </c>
      <c r="AC89" s="189" t="s">
        <v>218</v>
      </c>
      <c r="AD89" s="189" t="s">
        <v>219</v>
      </c>
      <c r="AE89" s="189" t="s">
        <v>220</v>
      </c>
      <c r="AF89" s="189" t="str">
        <f aca="false">IF(ISNUMBER(FIND("C", AC89, 1)), SUBSTITUTE(AC89, "C", "E"), SUBSTITUTE(AC89, "E", "C"))</f>
        <v>E86</v>
      </c>
      <c r="AG89" s="189" t="str">
        <f aca="false">IF(ISNUMBER(FIND("C", AD89, 1)), SUBSTITUTE(AD89, "C", "E"), SUBSTITUTE(AD89, "E", "C"))</f>
        <v>C87</v>
      </c>
      <c r="AH89" s="189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225" t="s">
        <v>208</v>
      </c>
      <c r="C90" s="226" t="n">
        <v>1</v>
      </c>
      <c r="D90" s="223" t="s">
        <v>29</v>
      </c>
      <c r="E90" s="227" t="n">
        <v>2</v>
      </c>
      <c r="F90" s="228" t="s">
        <v>205</v>
      </c>
      <c r="G90" s="191"/>
      <c r="H90" s="229" t="n">
        <v>46200</v>
      </c>
      <c r="I90" s="230" t="n">
        <v>0.854166666666667</v>
      </c>
      <c r="J90" s="211"/>
      <c r="K90" s="231"/>
      <c r="S90" s="191"/>
      <c r="T90" s="216" t="str">
        <f aca="false">IF(NOT(AND(ISNUMBER(C90),ISNUMBER(E90))),"XXX","")</f>
        <v/>
      </c>
      <c r="U90" s="217" t="n">
        <f aca="false">SUM(Y90,Z90,AA90)</f>
        <v>0</v>
      </c>
      <c r="V90" s="217"/>
      <c r="W90" s="217"/>
      <c r="X90" s="217"/>
      <c r="Y90" s="218" t="n">
        <f aca="false">IF(AND(ISNUMBER(RESULTADOS!C90),ISNUMBER(RESULTADOS!E90),ISNUMBER(C90),ISNUMBER(E90),C90=RESULTADOS!C90,E90=RESULTADOS!E90),2,0)</f>
        <v>0</v>
      </c>
      <c r="Z90" s="218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218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231"/>
      <c r="C91" s="191"/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U91" s="191"/>
      <c r="V91" s="191"/>
      <c r="W91" s="191"/>
      <c r="X91" s="191"/>
    </row>
    <row r="92" customFormat="false" ht="12.75" hidden="false" customHeight="true" outlineLevel="0" collapsed="false">
      <c r="B92" s="200" t="s">
        <v>221</v>
      </c>
      <c r="C92" s="200"/>
      <c r="D92" s="200"/>
      <c r="E92" s="200"/>
      <c r="F92" s="200"/>
      <c r="G92" s="191"/>
      <c r="H92" s="201" t="s">
        <v>26</v>
      </c>
      <c r="I92" s="202" t="s">
        <v>27</v>
      </c>
      <c r="J92" s="203"/>
      <c r="K92" s="191"/>
      <c r="L92" s="191"/>
      <c r="M92" s="191"/>
      <c r="N92" s="191"/>
      <c r="O92" s="191"/>
      <c r="P92" s="191"/>
      <c r="Q92" s="191"/>
      <c r="R92" s="191"/>
      <c r="S92" s="191"/>
      <c r="U92" s="204"/>
      <c r="V92" s="204"/>
      <c r="W92" s="204"/>
      <c r="X92" s="204"/>
    </row>
    <row r="93" customFormat="false" ht="12.75" hidden="false" customHeight="true" outlineLevel="0" collapsed="false">
      <c r="B93" s="205" t="s">
        <v>222</v>
      </c>
      <c r="C93" s="206" t="n">
        <v>2</v>
      </c>
      <c r="D93" s="204" t="s">
        <v>29</v>
      </c>
      <c r="E93" s="207" t="n">
        <v>1</v>
      </c>
      <c r="F93" s="219" t="s">
        <v>223</v>
      </c>
      <c r="G93" s="191"/>
      <c r="H93" s="209" t="n">
        <v>46190</v>
      </c>
      <c r="I93" s="210" t="n">
        <v>0.708333333333333</v>
      </c>
      <c r="J93" s="211"/>
      <c r="K93" s="212"/>
      <c r="L93" s="213" t="s">
        <v>31</v>
      </c>
      <c r="M93" s="213" t="s">
        <v>32</v>
      </c>
      <c r="N93" s="213" t="s">
        <v>33</v>
      </c>
      <c r="O93" s="213" t="s">
        <v>34</v>
      </c>
      <c r="P93" s="213" t="s">
        <v>35</v>
      </c>
      <c r="Q93" s="213" t="s">
        <v>36</v>
      </c>
      <c r="R93" s="214" t="s">
        <v>37</v>
      </c>
      <c r="S93" s="215"/>
      <c r="T93" s="216" t="str">
        <f aca="false">IF(NOT(AND(ISNUMBER(C93),ISNUMBER(E93))),"XXX","")</f>
        <v/>
      </c>
      <c r="U93" s="217" t="n">
        <f aca="false">SUM(Y93,Z93,AA93)</f>
        <v>0</v>
      </c>
      <c r="V93" s="217"/>
      <c r="W93" s="217"/>
      <c r="X93" s="217"/>
      <c r="Y93" s="218" t="n">
        <f aca="false">IF(AND(ISNUMBER(RESULTADOS!C93),ISNUMBER(RESULTADOS!E93),ISNUMBER(C93),ISNUMBER(E93),C93=RESULTADOS!C93,E93=RESULTADOS!E93),2,0)</f>
        <v>0</v>
      </c>
      <c r="Z93" s="218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218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205" t="s">
        <v>224</v>
      </c>
      <c r="C94" s="206" t="n">
        <v>2</v>
      </c>
      <c r="D94" s="204" t="s">
        <v>29</v>
      </c>
      <c r="E94" s="207" t="n">
        <v>0</v>
      </c>
      <c r="F94" s="219" t="s">
        <v>225</v>
      </c>
      <c r="G94" s="191"/>
      <c r="H94" s="209" t="n">
        <v>46190</v>
      </c>
      <c r="I94" s="210" t="n">
        <v>0.833333333333333</v>
      </c>
      <c r="J94" s="211"/>
      <c r="K94" s="234" t="s">
        <v>223</v>
      </c>
      <c r="L94" s="204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204" t="n">
        <f aca="false">N94-O94</f>
        <v>1</v>
      </c>
      <c r="N94" s="204" t="n">
        <f aca="true">SUM(INDIRECT($AC94),INDIRECT($AD94),INDIRECT($AE94))</f>
        <v>4</v>
      </c>
      <c r="O94" s="204" t="n">
        <f aca="true">SUM(INDIRECT($AF94),INDIRECT($AG94),INDIRECT($AH94))</f>
        <v>3</v>
      </c>
      <c r="P94" s="204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204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221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15"/>
      <c r="T94" s="216" t="str">
        <f aca="false">IF(NOT(AND(ISNUMBER(C94),ISNUMBER(E94))),"XXX","")</f>
        <v/>
      </c>
      <c r="U94" s="217" t="n">
        <f aca="false">SUM(Y94,Z94,AA94)</f>
        <v>0</v>
      </c>
      <c r="V94" s="217"/>
      <c r="W94" s="217"/>
      <c r="X94" s="217"/>
      <c r="Y94" s="218" t="n">
        <f aca="false">IF(AND(ISNUMBER(RESULTADOS!C94),ISNUMBER(RESULTADOS!E94),ISNUMBER(C94),ISNUMBER(E94),C94=RESULTADOS!C94,E94=RESULTADOS!E94),2,0)</f>
        <v>0</v>
      </c>
      <c r="Z94" s="218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218" t="n">
        <f aca="false">IF(AND(ISNUMBER(RESULTADOS!C94),ISNUMBER(RESULTADOS!E94),ISNUMBER(C94),ISNUMBER(E94),AND(Z94=1,OR(C94=RESULTADOS!C94,E94=RESULTADOS!E94))),1,0)</f>
        <v>0</v>
      </c>
      <c r="AC94" s="189" t="s">
        <v>226</v>
      </c>
      <c r="AD94" s="189" t="s">
        <v>227</v>
      </c>
      <c r="AE94" s="189" t="s">
        <v>228</v>
      </c>
      <c r="AF94" s="189" t="str">
        <f aca="false">IF(ISNUMBER(FIND("C", AC94, 1)), SUBSTITUTE(AC94, "C", "E"), SUBSTITUTE(AC94, "E", "C"))</f>
        <v>C93</v>
      </c>
      <c r="AG94" s="189" t="str">
        <f aca="false">IF(ISNUMBER(FIND("C", AD94, 1)), SUBSTITUTE(AD94, "C", "E"), SUBSTITUTE(AD94, "E", "C"))</f>
        <v>C96</v>
      </c>
      <c r="AH94" s="189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205" t="s">
        <v>222</v>
      </c>
      <c r="C95" s="206" t="n">
        <v>2</v>
      </c>
      <c r="D95" s="204" t="s">
        <v>29</v>
      </c>
      <c r="E95" s="207" t="n">
        <v>0</v>
      </c>
      <c r="F95" s="219" t="s">
        <v>224</v>
      </c>
      <c r="G95" s="191"/>
      <c r="H95" s="209" t="n">
        <v>46196</v>
      </c>
      <c r="I95" s="210" t="n">
        <v>0.708333333333333</v>
      </c>
      <c r="J95" s="211"/>
      <c r="K95" s="234" t="s">
        <v>224</v>
      </c>
      <c r="L95" s="204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204" t="n">
        <f aca="false">N95-O95</f>
        <v>-1</v>
      </c>
      <c r="N95" s="204" t="n">
        <f aca="true">SUM(INDIRECT($AC95),INDIRECT($AD95),INDIRECT($AE95))</f>
        <v>3</v>
      </c>
      <c r="O95" s="204" t="n">
        <f aca="true">SUM(INDIRECT($AF95),INDIRECT($AG95),INDIRECT($AH95))</f>
        <v>4</v>
      </c>
      <c r="P95" s="204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204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221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191"/>
      <c r="T95" s="216" t="str">
        <f aca="false">IF(NOT(AND(ISNUMBER(C95),ISNUMBER(E95))),"XXX","")</f>
        <v/>
      </c>
      <c r="U95" s="217" t="n">
        <f aca="false">SUM(Y95,Z95,AA95)</f>
        <v>0</v>
      </c>
      <c r="V95" s="217"/>
      <c r="W95" s="217"/>
      <c r="X95" s="217"/>
      <c r="Y95" s="218" t="n">
        <f aca="false">IF(AND(ISNUMBER(RESULTADOS!C95),ISNUMBER(RESULTADOS!E95),ISNUMBER(C95),ISNUMBER(E95),C95=RESULTADOS!C95,E95=RESULTADOS!E95),2,0)</f>
        <v>0</v>
      </c>
      <c r="Z95" s="218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218" t="n">
        <f aca="false">IF(AND(ISNUMBER(RESULTADOS!C95),ISNUMBER(RESULTADOS!E95),ISNUMBER(C95),ISNUMBER(E95),AND(Z95=1,OR(C95=RESULTADOS!C95,E95=RESULTADOS!E95))),1,0)</f>
        <v>0</v>
      </c>
      <c r="AC95" s="189" t="s">
        <v>229</v>
      </c>
      <c r="AD95" s="189" t="s">
        <v>230</v>
      </c>
      <c r="AE95" s="189" t="s">
        <v>231</v>
      </c>
      <c r="AF95" s="189" t="str">
        <f aca="false">IF(ISNUMBER(FIND("C", AC95, 1)), SUBSTITUTE(AC95, "C", "E"), SUBSTITUTE(AC95, "E", "C"))</f>
        <v>E94</v>
      </c>
      <c r="AG95" s="189" t="str">
        <f aca="false">IF(ISNUMBER(FIND("C", AD95, 1)), SUBSTITUTE(AD95, "C", "E"), SUBSTITUTE(AD95, "E", "C"))</f>
        <v>C95</v>
      </c>
      <c r="AH95" s="189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205" t="s">
        <v>225</v>
      </c>
      <c r="C96" s="206" t="n">
        <v>0</v>
      </c>
      <c r="D96" s="204" t="s">
        <v>29</v>
      </c>
      <c r="E96" s="207" t="n">
        <v>1</v>
      </c>
      <c r="F96" s="219" t="s">
        <v>223</v>
      </c>
      <c r="G96" s="191"/>
      <c r="H96" s="209" t="n">
        <v>46196</v>
      </c>
      <c r="I96" s="210" t="n">
        <v>0.833333333333333</v>
      </c>
      <c r="J96" s="211"/>
      <c r="K96" s="234" t="s">
        <v>222</v>
      </c>
      <c r="L96" s="204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204" t="n">
        <f aca="false">N96-O96</f>
        <v>6</v>
      </c>
      <c r="N96" s="204" t="n">
        <f aca="true">SUM(INDIRECT($AC96),INDIRECT($AD96),INDIRECT($AE96))</f>
        <v>7</v>
      </c>
      <c r="O96" s="204" t="n">
        <f aca="true">SUM(INDIRECT($AF96),INDIRECT($AG96),INDIRECT($AH96))</f>
        <v>1</v>
      </c>
      <c r="P96" s="204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204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221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191"/>
      <c r="T96" s="216" t="str">
        <f aca="false">IF(NOT(AND(ISNUMBER(C96),ISNUMBER(E96))),"XXX","")</f>
        <v/>
      </c>
      <c r="U96" s="217" t="n">
        <f aca="false">SUM(Y96,Z96,AA96)</f>
        <v>0</v>
      </c>
      <c r="V96" s="217"/>
      <c r="W96" s="217"/>
      <c r="X96" s="217"/>
      <c r="Y96" s="218" t="n">
        <f aca="false">IF(AND(ISNUMBER(RESULTADOS!C96),ISNUMBER(RESULTADOS!E96),ISNUMBER(C96),ISNUMBER(E96),C96=RESULTADOS!C96,E96=RESULTADOS!E96),2,0)</f>
        <v>0</v>
      </c>
      <c r="Z96" s="218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218" t="n">
        <f aca="false">IF(AND(ISNUMBER(RESULTADOS!C96),ISNUMBER(RESULTADOS!E96),ISNUMBER(C96),ISNUMBER(E96),AND(Z96=1,OR(C96=RESULTADOS!C96,E96=RESULTADOS!E96))),1,0)</f>
        <v>0</v>
      </c>
      <c r="AC96" s="189" t="s">
        <v>232</v>
      </c>
      <c r="AD96" s="189" t="s">
        <v>233</v>
      </c>
      <c r="AE96" s="189" t="s">
        <v>234</v>
      </c>
      <c r="AF96" s="189" t="str">
        <f aca="false">IF(ISNUMBER(FIND("C", AC96, 1)), SUBSTITUTE(AC96, "C", "E"), SUBSTITUTE(AC96, "E", "C"))</f>
        <v>E93</v>
      </c>
      <c r="AG96" s="189" t="str">
        <f aca="false">IF(ISNUMBER(FIND("C", AD96, 1)), SUBSTITUTE(AD96, "C", "E"), SUBSTITUTE(AD96, "E", "C"))</f>
        <v>E95</v>
      </c>
      <c r="AH96" s="189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205" t="s">
        <v>223</v>
      </c>
      <c r="C97" s="206" t="n">
        <v>2</v>
      </c>
      <c r="D97" s="204" t="s">
        <v>29</v>
      </c>
      <c r="E97" s="207" t="n">
        <v>1</v>
      </c>
      <c r="F97" s="219" t="s">
        <v>224</v>
      </c>
      <c r="G97" s="191"/>
      <c r="H97" s="209" t="n">
        <v>46200</v>
      </c>
      <c r="I97" s="210" t="n">
        <v>0.75</v>
      </c>
      <c r="J97" s="211"/>
      <c r="K97" s="235" t="s">
        <v>225</v>
      </c>
      <c r="L97" s="22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223" t="n">
        <f aca="false">N97-O97</f>
        <v>-6</v>
      </c>
      <c r="N97" s="223" t="n">
        <f aca="true">SUM(INDIRECT($AC97),INDIRECT($AD97),INDIRECT($AE97))</f>
        <v>0</v>
      </c>
      <c r="O97" s="223" t="n">
        <f aca="true">SUM(INDIRECT($AF97),INDIRECT($AG97),INDIRECT($AH97))</f>
        <v>6</v>
      </c>
      <c r="P97" s="22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22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22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191"/>
      <c r="T97" s="216" t="str">
        <f aca="false">IF(NOT(AND(ISNUMBER(C97),ISNUMBER(E97))),"XXX","")</f>
        <v/>
      </c>
      <c r="U97" s="217" t="n">
        <f aca="false">SUM(Y97,Z97,AA97)</f>
        <v>0</v>
      </c>
      <c r="V97" s="217"/>
      <c r="W97" s="217"/>
      <c r="X97" s="217"/>
      <c r="Y97" s="218" t="n">
        <f aca="false">IF(AND(ISNUMBER(RESULTADOS!C97),ISNUMBER(RESULTADOS!E97),ISNUMBER(C97),ISNUMBER(E97),C97=RESULTADOS!C97,E97=RESULTADOS!E97),2,0)</f>
        <v>0</v>
      </c>
      <c r="Z97" s="218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218" t="n">
        <f aca="false">IF(AND(ISNUMBER(RESULTADOS!C97),ISNUMBER(RESULTADOS!E97),ISNUMBER(C97),ISNUMBER(E97),AND(Z97=1,OR(C97=RESULTADOS!C97,E97=RESULTADOS!E97))),1,0)</f>
        <v>0</v>
      </c>
      <c r="AC97" s="189" t="s">
        <v>235</v>
      </c>
      <c r="AD97" s="189" t="s">
        <v>236</v>
      </c>
      <c r="AE97" s="189" t="s">
        <v>237</v>
      </c>
      <c r="AF97" s="189" t="str">
        <f aca="false">IF(ISNUMBER(FIND("C", AC97, 1)), SUBSTITUTE(AC97, "C", "E"), SUBSTITUTE(AC97, "E", "C"))</f>
        <v>C94</v>
      </c>
      <c r="AG97" s="189" t="str">
        <f aca="false">IF(ISNUMBER(FIND("C", AD97, 1)), SUBSTITUTE(AD97, "C", "E"), SUBSTITUTE(AD97, "E", "C"))</f>
        <v>E96</v>
      </c>
      <c r="AH97" s="189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225" t="s">
        <v>225</v>
      </c>
      <c r="C98" s="226" t="n">
        <v>0</v>
      </c>
      <c r="D98" s="223" t="s">
        <v>29</v>
      </c>
      <c r="E98" s="227" t="n">
        <v>3</v>
      </c>
      <c r="F98" s="228" t="s">
        <v>222</v>
      </c>
      <c r="G98" s="191"/>
      <c r="H98" s="229" t="n">
        <v>46200</v>
      </c>
      <c r="I98" s="230" t="n">
        <v>0.75</v>
      </c>
      <c r="J98" s="211"/>
      <c r="K98" s="231"/>
      <c r="S98" s="191"/>
      <c r="T98" s="216" t="str">
        <f aca="false">IF(NOT(AND(ISNUMBER(C98),ISNUMBER(E98))),"XXX","")</f>
        <v/>
      </c>
      <c r="U98" s="217" t="n">
        <f aca="false">SUM(Y98,Z98,AA98)</f>
        <v>0</v>
      </c>
      <c r="V98" s="217"/>
      <c r="W98" s="217"/>
      <c r="X98" s="217"/>
      <c r="Y98" s="218" t="n">
        <f aca="false">IF(AND(ISNUMBER(RESULTADOS!C98),ISNUMBER(RESULTADOS!E98),ISNUMBER(C98),ISNUMBER(E98),C98=RESULTADOS!C98,E98=RESULTADOS!E98),2,0)</f>
        <v>0</v>
      </c>
      <c r="Z98" s="218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218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1"/>
      <c r="AJ101" s="191"/>
      <c r="AK101" s="191"/>
      <c r="AL101" s="191"/>
      <c r="AM101" s="191"/>
      <c r="AN101" s="191"/>
      <c r="AO101" s="191"/>
      <c r="AP101" s="191"/>
      <c r="AQ101" s="191"/>
      <c r="AR101" s="191"/>
    </row>
    <row r="102" customFormat="false" ht="12.75" hidden="false" customHeight="true" outlineLevel="0" collapsed="false">
      <c r="H102" s="236"/>
      <c r="I102" s="236"/>
      <c r="J102" s="236"/>
      <c r="U102" s="204"/>
      <c r="V102" s="204"/>
      <c r="W102" s="204"/>
      <c r="X102" s="204"/>
    </row>
    <row r="103" customFormat="false" ht="12.75" hidden="false" customHeight="true" outlineLevel="0" collapsed="false">
      <c r="H103" s="236"/>
      <c r="I103" s="236"/>
      <c r="J103" s="236"/>
      <c r="L103" s="237"/>
      <c r="M103" s="237"/>
      <c r="N103" s="237"/>
      <c r="O103" s="237"/>
      <c r="P103" s="237"/>
      <c r="Q103" s="237"/>
      <c r="R103" s="237"/>
      <c r="U103" s="204"/>
      <c r="V103" s="204"/>
      <c r="W103" s="204"/>
      <c r="X103" s="204"/>
    </row>
    <row r="104" customFormat="false" ht="12.75" hidden="false" customHeight="true" outlineLevel="0" collapsed="false">
      <c r="H104" s="236"/>
      <c r="I104" s="236"/>
      <c r="J104" s="236"/>
      <c r="L104" s="237"/>
      <c r="M104" s="237"/>
      <c r="N104" s="237"/>
      <c r="O104" s="237"/>
      <c r="P104" s="237"/>
      <c r="Q104" s="237"/>
      <c r="R104" s="237"/>
      <c r="U104" s="204"/>
      <c r="V104" s="204"/>
      <c r="W104" s="204"/>
      <c r="X104" s="204"/>
    </row>
    <row r="105" customFormat="false" ht="12.75" hidden="false" customHeight="true" outlineLevel="0" collapsed="false">
      <c r="H105" s="236"/>
      <c r="I105" s="236"/>
      <c r="J105" s="236"/>
      <c r="L105" s="237"/>
      <c r="M105" s="237"/>
      <c r="N105" s="237"/>
      <c r="O105" s="237"/>
      <c r="P105" s="237"/>
      <c r="Q105" s="237"/>
      <c r="R105" s="237"/>
      <c r="U105" s="204"/>
      <c r="V105" s="204"/>
      <c r="W105" s="204"/>
      <c r="X105" s="204"/>
    </row>
    <row r="106" customFormat="false" ht="12.75" hidden="false" customHeight="true" outlineLevel="0" collapsed="false">
      <c r="H106" s="236"/>
      <c r="I106" s="236"/>
      <c r="J106" s="236"/>
      <c r="L106" s="237"/>
      <c r="M106" s="237"/>
      <c r="N106" s="237"/>
      <c r="O106" s="237"/>
      <c r="P106" s="237"/>
      <c r="Q106" s="237"/>
      <c r="R106" s="237"/>
      <c r="U106" s="204"/>
      <c r="V106" s="204"/>
      <c r="W106" s="204"/>
      <c r="X106" s="204"/>
    </row>
    <row r="107" customFormat="false" ht="12.75" hidden="false" customHeight="true" outlineLevel="0" collapsed="false">
      <c r="H107" s="236"/>
      <c r="I107" s="236"/>
      <c r="J107" s="236"/>
      <c r="L107" s="237"/>
      <c r="M107" s="237"/>
      <c r="N107" s="237"/>
      <c r="O107" s="237"/>
      <c r="P107" s="237"/>
      <c r="Q107" s="237"/>
      <c r="R107" s="237"/>
      <c r="U107" s="204"/>
      <c r="V107" s="204"/>
      <c r="W107" s="204"/>
      <c r="X107" s="204"/>
    </row>
    <row r="108" customFormat="false" ht="12.75" hidden="false" customHeight="true" outlineLevel="0" collapsed="false">
      <c r="H108" s="236"/>
      <c r="I108" s="236"/>
      <c r="J108" s="236"/>
      <c r="L108" s="237"/>
      <c r="M108" s="237"/>
      <c r="N108" s="237"/>
      <c r="O108" s="237"/>
      <c r="P108" s="237"/>
      <c r="Q108" s="237"/>
      <c r="R108" s="237"/>
      <c r="U108" s="204"/>
      <c r="V108" s="204"/>
      <c r="W108" s="204"/>
      <c r="X108" s="204"/>
    </row>
    <row r="109" customFormat="false" ht="12.75" hidden="false" customHeight="true" outlineLevel="0" collapsed="false">
      <c r="H109" s="236"/>
      <c r="I109" s="236"/>
      <c r="J109" s="236"/>
      <c r="L109" s="237"/>
      <c r="M109" s="237"/>
      <c r="N109" s="237"/>
      <c r="O109" s="237"/>
      <c r="P109" s="237"/>
      <c r="Q109" s="237"/>
      <c r="R109" s="237"/>
      <c r="U109" s="204"/>
      <c r="V109" s="204"/>
      <c r="W109" s="204"/>
      <c r="X109" s="204"/>
    </row>
    <row r="110" customFormat="false" ht="12.75" hidden="false" customHeight="true" outlineLevel="0" collapsed="false">
      <c r="H110" s="236"/>
      <c r="I110" s="236"/>
      <c r="J110" s="236"/>
      <c r="L110" s="237"/>
      <c r="M110" s="237"/>
      <c r="N110" s="237"/>
      <c r="O110" s="237"/>
      <c r="P110" s="237"/>
      <c r="Q110" s="237"/>
      <c r="R110" s="237"/>
      <c r="U110" s="204"/>
      <c r="V110" s="204"/>
      <c r="W110" s="204"/>
      <c r="X110" s="204"/>
    </row>
    <row r="111" customFormat="false" ht="12.75" hidden="false" customHeight="true" outlineLevel="0" collapsed="false">
      <c r="H111" s="236"/>
      <c r="I111" s="236"/>
      <c r="J111" s="236"/>
      <c r="L111" s="237"/>
      <c r="M111" s="237"/>
      <c r="N111" s="237"/>
      <c r="O111" s="237"/>
      <c r="P111" s="237"/>
      <c r="Q111" s="237"/>
      <c r="R111" s="237"/>
      <c r="U111" s="204"/>
      <c r="V111" s="204"/>
      <c r="W111" s="204"/>
      <c r="X111" s="204"/>
    </row>
    <row r="112" customFormat="false" ht="12.75" hidden="false" customHeight="true" outlineLevel="0" collapsed="false">
      <c r="H112" s="236"/>
      <c r="I112" s="236"/>
      <c r="J112" s="236"/>
      <c r="L112" s="237"/>
      <c r="M112" s="237"/>
      <c r="N112" s="237"/>
      <c r="O112" s="237"/>
      <c r="P112" s="237"/>
      <c r="Q112" s="237"/>
      <c r="R112" s="237"/>
      <c r="U112" s="204"/>
      <c r="V112" s="204"/>
      <c r="W112" s="204"/>
      <c r="X112" s="204"/>
    </row>
    <row r="113" customFormat="false" ht="12.75" hidden="false" customHeight="true" outlineLevel="0" collapsed="false">
      <c r="H113" s="236"/>
      <c r="I113" s="236"/>
      <c r="J113" s="236"/>
      <c r="L113" s="237"/>
      <c r="M113" s="237"/>
      <c r="N113" s="237"/>
      <c r="O113" s="237"/>
      <c r="P113" s="237"/>
      <c r="Q113" s="237"/>
      <c r="R113" s="237"/>
      <c r="U113" s="204"/>
      <c r="V113" s="204"/>
      <c r="W113" s="204"/>
      <c r="X113" s="204"/>
    </row>
    <row r="114" customFormat="false" ht="12.75" hidden="false" customHeight="true" outlineLevel="0" collapsed="false">
      <c r="H114" s="236"/>
      <c r="I114" s="236"/>
      <c r="J114" s="236"/>
      <c r="L114" s="237"/>
      <c r="M114" s="237"/>
      <c r="N114" s="237"/>
      <c r="O114" s="237"/>
      <c r="P114" s="237"/>
      <c r="Q114" s="237"/>
      <c r="R114" s="237"/>
      <c r="U114" s="204"/>
      <c r="V114" s="204"/>
      <c r="W114" s="204"/>
      <c r="X114" s="204"/>
    </row>
    <row r="115" customFormat="false" ht="12.75" hidden="false" customHeight="true" outlineLevel="0" collapsed="false">
      <c r="H115" s="236"/>
      <c r="I115" s="236"/>
      <c r="J115" s="236"/>
      <c r="L115" s="237"/>
      <c r="M115" s="237"/>
      <c r="N115" s="237"/>
      <c r="O115" s="237"/>
      <c r="P115" s="237"/>
      <c r="Q115" s="237"/>
      <c r="R115" s="237"/>
      <c r="U115" s="204"/>
      <c r="V115" s="204"/>
      <c r="W115" s="204"/>
      <c r="X115" s="204"/>
    </row>
    <row r="116" customFormat="false" ht="12.75" hidden="false" customHeight="true" outlineLevel="0" collapsed="false">
      <c r="H116" s="236"/>
      <c r="I116" s="236"/>
      <c r="J116" s="236"/>
      <c r="L116" s="237"/>
      <c r="M116" s="237"/>
      <c r="N116" s="237"/>
      <c r="O116" s="237"/>
      <c r="P116" s="237"/>
      <c r="Q116" s="237"/>
      <c r="R116" s="237"/>
      <c r="U116" s="204"/>
      <c r="V116" s="204"/>
      <c r="W116" s="204"/>
      <c r="X116" s="204"/>
    </row>
    <row r="117" customFormat="false" ht="12.75" hidden="false" customHeight="true" outlineLevel="0" collapsed="false">
      <c r="H117" s="236"/>
      <c r="I117" s="236"/>
      <c r="J117" s="236"/>
      <c r="L117" s="237"/>
      <c r="M117" s="237"/>
      <c r="N117" s="237"/>
      <c r="O117" s="237"/>
      <c r="P117" s="237"/>
      <c r="Q117" s="237"/>
      <c r="R117" s="237"/>
      <c r="U117" s="204"/>
      <c r="V117" s="204"/>
      <c r="W117" s="204"/>
      <c r="X117" s="204"/>
    </row>
    <row r="118" customFormat="false" ht="12.75" hidden="false" customHeight="true" outlineLevel="0" collapsed="false">
      <c r="H118" s="236"/>
      <c r="I118" s="236"/>
      <c r="J118" s="236"/>
      <c r="L118" s="237"/>
      <c r="M118" s="237"/>
      <c r="N118" s="237"/>
      <c r="O118" s="237"/>
      <c r="P118" s="237"/>
      <c r="Q118" s="237"/>
      <c r="R118" s="237"/>
      <c r="U118" s="204"/>
      <c r="V118" s="204"/>
      <c r="W118" s="204"/>
      <c r="X118" s="204"/>
    </row>
    <row r="119" customFormat="false" ht="12.75" hidden="false" customHeight="true" outlineLevel="0" collapsed="false">
      <c r="H119" s="236"/>
      <c r="I119" s="236"/>
      <c r="J119" s="236"/>
      <c r="L119" s="237"/>
      <c r="M119" s="237"/>
      <c r="N119" s="237"/>
      <c r="O119" s="237"/>
      <c r="P119" s="237"/>
      <c r="Q119" s="237"/>
      <c r="R119" s="237"/>
      <c r="U119" s="204"/>
      <c r="V119" s="204"/>
      <c r="W119" s="204"/>
      <c r="X119" s="204"/>
    </row>
    <row r="120" customFormat="false" ht="12.75" hidden="false" customHeight="true" outlineLevel="0" collapsed="false">
      <c r="H120" s="236"/>
      <c r="I120" s="236"/>
      <c r="J120" s="236"/>
      <c r="L120" s="237"/>
      <c r="M120" s="237"/>
      <c r="N120" s="237"/>
      <c r="O120" s="237"/>
      <c r="P120" s="237"/>
      <c r="Q120" s="237"/>
      <c r="R120" s="237"/>
      <c r="U120" s="204"/>
      <c r="V120" s="204"/>
      <c r="W120" s="204"/>
      <c r="X120" s="204"/>
    </row>
    <row r="121" customFormat="false" ht="12.75" hidden="false" customHeight="true" outlineLevel="0" collapsed="false">
      <c r="H121" s="236"/>
      <c r="I121" s="236"/>
      <c r="J121" s="236"/>
      <c r="L121" s="237"/>
      <c r="M121" s="237"/>
      <c r="N121" s="237"/>
      <c r="O121" s="237"/>
      <c r="P121" s="237"/>
      <c r="Q121" s="237"/>
      <c r="R121" s="237"/>
      <c r="U121" s="204"/>
      <c r="V121" s="204"/>
      <c r="W121" s="204"/>
      <c r="X121" s="204"/>
    </row>
    <row r="122" customFormat="false" ht="12.75" hidden="false" customHeight="true" outlineLevel="0" collapsed="false">
      <c r="H122" s="236"/>
      <c r="I122" s="236"/>
      <c r="J122" s="236"/>
      <c r="L122" s="237"/>
      <c r="M122" s="237"/>
      <c r="N122" s="237"/>
      <c r="O122" s="237"/>
      <c r="P122" s="237"/>
      <c r="Q122" s="237"/>
      <c r="R122" s="237"/>
      <c r="U122" s="204"/>
      <c r="V122" s="204"/>
      <c r="W122" s="204"/>
      <c r="X122" s="204"/>
    </row>
    <row r="123" customFormat="false" ht="12.75" hidden="false" customHeight="true" outlineLevel="0" collapsed="false">
      <c r="H123" s="236"/>
      <c r="I123" s="236"/>
      <c r="J123" s="236"/>
      <c r="L123" s="237"/>
      <c r="M123" s="237"/>
      <c r="N123" s="237"/>
      <c r="O123" s="237"/>
      <c r="P123" s="237"/>
      <c r="Q123" s="237"/>
      <c r="R123" s="237"/>
      <c r="U123" s="204"/>
      <c r="V123" s="204"/>
      <c r="W123" s="204"/>
      <c r="X123" s="204"/>
    </row>
    <row r="124" customFormat="false" ht="12.75" hidden="false" customHeight="true" outlineLevel="0" collapsed="false">
      <c r="H124" s="236"/>
      <c r="I124" s="236"/>
      <c r="J124" s="236"/>
      <c r="L124" s="237"/>
      <c r="M124" s="237"/>
      <c r="N124" s="237"/>
      <c r="O124" s="237"/>
      <c r="P124" s="237"/>
      <c r="Q124" s="237"/>
      <c r="R124" s="237"/>
      <c r="U124" s="204"/>
      <c r="V124" s="204"/>
      <c r="W124" s="204"/>
      <c r="X124" s="204"/>
    </row>
    <row r="125" customFormat="false" ht="12.75" hidden="false" customHeight="true" outlineLevel="0" collapsed="false">
      <c r="H125" s="236"/>
      <c r="I125" s="236"/>
      <c r="J125" s="236"/>
      <c r="L125" s="237"/>
      <c r="M125" s="237"/>
      <c r="N125" s="237"/>
      <c r="O125" s="237"/>
      <c r="P125" s="237"/>
      <c r="Q125" s="237"/>
      <c r="R125" s="237"/>
      <c r="U125" s="204"/>
      <c r="V125" s="204"/>
      <c r="W125" s="204"/>
      <c r="X125" s="204"/>
    </row>
    <row r="126" customFormat="false" ht="12.75" hidden="false" customHeight="true" outlineLevel="0" collapsed="false">
      <c r="H126" s="236"/>
      <c r="I126" s="236"/>
      <c r="J126" s="236"/>
      <c r="L126" s="237"/>
      <c r="M126" s="237"/>
      <c r="N126" s="237"/>
      <c r="O126" s="237"/>
      <c r="P126" s="237"/>
      <c r="Q126" s="237"/>
      <c r="R126" s="237"/>
      <c r="U126" s="204"/>
      <c r="V126" s="204"/>
      <c r="W126" s="204"/>
      <c r="X126" s="204"/>
    </row>
    <row r="127" customFormat="false" ht="12.75" hidden="false" customHeight="true" outlineLevel="0" collapsed="false">
      <c r="H127" s="236"/>
      <c r="I127" s="236"/>
      <c r="J127" s="236"/>
      <c r="L127" s="237"/>
      <c r="M127" s="237"/>
      <c r="N127" s="237"/>
      <c r="O127" s="237"/>
      <c r="P127" s="237"/>
      <c r="Q127" s="237"/>
      <c r="R127" s="237"/>
      <c r="U127" s="204"/>
      <c r="V127" s="204"/>
      <c r="W127" s="204"/>
      <c r="X127" s="204"/>
    </row>
    <row r="128" customFormat="false" ht="12.75" hidden="false" customHeight="true" outlineLevel="0" collapsed="false">
      <c r="H128" s="236"/>
      <c r="I128" s="236"/>
      <c r="J128" s="236"/>
      <c r="L128" s="237"/>
      <c r="M128" s="237"/>
      <c r="N128" s="237"/>
      <c r="O128" s="237"/>
      <c r="P128" s="237"/>
      <c r="Q128" s="237"/>
      <c r="R128" s="237"/>
      <c r="U128" s="204"/>
      <c r="V128" s="204"/>
      <c r="W128" s="204"/>
      <c r="X128" s="204"/>
    </row>
    <row r="129" customFormat="false" ht="12.75" hidden="false" customHeight="true" outlineLevel="0" collapsed="false">
      <c r="H129" s="236"/>
      <c r="I129" s="236"/>
      <c r="J129" s="236"/>
      <c r="L129" s="237"/>
      <c r="M129" s="237"/>
      <c r="N129" s="237"/>
      <c r="O129" s="237"/>
      <c r="P129" s="237"/>
      <c r="Q129" s="237"/>
      <c r="R129" s="237"/>
      <c r="U129" s="204"/>
      <c r="V129" s="204"/>
      <c r="W129" s="204"/>
      <c r="X129" s="204"/>
    </row>
    <row r="130" customFormat="false" ht="12.75" hidden="false" customHeight="true" outlineLevel="0" collapsed="false">
      <c r="H130" s="236"/>
      <c r="I130" s="236"/>
      <c r="J130" s="236"/>
      <c r="L130" s="237"/>
      <c r="M130" s="237"/>
      <c r="N130" s="237"/>
      <c r="O130" s="237"/>
      <c r="P130" s="237"/>
      <c r="Q130" s="237"/>
      <c r="R130" s="237"/>
      <c r="U130" s="204"/>
      <c r="V130" s="204"/>
      <c r="W130" s="204"/>
      <c r="X130" s="204"/>
    </row>
    <row r="131" customFormat="false" ht="12.75" hidden="false" customHeight="true" outlineLevel="0" collapsed="false">
      <c r="H131" s="236"/>
      <c r="I131" s="236"/>
      <c r="J131" s="236"/>
      <c r="L131" s="237"/>
      <c r="M131" s="237"/>
      <c r="N131" s="237"/>
      <c r="O131" s="237"/>
      <c r="P131" s="237"/>
      <c r="Q131" s="237"/>
      <c r="R131" s="237"/>
      <c r="U131" s="204"/>
      <c r="V131" s="204"/>
      <c r="W131" s="204"/>
      <c r="X131" s="204"/>
    </row>
    <row r="132" customFormat="false" ht="12.75" hidden="false" customHeight="true" outlineLevel="0" collapsed="false">
      <c r="H132" s="236"/>
      <c r="I132" s="236"/>
      <c r="J132" s="236"/>
      <c r="L132" s="237"/>
      <c r="M132" s="237"/>
      <c r="N132" s="237"/>
      <c r="O132" s="237"/>
      <c r="P132" s="237"/>
      <c r="Q132" s="237"/>
      <c r="R132" s="237"/>
      <c r="U132" s="204"/>
      <c r="V132" s="204"/>
      <c r="W132" s="204"/>
      <c r="X132" s="204"/>
    </row>
    <row r="133" customFormat="false" ht="12.75" hidden="false" customHeight="true" outlineLevel="0" collapsed="false">
      <c r="H133" s="236"/>
      <c r="I133" s="236"/>
      <c r="J133" s="236"/>
      <c r="L133" s="237"/>
      <c r="M133" s="237"/>
      <c r="N133" s="237"/>
      <c r="O133" s="237"/>
      <c r="P133" s="237"/>
      <c r="Q133" s="237"/>
      <c r="R133" s="237"/>
      <c r="U133" s="204"/>
      <c r="V133" s="204"/>
      <c r="W133" s="204"/>
      <c r="X133" s="204"/>
    </row>
    <row r="134" customFormat="false" ht="12.75" hidden="false" customHeight="true" outlineLevel="0" collapsed="false">
      <c r="H134" s="236"/>
      <c r="I134" s="236"/>
      <c r="J134" s="236"/>
      <c r="L134" s="237"/>
      <c r="M134" s="237"/>
      <c r="N134" s="237"/>
      <c r="O134" s="237"/>
      <c r="P134" s="237"/>
      <c r="Q134" s="237"/>
      <c r="R134" s="237"/>
      <c r="U134" s="204"/>
      <c r="V134" s="204"/>
      <c r="W134" s="204"/>
      <c r="X134" s="204"/>
    </row>
    <row r="135" customFormat="false" ht="12.75" hidden="false" customHeight="true" outlineLevel="0" collapsed="false">
      <c r="H135" s="236"/>
      <c r="I135" s="236"/>
      <c r="J135" s="236"/>
      <c r="L135" s="237"/>
      <c r="M135" s="237"/>
      <c r="N135" s="237"/>
      <c r="O135" s="237"/>
      <c r="P135" s="237"/>
      <c r="Q135" s="237"/>
      <c r="R135" s="237"/>
      <c r="U135" s="204"/>
      <c r="V135" s="204"/>
      <c r="W135" s="204"/>
      <c r="X135" s="204"/>
    </row>
    <row r="136" customFormat="false" ht="12.75" hidden="false" customHeight="true" outlineLevel="0" collapsed="false">
      <c r="H136" s="236"/>
      <c r="I136" s="236"/>
      <c r="J136" s="236"/>
      <c r="L136" s="237"/>
      <c r="M136" s="237"/>
      <c r="N136" s="237"/>
      <c r="O136" s="237"/>
      <c r="P136" s="237"/>
      <c r="Q136" s="237"/>
      <c r="R136" s="237"/>
      <c r="U136" s="204"/>
      <c r="V136" s="204"/>
      <c r="W136" s="204"/>
      <c r="X136" s="204"/>
    </row>
    <row r="137" customFormat="false" ht="12.75" hidden="false" customHeight="true" outlineLevel="0" collapsed="false">
      <c r="H137" s="236"/>
      <c r="I137" s="236"/>
      <c r="J137" s="236"/>
      <c r="L137" s="237"/>
      <c r="M137" s="237"/>
      <c r="N137" s="237"/>
      <c r="O137" s="237"/>
      <c r="P137" s="237"/>
      <c r="Q137" s="237"/>
      <c r="R137" s="237"/>
      <c r="U137" s="204"/>
      <c r="V137" s="204"/>
      <c r="W137" s="204"/>
      <c r="X137" s="204"/>
    </row>
    <row r="138" customFormat="false" ht="12.75" hidden="false" customHeight="true" outlineLevel="0" collapsed="false">
      <c r="H138" s="236"/>
      <c r="I138" s="236"/>
      <c r="J138" s="236"/>
      <c r="L138" s="237"/>
      <c r="M138" s="237"/>
      <c r="N138" s="237"/>
      <c r="O138" s="237"/>
      <c r="P138" s="237"/>
      <c r="Q138" s="237"/>
      <c r="R138" s="237"/>
      <c r="U138" s="204"/>
      <c r="V138" s="204"/>
      <c r="W138" s="204"/>
      <c r="X138" s="204"/>
    </row>
    <row r="139" customFormat="false" ht="12.75" hidden="false" customHeight="true" outlineLevel="0" collapsed="false">
      <c r="H139" s="236"/>
      <c r="I139" s="236"/>
      <c r="J139" s="236"/>
      <c r="L139" s="237"/>
      <c r="M139" s="237"/>
      <c r="N139" s="237"/>
      <c r="O139" s="237"/>
      <c r="P139" s="237"/>
      <c r="Q139" s="237"/>
      <c r="R139" s="237"/>
      <c r="U139" s="204"/>
      <c r="V139" s="204"/>
      <c r="W139" s="204"/>
      <c r="X139" s="204"/>
    </row>
    <row r="140" customFormat="false" ht="12.75" hidden="false" customHeight="true" outlineLevel="0" collapsed="false">
      <c r="H140" s="236"/>
      <c r="I140" s="236"/>
      <c r="J140" s="236"/>
      <c r="L140" s="237"/>
      <c r="M140" s="237"/>
      <c r="N140" s="237"/>
      <c r="O140" s="237"/>
      <c r="P140" s="237"/>
      <c r="Q140" s="237"/>
      <c r="R140" s="237"/>
      <c r="U140" s="204"/>
      <c r="V140" s="204"/>
      <c r="W140" s="204"/>
      <c r="X140" s="204"/>
    </row>
    <row r="141" customFormat="false" ht="12.75" hidden="false" customHeight="true" outlineLevel="0" collapsed="false">
      <c r="H141" s="236"/>
      <c r="I141" s="236"/>
      <c r="J141" s="236"/>
      <c r="L141" s="237"/>
      <c r="M141" s="237"/>
      <c r="N141" s="237"/>
      <c r="O141" s="237"/>
      <c r="P141" s="237"/>
      <c r="Q141" s="237"/>
      <c r="R141" s="237"/>
      <c r="U141" s="204"/>
      <c r="V141" s="204"/>
      <c r="W141" s="204"/>
      <c r="X141" s="204"/>
    </row>
    <row r="142" customFormat="false" ht="12.75" hidden="false" customHeight="true" outlineLevel="0" collapsed="false">
      <c r="H142" s="236"/>
      <c r="I142" s="236"/>
      <c r="J142" s="236"/>
      <c r="L142" s="237"/>
      <c r="M142" s="237"/>
      <c r="N142" s="237"/>
      <c r="O142" s="237"/>
      <c r="P142" s="237"/>
      <c r="Q142" s="237"/>
      <c r="R142" s="237"/>
      <c r="U142" s="204"/>
      <c r="V142" s="204"/>
      <c r="W142" s="204"/>
      <c r="X142" s="204"/>
    </row>
    <row r="143" customFormat="false" ht="12.75" hidden="false" customHeight="true" outlineLevel="0" collapsed="false">
      <c r="H143" s="236"/>
      <c r="I143" s="236"/>
      <c r="J143" s="236"/>
      <c r="L143" s="237"/>
      <c r="M143" s="237"/>
      <c r="N143" s="237"/>
      <c r="O143" s="237"/>
      <c r="P143" s="237"/>
      <c r="Q143" s="237"/>
      <c r="R143" s="237"/>
      <c r="U143" s="204"/>
      <c r="V143" s="204"/>
      <c r="W143" s="204"/>
      <c r="X143" s="204"/>
    </row>
    <row r="144" customFormat="false" ht="12.75" hidden="false" customHeight="true" outlineLevel="0" collapsed="false">
      <c r="H144" s="236"/>
      <c r="I144" s="236"/>
      <c r="J144" s="236"/>
      <c r="L144" s="237"/>
      <c r="M144" s="237"/>
      <c r="N144" s="237"/>
      <c r="O144" s="237"/>
      <c r="P144" s="237"/>
      <c r="Q144" s="237"/>
      <c r="R144" s="237"/>
      <c r="U144" s="204"/>
      <c r="V144" s="204"/>
      <c r="W144" s="204"/>
      <c r="X144" s="204"/>
    </row>
    <row r="145" customFormat="false" ht="12.75" hidden="false" customHeight="true" outlineLevel="0" collapsed="false">
      <c r="H145" s="236"/>
      <c r="I145" s="236"/>
      <c r="J145" s="236"/>
      <c r="L145" s="237"/>
      <c r="M145" s="237"/>
      <c r="N145" s="237"/>
      <c r="O145" s="237"/>
      <c r="P145" s="237"/>
      <c r="Q145" s="237"/>
      <c r="R145" s="237"/>
      <c r="U145" s="204"/>
      <c r="V145" s="204"/>
      <c r="W145" s="204"/>
      <c r="X145" s="204"/>
    </row>
    <row r="146" customFormat="false" ht="12.75" hidden="false" customHeight="true" outlineLevel="0" collapsed="false">
      <c r="H146" s="236"/>
      <c r="I146" s="236"/>
      <c r="J146" s="236"/>
      <c r="L146" s="237"/>
      <c r="M146" s="237"/>
      <c r="N146" s="237"/>
      <c r="O146" s="237"/>
      <c r="P146" s="237"/>
      <c r="Q146" s="237"/>
      <c r="R146" s="237"/>
      <c r="U146" s="204"/>
      <c r="V146" s="204"/>
      <c r="W146" s="204"/>
      <c r="X146" s="204"/>
    </row>
    <row r="147" customFormat="false" ht="12.75" hidden="false" customHeight="true" outlineLevel="0" collapsed="false">
      <c r="H147" s="236"/>
      <c r="I147" s="236"/>
      <c r="J147" s="236"/>
      <c r="L147" s="237"/>
      <c r="M147" s="237"/>
      <c r="N147" s="237"/>
      <c r="O147" s="237"/>
      <c r="P147" s="237"/>
      <c r="Q147" s="237"/>
      <c r="R147" s="237"/>
      <c r="U147" s="204"/>
      <c r="V147" s="204"/>
      <c r="W147" s="204"/>
      <c r="X147" s="204"/>
    </row>
    <row r="148" customFormat="false" ht="12.75" hidden="false" customHeight="true" outlineLevel="0" collapsed="false">
      <c r="H148" s="236"/>
      <c r="I148" s="236"/>
      <c r="J148" s="236"/>
      <c r="L148" s="237"/>
      <c r="M148" s="237"/>
      <c r="N148" s="237"/>
      <c r="O148" s="237"/>
      <c r="P148" s="237"/>
      <c r="Q148" s="237"/>
      <c r="R148" s="237"/>
      <c r="U148" s="204"/>
      <c r="V148" s="204"/>
      <c r="W148" s="204"/>
      <c r="X148" s="204"/>
    </row>
    <row r="149" customFormat="false" ht="12.75" hidden="false" customHeight="true" outlineLevel="0" collapsed="false">
      <c r="H149" s="236"/>
      <c r="I149" s="236"/>
      <c r="J149" s="236"/>
      <c r="L149" s="237"/>
      <c r="M149" s="237"/>
      <c r="N149" s="237"/>
      <c r="O149" s="237"/>
      <c r="P149" s="237"/>
      <c r="Q149" s="237"/>
      <c r="R149" s="237"/>
      <c r="U149" s="204"/>
      <c r="V149" s="204"/>
      <c r="W149" s="204"/>
      <c r="X149" s="204"/>
    </row>
    <row r="150" customFormat="false" ht="12.75" hidden="false" customHeight="true" outlineLevel="0" collapsed="false">
      <c r="H150" s="236"/>
      <c r="I150" s="236"/>
      <c r="J150" s="236"/>
      <c r="L150" s="237"/>
      <c r="M150" s="237"/>
      <c r="N150" s="237"/>
      <c r="O150" s="237"/>
      <c r="P150" s="237"/>
      <c r="Q150" s="237"/>
      <c r="R150" s="237"/>
      <c r="U150" s="204"/>
      <c r="V150" s="204"/>
      <c r="W150" s="204"/>
      <c r="X150" s="204"/>
    </row>
    <row r="151" customFormat="false" ht="12.75" hidden="false" customHeight="true" outlineLevel="0" collapsed="false">
      <c r="H151" s="236"/>
      <c r="I151" s="236"/>
      <c r="J151" s="236"/>
      <c r="L151" s="237"/>
      <c r="M151" s="237"/>
      <c r="N151" s="237"/>
      <c r="O151" s="237"/>
      <c r="P151" s="237"/>
      <c r="Q151" s="237"/>
      <c r="R151" s="237"/>
      <c r="U151" s="204"/>
      <c r="V151" s="204"/>
      <c r="W151" s="204"/>
      <c r="X151" s="204"/>
    </row>
    <row r="152" customFormat="false" ht="12.75" hidden="false" customHeight="true" outlineLevel="0" collapsed="false">
      <c r="H152" s="236"/>
      <c r="I152" s="236"/>
      <c r="J152" s="236"/>
      <c r="L152" s="237"/>
      <c r="M152" s="237"/>
      <c r="N152" s="237"/>
      <c r="O152" s="237"/>
      <c r="P152" s="237"/>
      <c r="Q152" s="237"/>
      <c r="R152" s="237"/>
      <c r="U152" s="204"/>
      <c r="V152" s="204"/>
      <c r="W152" s="204"/>
      <c r="X152" s="204"/>
    </row>
    <row r="153" customFormat="false" ht="12.75" hidden="false" customHeight="true" outlineLevel="0" collapsed="false">
      <c r="H153" s="236"/>
      <c r="I153" s="236"/>
      <c r="J153" s="236"/>
      <c r="L153" s="237"/>
      <c r="M153" s="237"/>
      <c r="N153" s="237"/>
      <c r="O153" s="237"/>
      <c r="P153" s="237"/>
      <c r="Q153" s="237"/>
      <c r="R153" s="237"/>
      <c r="U153" s="204"/>
      <c r="V153" s="204"/>
      <c r="W153" s="204"/>
      <c r="X153" s="204"/>
    </row>
    <row r="154" customFormat="false" ht="12.75" hidden="false" customHeight="true" outlineLevel="0" collapsed="false">
      <c r="H154" s="236"/>
      <c r="I154" s="236"/>
      <c r="J154" s="236"/>
      <c r="L154" s="237"/>
      <c r="M154" s="237"/>
      <c r="N154" s="237"/>
      <c r="O154" s="237"/>
      <c r="P154" s="237"/>
      <c r="Q154" s="237"/>
      <c r="R154" s="237"/>
      <c r="U154" s="204"/>
      <c r="V154" s="204"/>
      <c r="W154" s="204"/>
      <c r="X154" s="204"/>
    </row>
    <row r="155" customFormat="false" ht="12.75" hidden="false" customHeight="true" outlineLevel="0" collapsed="false">
      <c r="H155" s="236"/>
      <c r="I155" s="236"/>
      <c r="J155" s="236"/>
      <c r="L155" s="237"/>
      <c r="M155" s="237"/>
      <c r="N155" s="237"/>
      <c r="O155" s="237"/>
      <c r="P155" s="237"/>
      <c r="Q155" s="237"/>
      <c r="R155" s="237"/>
      <c r="U155" s="204"/>
      <c r="V155" s="204"/>
      <c r="W155" s="204"/>
      <c r="X155" s="204"/>
    </row>
    <row r="156" customFormat="false" ht="12.75" hidden="false" customHeight="true" outlineLevel="0" collapsed="false">
      <c r="H156" s="236"/>
      <c r="I156" s="236"/>
      <c r="J156" s="236"/>
      <c r="L156" s="237"/>
      <c r="M156" s="237"/>
      <c r="N156" s="237"/>
      <c r="O156" s="237"/>
      <c r="P156" s="237"/>
      <c r="Q156" s="237"/>
      <c r="R156" s="237"/>
      <c r="U156" s="204"/>
      <c r="V156" s="204"/>
      <c r="W156" s="204"/>
      <c r="X156" s="204"/>
    </row>
    <row r="157" customFormat="false" ht="12.75" hidden="false" customHeight="true" outlineLevel="0" collapsed="false">
      <c r="H157" s="236"/>
      <c r="I157" s="236"/>
      <c r="J157" s="236"/>
      <c r="L157" s="237"/>
      <c r="M157" s="237"/>
      <c r="N157" s="237"/>
      <c r="O157" s="237"/>
      <c r="P157" s="237"/>
      <c r="Q157" s="237"/>
      <c r="R157" s="237"/>
      <c r="U157" s="204"/>
      <c r="V157" s="204"/>
      <c r="W157" s="204"/>
      <c r="X157" s="204"/>
    </row>
    <row r="158" customFormat="false" ht="12.75" hidden="false" customHeight="true" outlineLevel="0" collapsed="false">
      <c r="H158" s="236"/>
      <c r="I158" s="236"/>
      <c r="J158" s="236"/>
      <c r="L158" s="237"/>
      <c r="M158" s="237"/>
      <c r="N158" s="237"/>
      <c r="O158" s="237"/>
      <c r="P158" s="237"/>
      <c r="Q158" s="237"/>
      <c r="R158" s="237"/>
      <c r="U158" s="204"/>
      <c r="V158" s="204"/>
      <c r="W158" s="204"/>
      <c r="X158" s="204"/>
    </row>
    <row r="159" customFormat="false" ht="12.75" hidden="false" customHeight="true" outlineLevel="0" collapsed="false">
      <c r="H159" s="236"/>
      <c r="I159" s="236"/>
      <c r="J159" s="236"/>
      <c r="L159" s="237"/>
      <c r="M159" s="237"/>
      <c r="N159" s="237"/>
      <c r="O159" s="237"/>
      <c r="P159" s="237"/>
      <c r="Q159" s="237"/>
      <c r="R159" s="237"/>
      <c r="U159" s="204"/>
      <c r="V159" s="204"/>
      <c r="W159" s="204"/>
      <c r="X159" s="204"/>
    </row>
    <row r="160" customFormat="false" ht="12.75" hidden="false" customHeight="true" outlineLevel="0" collapsed="false">
      <c r="H160" s="236"/>
      <c r="I160" s="236"/>
      <c r="J160" s="236"/>
      <c r="L160" s="237"/>
      <c r="M160" s="237"/>
      <c r="N160" s="237"/>
      <c r="O160" s="237"/>
      <c r="P160" s="237"/>
      <c r="Q160" s="237"/>
      <c r="R160" s="237"/>
      <c r="U160" s="204"/>
      <c r="V160" s="204"/>
      <c r="W160" s="204"/>
      <c r="X160" s="204"/>
    </row>
    <row r="161" customFormat="false" ht="12.75" hidden="false" customHeight="true" outlineLevel="0" collapsed="false">
      <c r="H161" s="236"/>
      <c r="I161" s="236"/>
      <c r="J161" s="236"/>
      <c r="L161" s="237"/>
      <c r="M161" s="237"/>
      <c r="N161" s="237"/>
      <c r="O161" s="237"/>
      <c r="P161" s="237"/>
      <c r="Q161" s="237"/>
      <c r="R161" s="237"/>
      <c r="U161" s="204"/>
      <c r="V161" s="204"/>
      <c r="W161" s="204"/>
      <c r="X161" s="204"/>
    </row>
    <row r="162" customFormat="false" ht="12.75" hidden="false" customHeight="true" outlineLevel="0" collapsed="false">
      <c r="H162" s="236"/>
      <c r="I162" s="236"/>
      <c r="J162" s="236"/>
      <c r="L162" s="237"/>
      <c r="M162" s="237"/>
      <c r="N162" s="237"/>
      <c r="O162" s="237"/>
      <c r="P162" s="237"/>
      <c r="Q162" s="237"/>
      <c r="R162" s="237"/>
      <c r="U162" s="204"/>
      <c r="V162" s="204"/>
      <c r="W162" s="204"/>
      <c r="X162" s="204"/>
    </row>
    <row r="163" customFormat="false" ht="12.75" hidden="false" customHeight="true" outlineLevel="0" collapsed="false">
      <c r="H163" s="236"/>
      <c r="I163" s="236"/>
      <c r="J163" s="236"/>
      <c r="L163" s="237"/>
      <c r="M163" s="237"/>
      <c r="N163" s="237"/>
      <c r="O163" s="237"/>
      <c r="P163" s="237"/>
      <c r="Q163" s="237"/>
      <c r="R163" s="237"/>
      <c r="U163" s="204"/>
      <c r="V163" s="204"/>
      <c r="W163" s="204"/>
      <c r="X163" s="204"/>
    </row>
    <row r="164" customFormat="false" ht="12.75" hidden="false" customHeight="true" outlineLevel="0" collapsed="false">
      <c r="H164" s="236"/>
      <c r="I164" s="236"/>
      <c r="J164" s="236"/>
      <c r="L164" s="237"/>
      <c r="M164" s="237"/>
      <c r="N164" s="237"/>
      <c r="O164" s="237"/>
      <c r="P164" s="237"/>
      <c r="Q164" s="237"/>
      <c r="R164" s="237"/>
      <c r="U164" s="204"/>
      <c r="V164" s="204"/>
      <c r="W164" s="204"/>
      <c r="X164" s="204"/>
    </row>
    <row r="165" customFormat="false" ht="12.75" hidden="false" customHeight="true" outlineLevel="0" collapsed="false">
      <c r="H165" s="236"/>
      <c r="I165" s="236"/>
      <c r="J165" s="236"/>
      <c r="L165" s="237"/>
      <c r="M165" s="237"/>
      <c r="N165" s="237"/>
      <c r="O165" s="237"/>
      <c r="P165" s="237"/>
      <c r="Q165" s="237"/>
      <c r="R165" s="237"/>
      <c r="U165" s="204"/>
      <c r="V165" s="204"/>
      <c r="W165" s="204"/>
      <c r="X165" s="204"/>
    </row>
    <row r="166" customFormat="false" ht="12.75" hidden="false" customHeight="true" outlineLevel="0" collapsed="false">
      <c r="H166" s="236"/>
      <c r="I166" s="236"/>
      <c r="J166" s="236"/>
      <c r="L166" s="237"/>
      <c r="M166" s="237"/>
      <c r="N166" s="237"/>
      <c r="O166" s="237"/>
      <c r="P166" s="237"/>
      <c r="Q166" s="237"/>
      <c r="R166" s="237"/>
      <c r="U166" s="204"/>
      <c r="V166" s="204"/>
      <c r="W166" s="204"/>
      <c r="X166" s="204"/>
    </row>
    <row r="167" customFormat="false" ht="12.75" hidden="false" customHeight="true" outlineLevel="0" collapsed="false">
      <c r="H167" s="236"/>
      <c r="I167" s="236"/>
      <c r="J167" s="236"/>
      <c r="L167" s="237"/>
      <c r="M167" s="237"/>
      <c r="N167" s="237"/>
      <c r="O167" s="237"/>
      <c r="P167" s="237"/>
      <c r="Q167" s="237"/>
      <c r="R167" s="237"/>
      <c r="U167" s="204"/>
      <c r="V167" s="204"/>
      <c r="W167" s="204"/>
      <c r="X167" s="204"/>
    </row>
    <row r="168" customFormat="false" ht="12.75" hidden="false" customHeight="true" outlineLevel="0" collapsed="false">
      <c r="H168" s="236"/>
      <c r="I168" s="236"/>
      <c r="J168" s="236"/>
      <c r="L168" s="237"/>
      <c r="M168" s="237"/>
      <c r="N168" s="237"/>
      <c r="O168" s="237"/>
      <c r="P168" s="237"/>
      <c r="Q168" s="237"/>
      <c r="R168" s="237"/>
      <c r="U168" s="204"/>
      <c r="V168" s="204"/>
      <c r="W168" s="204"/>
      <c r="X168" s="204"/>
    </row>
    <row r="169" customFormat="false" ht="12.75" hidden="false" customHeight="true" outlineLevel="0" collapsed="false">
      <c r="H169" s="236"/>
      <c r="I169" s="236"/>
      <c r="J169" s="236"/>
      <c r="L169" s="237"/>
      <c r="M169" s="237"/>
      <c r="N169" s="237"/>
      <c r="O169" s="237"/>
      <c r="P169" s="237"/>
      <c r="Q169" s="237"/>
      <c r="R169" s="237"/>
      <c r="U169" s="204"/>
      <c r="V169" s="204"/>
      <c r="W169" s="204"/>
      <c r="X169" s="204"/>
    </row>
    <row r="170" customFormat="false" ht="12.75" hidden="false" customHeight="true" outlineLevel="0" collapsed="false">
      <c r="H170" s="236"/>
      <c r="I170" s="236"/>
      <c r="J170" s="236"/>
      <c r="L170" s="237"/>
      <c r="M170" s="237"/>
      <c r="N170" s="237"/>
      <c r="O170" s="237"/>
      <c r="P170" s="237"/>
      <c r="Q170" s="237"/>
      <c r="R170" s="237"/>
      <c r="U170" s="204"/>
      <c r="V170" s="204"/>
      <c r="W170" s="204"/>
      <c r="X170" s="204"/>
    </row>
    <row r="171" customFormat="false" ht="12.75" hidden="false" customHeight="true" outlineLevel="0" collapsed="false">
      <c r="H171" s="236"/>
      <c r="I171" s="236"/>
      <c r="J171" s="236"/>
      <c r="L171" s="237"/>
      <c r="M171" s="237"/>
      <c r="N171" s="237"/>
      <c r="O171" s="237"/>
      <c r="P171" s="237"/>
      <c r="Q171" s="237"/>
      <c r="R171" s="237"/>
      <c r="U171" s="204"/>
      <c r="V171" s="204"/>
      <c r="W171" s="204"/>
      <c r="X171" s="204"/>
    </row>
    <row r="172" customFormat="false" ht="12.75" hidden="false" customHeight="true" outlineLevel="0" collapsed="false">
      <c r="H172" s="236"/>
      <c r="I172" s="236"/>
      <c r="J172" s="236"/>
      <c r="L172" s="237"/>
      <c r="M172" s="237"/>
      <c r="N172" s="237"/>
      <c r="O172" s="237"/>
      <c r="P172" s="237"/>
      <c r="Q172" s="237"/>
      <c r="R172" s="237"/>
      <c r="U172" s="204"/>
      <c r="V172" s="204"/>
      <c r="W172" s="204"/>
      <c r="X172" s="204"/>
    </row>
    <row r="173" customFormat="false" ht="12.75" hidden="false" customHeight="true" outlineLevel="0" collapsed="false">
      <c r="H173" s="236"/>
      <c r="I173" s="236"/>
      <c r="J173" s="236"/>
      <c r="L173" s="237"/>
      <c r="M173" s="237"/>
      <c r="N173" s="237"/>
      <c r="O173" s="237"/>
      <c r="P173" s="237"/>
      <c r="Q173" s="237"/>
      <c r="R173" s="237"/>
      <c r="U173" s="204"/>
      <c r="V173" s="204"/>
      <c r="W173" s="204"/>
      <c r="X173" s="204"/>
    </row>
    <row r="174" customFormat="false" ht="12.75" hidden="false" customHeight="true" outlineLevel="0" collapsed="false">
      <c r="H174" s="236"/>
      <c r="I174" s="236"/>
      <c r="J174" s="236"/>
      <c r="L174" s="237"/>
      <c r="M174" s="237"/>
      <c r="N174" s="237"/>
      <c r="O174" s="237"/>
      <c r="P174" s="237"/>
      <c r="Q174" s="237"/>
      <c r="R174" s="237"/>
      <c r="U174" s="204"/>
      <c r="V174" s="204"/>
      <c r="W174" s="204"/>
      <c r="X174" s="204"/>
    </row>
    <row r="175" customFormat="false" ht="12.75" hidden="false" customHeight="true" outlineLevel="0" collapsed="false">
      <c r="H175" s="236"/>
      <c r="I175" s="236"/>
      <c r="J175" s="236"/>
      <c r="L175" s="237"/>
      <c r="M175" s="237"/>
      <c r="N175" s="237"/>
      <c r="O175" s="237"/>
      <c r="P175" s="237"/>
      <c r="Q175" s="237"/>
      <c r="R175" s="237"/>
      <c r="U175" s="204"/>
      <c r="V175" s="204"/>
      <c r="W175" s="204"/>
      <c r="X175" s="204"/>
    </row>
    <row r="176" customFormat="false" ht="12.75" hidden="false" customHeight="true" outlineLevel="0" collapsed="false">
      <c r="H176" s="236"/>
      <c r="I176" s="236"/>
      <c r="J176" s="236"/>
      <c r="L176" s="237"/>
      <c r="M176" s="237"/>
      <c r="N176" s="237"/>
      <c r="O176" s="237"/>
      <c r="P176" s="237"/>
      <c r="Q176" s="237"/>
      <c r="R176" s="237"/>
      <c r="U176" s="204"/>
      <c r="V176" s="204"/>
      <c r="W176" s="204"/>
      <c r="X176" s="204"/>
    </row>
    <row r="177" customFormat="false" ht="12.75" hidden="false" customHeight="true" outlineLevel="0" collapsed="false">
      <c r="H177" s="236"/>
      <c r="I177" s="236"/>
      <c r="J177" s="236"/>
      <c r="L177" s="237"/>
      <c r="M177" s="237"/>
      <c r="N177" s="237"/>
      <c r="O177" s="237"/>
      <c r="P177" s="237"/>
      <c r="Q177" s="237"/>
      <c r="R177" s="237"/>
      <c r="U177" s="204"/>
      <c r="V177" s="204"/>
      <c r="W177" s="204"/>
      <c r="X177" s="204"/>
    </row>
    <row r="178" customFormat="false" ht="12.75" hidden="false" customHeight="true" outlineLevel="0" collapsed="false">
      <c r="H178" s="236"/>
      <c r="I178" s="236"/>
      <c r="J178" s="236"/>
      <c r="L178" s="237"/>
      <c r="M178" s="237"/>
      <c r="N178" s="237"/>
      <c r="O178" s="237"/>
      <c r="P178" s="237"/>
      <c r="Q178" s="237"/>
      <c r="R178" s="237"/>
      <c r="U178" s="204"/>
      <c r="V178" s="204"/>
      <c r="W178" s="204"/>
      <c r="X178" s="204"/>
    </row>
    <row r="179" customFormat="false" ht="12.75" hidden="false" customHeight="true" outlineLevel="0" collapsed="false">
      <c r="H179" s="236"/>
      <c r="I179" s="236"/>
      <c r="J179" s="236"/>
      <c r="L179" s="237"/>
      <c r="M179" s="237"/>
      <c r="N179" s="237"/>
      <c r="O179" s="237"/>
      <c r="P179" s="237"/>
      <c r="Q179" s="237"/>
      <c r="R179" s="237"/>
      <c r="U179" s="204"/>
      <c r="V179" s="204"/>
      <c r="W179" s="204"/>
      <c r="X179" s="204"/>
    </row>
    <row r="180" customFormat="false" ht="12.75" hidden="false" customHeight="true" outlineLevel="0" collapsed="false">
      <c r="H180" s="236"/>
      <c r="I180" s="236"/>
      <c r="J180" s="236"/>
      <c r="L180" s="237"/>
      <c r="M180" s="237"/>
      <c r="N180" s="237"/>
      <c r="O180" s="237"/>
      <c r="P180" s="237"/>
      <c r="Q180" s="237"/>
      <c r="R180" s="237"/>
      <c r="U180" s="204"/>
      <c r="V180" s="204"/>
      <c r="W180" s="204"/>
      <c r="X180" s="204"/>
    </row>
    <row r="181" customFormat="false" ht="12.75" hidden="false" customHeight="true" outlineLevel="0" collapsed="false">
      <c r="H181" s="236"/>
      <c r="I181" s="236"/>
      <c r="J181" s="236"/>
      <c r="L181" s="237"/>
      <c r="M181" s="237"/>
      <c r="N181" s="237"/>
      <c r="O181" s="237"/>
      <c r="P181" s="237"/>
      <c r="Q181" s="237"/>
      <c r="R181" s="237"/>
      <c r="U181" s="204"/>
      <c r="V181" s="204"/>
      <c r="W181" s="204"/>
      <c r="X181" s="204"/>
    </row>
    <row r="182" customFormat="false" ht="12.75" hidden="false" customHeight="true" outlineLevel="0" collapsed="false">
      <c r="H182" s="236"/>
      <c r="I182" s="236"/>
      <c r="J182" s="236"/>
      <c r="L182" s="237"/>
      <c r="M182" s="237"/>
      <c r="N182" s="237"/>
      <c r="O182" s="237"/>
      <c r="P182" s="237"/>
      <c r="Q182" s="237"/>
      <c r="R182" s="237"/>
      <c r="U182" s="204"/>
      <c r="V182" s="204"/>
      <c r="W182" s="204"/>
      <c r="X182" s="204"/>
    </row>
    <row r="183" customFormat="false" ht="12.75" hidden="false" customHeight="true" outlineLevel="0" collapsed="false">
      <c r="H183" s="236"/>
      <c r="I183" s="236"/>
      <c r="J183" s="236"/>
      <c r="L183" s="237"/>
      <c r="M183" s="237"/>
      <c r="N183" s="237"/>
      <c r="O183" s="237"/>
      <c r="P183" s="237"/>
      <c r="Q183" s="237"/>
      <c r="R183" s="237"/>
      <c r="U183" s="204"/>
      <c r="V183" s="204"/>
      <c r="W183" s="204"/>
      <c r="X183" s="204"/>
    </row>
    <row r="184" customFormat="false" ht="12.75" hidden="false" customHeight="true" outlineLevel="0" collapsed="false">
      <c r="H184" s="236"/>
      <c r="I184" s="236"/>
      <c r="J184" s="236"/>
      <c r="L184" s="237"/>
      <c r="M184" s="237"/>
      <c r="N184" s="237"/>
      <c r="O184" s="237"/>
      <c r="P184" s="237"/>
      <c r="Q184" s="237"/>
      <c r="R184" s="237"/>
      <c r="U184" s="204"/>
      <c r="V184" s="204"/>
      <c r="W184" s="204"/>
      <c r="X184" s="204"/>
    </row>
    <row r="185" customFormat="false" ht="12.75" hidden="false" customHeight="true" outlineLevel="0" collapsed="false">
      <c r="H185" s="236"/>
      <c r="I185" s="236"/>
      <c r="J185" s="236"/>
      <c r="L185" s="237"/>
      <c r="M185" s="237"/>
      <c r="N185" s="237"/>
      <c r="O185" s="237"/>
      <c r="P185" s="237"/>
      <c r="Q185" s="237"/>
      <c r="R185" s="237"/>
      <c r="U185" s="204"/>
      <c r="V185" s="204"/>
      <c r="W185" s="204"/>
      <c r="X185" s="204"/>
    </row>
    <row r="186" customFormat="false" ht="12.75" hidden="false" customHeight="true" outlineLevel="0" collapsed="false">
      <c r="H186" s="236"/>
      <c r="I186" s="236"/>
      <c r="J186" s="236"/>
      <c r="L186" s="237"/>
      <c r="M186" s="237"/>
      <c r="N186" s="237"/>
      <c r="O186" s="237"/>
      <c r="P186" s="237"/>
      <c r="Q186" s="237"/>
      <c r="R186" s="237"/>
      <c r="U186" s="204"/>
      <c r="V186" s="204"/>
      <c r="W186" s="204"/>
      <c r="X186" s="204"/>
    </row>
    <row r="187" customFormat="false" ht="12.75" hidden="false" customHeight="true" outlineLevel="0" collapsed="false">
      <c r="H187" s="236"/>
      <c r="I187" s="236"/>
      <c r="J187" s="236"/>
      <c r="L187" s="237"/>
      <c r="M187" s="237"/>
      <c r="N187" s="237"/>
      <c r="O187" s="237"/>
      <c r="P187" s="237"/>
      <c r="Q187" s="237"/>
      <c r="R187" s="237"/>
      <c r="U187" s="204"/>
      <c r="V187" s="204"/>
      <c r="W187" s="204"/>
      <c r="X187" s="204"/>
    </row>
    <row r="188" customFormat="false" ht="12.75" hidden="false" customHeight="true" outlineLevel="0" collapsed="false">
      <c r="H188" s="236"/>
      <c r="I188" s="236"/>
      <c r="J188" s="236"/>
      <c r="L188" s="237"/>
      <c r="M188" s="237"/>
      <c r="N188" s="237"/>
      <c r="O188" s="237"/>
      <c r="P188" s="237"/>
      <c r="Q188" s="237"/>
      <c r="R188" s="237"/>
      <c r="U188" s="204"/>
      <c r="V188" s="204"/>
      <c r="W188" s="204"/>
      <c r="X188" s="204"/>
    </row>
    <row r="189" customFormat="false" ht="12.75" hidden="false" customHeight="true" outlineLevel="0" collapsed="false">
      <c r="H189" s="236"/>
      <c r="I189" s="236"/>
      <c r="J189" s="236"/>
      <c r="L189" s="237"/>
      <c r="M189" s="237"/>
      <c r="N189" s="237"/>
      <c r="O189" s="237"/>
      <c r="P189" s="237"/>
      <c r="Q189" s="237"/>
      <c r="R189" s="237"/>
      <c r="U189" s="204"/>
      <c r="V189" s="204"/>
      <c r="W189" s="204"/>
      <c r="X189" s="204"/>
    </row>
    <row r="190" customFormat="false" ht="12.75" hidden="false" customHeight="true" outlineLevel="0" collapsed="false">
      <c r="H190" s="236"/>
      <c r="I190" s="236"/>
      <c r="J190" s="236"/>
      <c r="L190" s="237"/>
      <c r="M190" s="237"/>
      <c r="N190" s="237"/>
      <c r="O190" s="237"/>
      <c r="P190" s="237"/>
      <c r="Q190" s="237"/>
      <c r="R190" s="237"/>
      <c r="U190" s="204"/>
      <c r="V190" s="204"/>
      <c r="W190" s="204"/>
      <c r="X190" s="204"/>
    </row>
    <row r="191" customFormat="false" ht="12.75" hidden="false" customHeight="true" outlineLevel="0" collapsed="false">
      <c r="H191" s="236"/>
      <c r="I191" s="236"/>
      <c r="J191" s="236"/>
      <c r="L191" s="237"/>
      <c r="M191" s="237"/>
      <c r="N191" s="237"/>
      <c r="O191" s="237"/>
      <c r="P191" s="237"/>
      <c r="Q191" s="237"/>
      <c r="R191" s="237"/>
      <c r="U191" s="204"/>
      <c r="V191" s="204"/>
      <c r="W191" s="204"/>
      <c r="X191" s="204"/>
    </row>
    <row r="192" customFormat="false" ht="12.75" hidden="false" customHeight="true" outlineLevel="0" collapsed="false">
      <c r="H192" s="236"/>
      <c r="I192" s="236"/>
      <c r="J192" s="236"/>
      <c r="L192" s="237"/>
      <c r="M192" s="237"/>
      <c r="N192" s="237"/>
      <c r="O192" s="237"/>
      <c r="P192" s="237"/>
      <c r="Q192" s="237"/>
      <c r="R192" s="237"/>
      <c r="U192" s="204"/>
      <c r="V192" s="204"/>
      <c r="W192" s="204"/>
      <c r="X192" s="204"/>
    </row>
    <row r="193" customFormat="false" ht="12.75" hidden="false" customHeight="true" outlineLevel="0" collapsed="false">
      <c r="H193" s="236"/>
      <c r="I193" s="236"/>
      <c r="J193" s="236"/>
      <c r="L193" s="237"/>
      <c r="M193" s="237"/>
      <c r="N193" s="237"/>
      <c r="O193" s="237"/>
      <c r="P193" s="237"/>
      <c r="Q193" s="237"/>
      <c r="R193" s="237"/>
      <c r="U193" s="204"/>
      <c r="V193" s="204"/>
      <c r="W193" s="204"/>
      <c r="X193" s="204"/>
    </row>
    <row r="194" customFormat="false" ht="12.75" hidden="false" customHeight="true" outlineLevel="0" collapsed="false">
      <c r="H194" s="236"/>
      <c r="I194" s="236"/>
      <c r="J194" s="236"/>
      <c r="L194" s="237"/>
      <c r="M194" s="237"/>
      <c r="N194" s="237"/>
      <c r="O194" s="237"/>
      <c r="P194" s="237"/>
      <c r="Q194" s="237"/>
      <c r="R194" s="237"/>
      <c r="U194" s="204"/>
      <c r="V194" s="204"/>
      <c r="W194" s="204"/>
      <c r="X194" s="204"/>
    </row>
    <row r="195" customFormat="false" ht="12.75" hidden="false" customHeight="true" outlineLevel="0" collapsed="false">
      <c r="H195" s="236"/>
      <c r="I195" s="236"/>
      <c r="J195" s="236"/>
      <c r="L195" s="237"/>
      <c r="M195" s="237"/>
      <c r="N195" s="237"/>
      <c r="O195" s="237"/>
      <c r="P195" s="237"/>
      <c r="Q195" s="237"/>
      <c r="R195" s="237"/>
      <c r="U195" s="204"/>
      <c r="V195" s="204"/>
      <c r="W195" s="204"/>
      <c r="X195" s="204"/>
    </row>
    <row r="196" customFormat="false" ht="12.75" hidden="false" customHeight="true" outlineLevel="0" collapsed="false">
      <c r="H196" s="236"/>
      <c r="I196" s="236"/>
      <c r="J196" s="236"/>
      <c r="L196" s="237"/>
      <c r="M196" s="237"/>
      <c r="N196" s="237"/>
      <c r="O196" s="237"/>
      <c r="P196" s="237"/>
      <c r="Q196" s="237"/>
      <c r="R196" s="237"/>
      <c r="U196" s="204"/>
      <c r="V196" s="204"/>
      <c r="W196" s="204"/>
      <c r="X196" s="204"/>
    </row>
    <row r="197" customFormat="false" ht="12.75" hidden="false" customHeight="true" outlineLevel="0" collapsed="false">
      <c r="H197" s="236"/>
      <c r="I197" s="236"/>
      <c r="J197" s="236"/>
      <c r="L197" s="237"/>
      <c r="M197" s="237"/>
      <c r="N197" s="237"/>
      <c r="O197" s="237"/>
      <c r="P197" s="237"/>
      <c r="Q197" s="237"/>
      <c r="R197" s="237"/>
      <c r="U197" s="204"/>
      <c r="V197" s="204"/>
      <c r="W197" s="204"/>
      <c r="X197" s="204"/>
    </row>
    <row r="198" customFormat="false" ht="12.75" hidden="false" customHeight="true" outlineLevel="0" collapsed="false">
      <c r="H198" s="236"/>
      <c r="I198" s="236"/>
      <c r="J198" s="236"/>
      <c r="L198" s="237"/>
      <c r="M198" s="237"/>
      <c r="N198" s="237"/>
      <c r="O198" s="237"/>
      <c r="P198" s="237"/>
      <c r="Q198" s="237"/>
      <c r="R198" s="237"/>
      <c r="U198" s="204"/>
      <c r="V198" s="204"/>
      <c r="W198" s="204"/>
      <c r="X198" s="204"/>
    </row>
    <row r="199" customFormat="false" ht="12.75" hidden="false" customHeight="true" outlineLevel="0" collapsed="false">
      <c r="H199" s="236"/>
      <c r="I199" s="236"/>
      <c r="J199" s="236"/>
      <c r="L199" s="237"/>
      <c r="M199" s="237"/>
      <c r="N199" s="237"/>
      <c r="O199" s="237"/>
      <c r="P199" s="237"/>
      <c r="Q199" s="237"/>
      <c r="R199" s="237"/>
      <c r="U199" s="204"/>
      <c r="V199" s="204"/>
      <c r="W199" s="204"/>
      <c r="X199" s="204"/>
    </row>
    <row r="200" customFormat="false" ht="12.75" hidden="false" customHeight="true" outlineLevel="0" collapsed="false">
      <c r="H200" s="236"/>
      <c r="I200" s="236"/>
      <c r="J200" s="236"/>
      <c r="L200" s="237"/>
      <c r="M200" s="237"/>
      <c r="N200" s="237"/>
      <c r="O200" s="237"/>
      <c r="P200" s="237"/>
      <c r="Q200" s="237"/>
      <c r="R200" s="237"/>
      <c r="U200" s="204"/>
      <c r="V200" s="204"/>
      <c r="W200" s="204"/>
      <c r="X200" s="204"/>
    </row>
    <row r="201" customFormat="false" ht="12.75" hidden="false" customHeight="true" outlineLevel="0" collapsed="false">
      <c r="H201" s="236"/>
      <c r="I201" s="236"/>
      <c r="J201" s="236"/>
      <c r="L201" s="237"/>
      <c r="M201" s="237"/>
      <c r="N201" s="237"/>
      <c r="O201" s="237"/>
      <c r="P201" s="237"/>
      <c r="Q201" s="237"/>
      <c r="R201" s="237"/>
      <c r="U201" s="204"/>
      <c r="V201" s="204"/>
      <c r="W201" s="204"/>
      <c r="X201" s="204"/>
    </row>
    <row r="202" customFormat="false" ht="12.75" hidden="false" customHeight="true" outlineLevel="0" collapsed="false">
      <c r="H202" s="236"/>
      <c r="I202" s="236"/>
      <c r="J202" s="236"/>
      <c r="L202" s="237"/>
      <c r="M202" s="237"/>
      <c r="N202" s="237"/>
      <c r="O202" s="237"/>
      <c r="P202" s="237"/>
      <c r="Q202" s="237"/>
      <c r="R202" s="237"/>
      <c r="U202" s="204"/>
      <c r="V202" s="204"/>
      <c r="W202" s="204"/>
      <c r="X202" s="204"/>
    </row>
    <row r="203" customFormat="false" ht="12.75" hidden="false" customHeight="true" outlineLevel="0" collapsed="false">
      <c r="H203" s="236"/>
      <c r="I203" s="236"/>
      <c r="J203" s="236"/>
      <c r="L203" s="237"/>
      <c r="M203" s="237"/>
      <c r="N203" s="237"/>
      <c r="O203" s="237"/>
      <c r="P203" s="237"/>
      <c r="Q203" s="237"/>
      <c r="R203" s="237"/>
      <c r="U203" s="204"/>
      <c r="V203" s="204"/>
      <c r="W203" s="204"/>
      <c r="X203" s="204"/>
    </row>
    <row r="204" customFormat="false" ht="12.75" hidden="false" customHeight="true" outlineLevel="0" collapsed="false">
      <c r="H204" s="236"/>
      <c r="I204" s="236"/>
      <c r="J204" s="236"/>
      <c r="L204" s="237"/>
      <c r="M204" s="237"/>
      <c r="N204" s="237"/>
      <c r="O204" s="237"/>
      <c r="P204" s="237"/>
      <c r="Q204" s="237"/>
      <c r="R204" s="237"/>
      <c r="U204" s="204"/>
      <c r="V204" s="204"/>
      <c r="W204" s="204"/>
      <c r="X204" s="204"/>
    </row>
    <row r="205" customFormat="false" ht="12.75" hidden="false" customHeight="true" outlineLevel="0" collapsed="false">
      <c r="H205" s="236"/>
      <c r="I205" s="236"/>
      <c r="J205" s="236"/>
      <c r="L205" s="237"/>
      <c r="M205" s="237"/>
      <c r="N205" s="237"/>
      <c r="O205" s="237"/>
      <c r="P205" s="237"/>
      <c r="Q205" s="237"/>
      <c r="R205" s="237"/>
      <c r="U205" s="204"/>
      <c r="V205" s="204"/>
      <c r="W205" s="204"/>
      <c r="X205" s="204"/>
    </row>
    <row r="206" customFormat="false" ht="12.75" hidden="false" customHeight="true" outlineLevel="0" collapsed="false">
      <c r="H206" s="236"/>
      <c r="I206" s="236"/>
      <c r="J206" s="236"/>
      <c r="L206" s="237"/>
      <c r="M206" s="237"/>
      <c r="N206" s="237"/>
      <c r="O206" s="237"/>
      <c r="P206" s="237"/>
      <c r="Q206" s="237"/>
      <c r="R206" s="237"/>
      <c r="U206" s="204"/>
      <c r="V206" s="204"/>
      <c r="W206" s="204"/>
      <c r="X206" s="204"/>
    </row>
    <row r="207" customFormat="false" ht="12.75" hidden="false" customHeight="true" outlineLevel="0" collapsed="false">
      <c r="H207" s="236"/>
      <c r="I207" s="236"/>
      <c r="J207" s="236"/>
      <c r="L207" s="237"/>
      <c r="M207" s="237"/>
      <c r="N207" s="237"/>
      <c r="O207" s="237"/>
      <c r="P207" s="237"/>
      <c r="Q207" s="237"/>
      <c r="R207" s="237"/>
      <c r="U207" s="204"/>
      <c r="V207" s="204"/>
      <c r="W207" s="204"/>
      <c r="X207" s="204"/>
    </row>
    <row r="208" customFormat="false" ht="12.75" hidden="false" customHeight="true" outlineLevel="0" collapsed="false">
      <c r="H208" s="236"/>
      <c r="I208" s="236"/>
      <c r="J208" s="236"/>
      <c r="L208" s="237"/>
      <c r="M208" s="237"/>
      <c r="N208" s="237"/>
      <c r="O208" s="237"/>
      <c r="P208" s="237"/>
      <c r="Q208" s="237"/>
      <c r="R208" s="237"/>
      <c r="U208" s="204"/>
      <c r="V208" s="204"/>
      <c r="W208" s="204"/>
      <c r="X208" s="204"/>
    </row>
    <row r="209" customFormat="false" ht="12.75" hidden="false" customHeight="true" outlineLevel="0" collapsed="false">
      <c r="H209" s="236"/>
      <c r="I209" s="236"/>
      <c r="J209" s="236"/>
      <c r="L209" s="237"/>
      <c r="M209" s="237"/>
      <c r="N209" s="237"/>
      <c r="O209" s="237"/>
      <c r="P209" s="237"/>
      <c r="Q209" s="237"/>
      <c r="R209" s="237"/>
      <c r="U209" s="204"/>
      <c r="V209" s="204"/>
      <c r="W209" s="204"/>
      <c r="X209" s="204"/>
    </row>
    <row r="210" customFormat="false" ht="12.75" hidden="false" customHeight="true" outlineLevel="0" collapsed="false">
      <c r="H210" s="236"/>
      <c r="I210" s="236"/>
      <c r="J210" s="236"/>
      <c r="L210" s="237"/>
      <c r="M210" s="237"/>
      <c r="N210" s="237"/>
      <c r="O210" s="237"/>
      <c r="P210" s="237"/>
      <c r="Q210" s="237"/>
      <c r="R210" s="237"/>
      <c r="U210" s="204"/>
      <c r="V210" s="204"/>
      <c r="W210" s="204"/>
      <c r="X210" s="204"/>
    </row>
    <row r="211" customFormat="false" ht="12.75" hidden="false" customHeight="true" outlineLevel="0" collapsed="false">
      <c r="H211" s="236"/>
      <c r="I211" s="236"/>
      <c r="J211" s="236"/>
      <c r="L211" s="237"/>
      <c r="M211" s="237"/>
      <c r="N211" s="237"/>
      <c r="O211" s="237"/>
      <c r="P211" s="237"/>
      <c r="Q211" s="237"/>
      <c r="R211" s="237"/>
      <c r="U211" s="204"/>
      <c r="V211" s="204"/>
      <c r="W211" s="204"/>
      <c r="X211" s="204"/>
    </row>
    <row r="212" customFormat="false" ht="12.75" hidden="false" customHeight="true" outlineLevel="0" collapsed="false">
      <c r="H212" s="236"/>
      <c r="I212" s="236"/>
      <c r="J212" s="236"/>
      <c r="L212" s="237"/>
      <c r="M212" s="237"/>
      <c r="N212" s="237"/>
      <c r="O212" s="237"/>
      <c r="P212" s="237"/>
      <c r="Q212" s="237"/>
      <c r="R212" s="237"/>
      <c r="U212" s="204"/>
      <c r="V212" s="204"/>
      <c r="W212" s="204"/>
      <c r="X212" s="204"/>
    </row>
    <row r="213" customFormat="false" ht="12.75" hidden="false" customHeight="true" outlineLevel="0" collapsed="false">
      <c r="H213" s="236"/>
      <c r="I213" s="236"/>
      <c r="J213" s="236"/>
      <c r="L213" s="237"/>
      <c r="M213" s="237"/>
      <c r="N213" s="237"/>
      <c r="O213" s="237"/>
      <c r="P213" s="237"/>
      <c r="Q213" s="237"/>
      <c r="R213" s="237"/>
      <c r="U213" s="204"/>
      <c r="V213" s="204"/>
      <c r="W213" s="204"/>
      <c r="X213" s="204"/>
    </row>
    <row r="214" customFormat="false" ht="12.75" hidden="false" customHeight="true" outlineLevel="0" collapsed="false">
      <c r="H214" s="236"/>
      <c r="I214" s="236"/>
      <c r="J214" s="236"/>
      <c r="L214" s="237"/>
      <c r="M214" s="237"/>
      <c r="N214" s="237"/>
      <c r="O214" s="237"/>
      <c r="P214" s="237"/>
      <c r="Q214" s="237"/>
      <c r="R214" s="237"/>
      <c r="U214" s="204"/>
      <c r="V214" s="204"/>
      <c r="W214" s="204"/>
      <c r="X214" s="204"/>
    </row>
    <row r="215" customFormat="false" ht="12.75" hidden="false" customHeight="true" outlineLevel="0" collapsed="false">
      <c r="H215" s="236"/>
      <c r="I215" s="236"/>
      <c r="J215" s="236"/>
      <c r="L215" s="237"/>
      <c r="M215" s="237"/>
      <c r="N215" s="237"/>
      <c r="O215" s="237"/>
      <c r="P215" s="237"/>
      <c r="Q215" s="237"/>
      <c r="R215" s="237"/>
      <c r="U215" s="204"/>
      <c r="V215" s="204"/>
      <c r="W215" s="204"/>
      <c r="X215" s="204"/>
    </row>
    <row r="216" customFormat="false" ht="12.75" hidden="false" customHeight="true" outlineLevel="0" collapsed="false">
      <c r="H216" s="236"/>
      <c r="I216" s="236"/>
      <c r="J216" s="236"/>
      <c r="L216" s="237"/>
      <c r="M216" s="237"/>
      <c r="N216" s="237"/>
      <c r="O216" s="237"/>
      <c r="P216" s="237"/>
      <c r="Q216" s="237"/>
      <c r="R216" s="237"/>
      <c r="U216" s="204"/>
      <c r="V216" s="204"/>
      <c r="W216" s="204"/>
      <c r="X216" s="204"/>
    </row>
    <row r="217" customFormat="false" ht="12.75" hidden="false" customHeight="true" outlineLevel="0" collapsed="false">
      <c r="H217" s="236"/>
      <c r="I217" s="236"/>
      <c r="J217" s="236"/>
      <c r="L217" s="237"/>
      <c r="M217" s="237"/>
      <c r="N217" s="237"/>
      <c r="O217" s="237"/>
      <c r="P217" s="237"/>
      <c r="Q217" s="237"/>
      <c r="R217" s="237"/>
      <c r="U217" s="204"/>
      <c r="V217" s="204"/>
      <c r="W217" s="204"/>
      <c r="X217" s="204"/>
    </row>
    <row r="218" customFormat="false" ht="12.75" hidden="false" customHeight="true" outlineLevel="0" collapsed="false">
      <c r="H218" s="236"/>
      <c r="I218" s="236"/>
      <c r="J218" s="236"/>
      <c r="L218" s="237"/>
      <c r="M218" s="237"/>
      <c r="N218" s="237"/>
      <c r="O218" s="237"/>
      <c r="P218" s="237"/>
      <c r="Q218" s="237"/>
      <c r="R218" s="237"/>
      <c r="U218" s="204"/>
      <c r="V218" s="204"/>
      <c r="W218" s="204"/>
      <c r="X218" s="204"/>
    </row>
    <row r="219" customFormat="false" ht="12.75" hidden="false" customHeight="true" outlineLevel="0" collapsed="false">
      <c r="H219" s="236"/>
      <c r="I219" s="236"/>
      <c r="J219" s="236"/>
      <c r="L219" s="237"/>
      <c r="M219" s="237"/>
      <c r="N219" s="237"/>
      <c r="O219" s="237"/>
      <c r="P219" s="237"/>
      <c r="Q219" s="237"/>
      <c r="R219" s="237"/>
      <c r="U219" s="204"/>
      <c r="V219" s="204"/>
      <c r="W219" s="204"/>
      <c r="X219" s="204"/>
    </row>
    <row r="220" customFormat="false" ht="12.75" hidden="false" customHeight="true" outlineLevel="0" collapsed="false">
      <c r="H220" s="236"/>
      <c r="I220" s="236"/>
      <c r="J220" s="236"/>
      <c r="L220" s="237"/>
      <c r="M220" s="237"/>
      <c r="N220" s="237"/>
      <c r="O220" s="237"/>
      <c r="P220" s="237"/>
      <c r="Q220" s="237"/>
      <c r="R220" s="237"/>
      <c r="U220" s="204"/>
      <c r="V220" s="204"/>
      <c r="W220" s="204"/>
      <c r="X220" s="204"/>
    </row>
    <row r="221" customFormat="false" ht="12.75" hidden="false" customHeight="true" outlineLevel="0" collapsed="false">
      <c r="H221" s="236"/>
      <c r="I221" s="236"/>
      <c r="J221" s="236"/>
      <c r="L221" s="237"/>
      <c r="M221" s="237"/>
      <c r="N221" s="237"/>
      <c r="O221" s="237"/>
      <c r="P221" s="237"/>
      <c r="Q221" s="237"/>
      <c r="R221" s="237"/>
      <c r="U221" s="204"/>
      <c r="V221" s="204"/>
      <c r="W221" s="204"/>
      <c r="X221" s="204"/>
    </row>
    <row r="222" customFormat="false" ht="12.75" hidden="false" customHeight="true" outlineLevel="0" collapsed="false">
      <c r="H222" s="236"/>
      <c r="I222" s="236"/>
      <c r="J222" s="236"/>
      <c r="L222" s="237"/>
      <c r="M222" s="237"/>
      <c r="N222" s="237"/>
      <c r="O222" s="237"/>
      <c r="P222" s="237"/>
      <c r="Q222" s="237"/>
      <c r="R222" s="237"/>
      <c r="U222" s="204"/>
      <c r="V222" s="204"/>
      <c r="W222" s="204"/>
      <c r="X222" s="204"/>
    </row>
    <row r="223" customFormat="false" ht="12.75" hidden="false" customHeight="true" outlineLevel="0" collapsed="false">
      <c r="H223" s="236"/>
      <c r="I223" s="236"/>
      <c r="J223" s="236"/>
      <c r="L223" s="237"/>
      <c r="M223" s="237"/>
      <c r="N223" s="237"/>
      <c r="O223" s="237"/>
      <c r="P223" s="237"/>
      <c r="Q223" s="237"/>
      <c r="R223" s="237"/>
      <c r="U223" s="204"/>
      <c r="V223" s="204"/>
      <c r="W223" s="204"/>
      <c r="X223" s="204"/>
    </row>
    <row r="224" customFormat="false" ht="12.75" hidden="false" customHeight="true" outlineLevel="0" collapsed="false">
      <c r="H224" s="236"/>
      <c r="I224" s="236"/>
      <c r="J224" s="236"/>
      <c r="L224" s="237"/>
      <c r="M224" s="237"/>
      <c r="N224" s="237"/>
      <c r="O224" s="237"/>
      <c r="P224" s="237"/>
      <c r="Q224" s="237"/>
      <c r="R224" s="237"/>
      <c r="U224" s="204"/>
      <c r="V224" s="204"/>
      <c r="W224" s="204"/>
      <c r="X224" s="204"/>
    </row>
    <row r="225" customFormat="false" ht="12.75" hidden="false" customHeight="true" outlineLevel="0" collapsed="false">
      <c r="H225" s="236"/>
      <c r="I225" s="236"/>
      <c r="J225" s="236"/>
      <c r="L225" s="237"/>
      <c r="M225" s="237"/>
      <c r="N225" s="237"/>
      <c r="O225" s="237"/>
      <c r="P225" s="237"/>
      <c r="Q225" s="237"/>
      <c r="R225" s="237"/>
      <c r="U225" s="204"/>
      <c r="V225" s="204"/>
      <c r="W225" s="204"/>
      <c r="X225" s="204"/>
    </row>
    <row r="226" customFormat="false" ht="12.75" hidden="false" customHeight="true" outlineLevel="0" collapsed="false">
      <c r="H226" s="236"/>
      <c r="I226" s="236"/>
      <c r="J226" s="236"/>
      <c r="L226" s="237"/>
      <c r="M226" s="237"/>
      <c r="N226" s="237"/>
      <c r="O226" s="237"/>
      <c r="P226" s="237"/>
      <c r="Q226" s="237"/>
      <c r="R226" s="237"/>
      <c r="U226" s="204"/>
      <c r="V226" s="204"/>
      <c r="W226" s="204"/>
      <c r="X226" s="204"/>
    </row>
    <row r="227" customFormat="false" ht="12.75" hidden="false" customHeight="true" outlineLevel="0" collapsed="false">
      <c r="H227" s="236"/>
      <c r="I227" s="236"/>
      <c r="J227" s="236"/>
      <c r="L227" s="237"/>
      <c r="M227" s="237"/>
      <c r="N227" s="237"/>
      <c r="O227" s="237"/>
      <c r="P227" s="237"/>
      <c r="Q227" s="237"/>
      <c r="R227" s="237"/>
      <c r="U227" s="204"/>
      <c r="V227" s="204"/>
      <c r="W227" s="204"/>
      <c r="X227" s="204"/>
    </row>
    <row r="228" customFormat="false" ht="12.75" hidden="false" customHeight="true" outlineLevel="0" collapsed="false">
      <c r="H228" s="236"/>
      <c r="I228" s="236"/>
      <c r="J228" s="236"/>
      <c r="L228" s="237"/>
      <c r="M228" s="237"/>
      <c r="N228" s="237"/>
      <c r="O228" s="237"/>
      <c r="P228" s="237"/>
      <c r="Q228" s="237"/>
      <c r="R228" s="237"/>
      <c r="U228" s="204"/>
      <c r="V228" s="204"/>
      <c r="W228" s="204"/>
      <c r="X228" s="204"/>
    </row>
    <row r="229" customFormat="false" ht="12.75" hidden="false" customHeight="true" outlineLevel="0" collapsed="false">
      <c r="H229" s="236"/>
      <c r="I229" s="236"/>
      <c r="J229" s="236"/>
      <c r="L229" s="237"/>
      <c r="M229" s="237"/>
      <c r="N229" s="237"/>
      <c r="O229" s="237"/>
      <c r="P229" s="237"/>
      <c r="Q229" s="237"/>
      <c r="R229" s="237"/>
      <c r="U229" s="204"/>
      <c r="V229" s="204"/>
      <c r="W229" s="204"/>
      <c r="X229" s="204"/>
    </row>
    <row r="230" customFormat="false" ht="12.75" hidden="false" customHeight="true" outlineLevel="0" collapsed="false">
      <c r="H230" s="236"/>
      <c r="I230" s="236"/>
      <c r="J230" s="236"/>
      <c r="L230" s="237"/>
      <c r="M230" s="237"/>
      <c r="N230" s="237"/>
      <c r="O230" s="237"/>
      <c r="P230" s="237"/>
      <c r="Q230" s="237"/>
      <c r="R230" s="237"/>
      <c r="U230" s="204"/>
      <c r="V230" s="204"/>
      <c r="W230" s="204"/>
      <c r="X230" s="204"/>
    </row>
    <row r="231" customFormat="false" ht="12.75" hidden="false" customHeight="true" outlineLevel="0" collapsed="false">
      <c r="H231" s="236"/>
      <c r="I231" s="236"/>
      <c r="J231" s="236"/>
      <c r="L231" s="237"/>
      <c r="M231" s="237"/>
      <c r="N231" s="237"/>
      <c r="O231" s="237"/>
      <c r="P231" s="237"/>
      <c r="Q231" s="237"/>
      <c r="R231" s="237"/>
      <c r="U231" s="204"/>
      <c r="V231" s="204"/>
      <c r="W231" s="204"/>
      <c r="X231" s="204"/>
    </row>
    <row r="232" customFormat="false" ht="12.75" hidden="false" customHeight="true" outlineLevel="0" collapsed="false">
      <c r="H232" s="236"/>
      <c r="I232" s="236"/>
      <c r="J232" s="236"/>
      <c r="L232" s="237"/>
      <c r="M232" s="237"/>
      <c r="N232" s="237"/>
      <c r="O232" s="237"/>
      <c r="P232" s="237"/>
      <c r="Q232" s="237"/>
      <c r="R232" s="237"/>
      <c r="U232" s="204"/>
      <c r="V232" s="204"/>
      <c r="W232" s="204"/>
      <c r="X232" s="204"/>
    </row>
    <row r="233" customFormat="false" ht="12.75" hidden="false" customHeight="true" outlineLevel="0" collapsed="false">
      <c r="H233" s="236"/>
      <c r="I233" s="236"/>
      <c r="J233" s="236"/>
      <c r="L233" s="237"/>
      <c r="M233" s="237"/>
      <c r="N233" s="237"/>
      <c r="O233" s="237"/>
      <c r="P233" s="237"/>
      <c r="Q233" s="237"/>
      <c r="R233" s="237"/>
      <c r="U233" s="204"/>
      <c r="V233" s="204"/>
      <c r="W233" s="204"/>
      <c r="X233" s="204"/>
    </row>
    <row r="234" customFormat="false" ht="12.75" hidden="false" customHeight="true" outlineLevel="0" collapsed="false">
      <c r="H234" s="236"/>
      <c r="I234" s="236"/>
      <c r="J234" s="236"/>
      <c r="L234" s="237"/>
      <c r="M234" s="237"/>
      <c r="N234" s="237"/>
      <c r="O234" s="237"/>
      <c r="P234" s="237"/>
      <c r="Q234" s="237"/>
      <c r="R234" s="237"/>
      <c r="U234" s="204"/>
      <c r="V234" s="204"/>
      <c r="W234" s="204"/>
      <c r="X234" s="204"/>
    </row>
    <row r="235" customFormat="false" ht="12.75" hidden="false" customHeight="true" outlineLevel="0" collapsed="false">
      <c r="H235" s="236"/>
      <c r="I235" s="236"/>
      <c r="J235" s="236"/>
      <c r="L235" s="237"/>
      <c r="M235" s="237"/>
      <c r="N235" s="237"/>
      <c r="O235" s="237"/>
      <c r="P235" s="237"/>
      <c r="Q235" s="237"/>
      <c r="R235" s="237"/>
      <c r="U235" s="204"/>
      <c r="V235" s="204"/>
      <c r="W235" s="204"/>
      <c r="X235" s="204"/>
    </row>
    <row r="236" customFormat="false" ht="12.75" hidden="false" customHeight="true" outlineLevel="0" collapsed="false">
      <c r="H236" s="236"/>
      <c r="I236" s="236"/>
      <c r="J236" s="236"/>
      <c r="L236" s="237"/>
      <c r="M236" s="237"/>
      <c r="N236" s="237"/>
      <c r="O236" s="237"/>
      <c r="P236" s="237"/>
      <c r="Q236" s="237"/>
      <c r="R236" s="237"/>
      <c r="U236" s="204"/>
      <c r="V236" s="204"/>
      <c r="W236" s="204"/>
      <c r="X236" s="204"/>
    </row>
    <row r="237" customFormat="false" ht="12.75" hidden="false" customHeight="true" outlineLevel="0" collapsed="false">
      <c r="H237" s="236"/>
      <c r="I237" s="236"/>
      <c r="J237" s="236"/>
      <c r="L237" s="237"/>
      <c r="M237" s="237"/>
      <c r="N237" s="237"/>
      <c r="O237" s="237"/>
      <c r="P237" s="237"/>
      <c r="Q237" s="237"/>
      <c r="R237" s="237"/>
      <c r="U237" s="204"/>
      <c r="V237" s="204"/>
      <c r="W237" s="204"/>
      <c r="X237" s="204"/>
    </row>
    <row r="238" customFormat="false" ht="12.75" hidden="false" customHeight="true" outlineLevel="0" collapsed="false">
      <c r="H238" s="236"/>
      <c r="I238" s="236"/>
      <c r="J238" s="236"/>
      <c r="L238" s="237"/>
      <c r="M238" s="237"/>
      <c r="N238" s="237"/>
      <c r="O238" s="237"/>
      <c r="P238" s="237"/>
      <c r="Q238" s="237"/>
      <c r="R238" s="237"/>
      <c r="U238" s="204"/>
      <c r="V238" s="204"/>
      <c r="W238" s="204"/>
      <c r="X238" s="204"/>
    </row>
    <row r="239" customFormat="false" ht="12.75" hidden="false" customHeight="true" outlineLevel="0" collapsed="false">
      <c r="H239" s="236"/>
      <c r="I239" s="236"/>
      <c r="J239" s="236"/>
      <c r="L239" s="237"/>
      <c r="M239" s="237"/>
      <c r="N239" s="237"/>
      <c r="O239" s="237"/>
      <c r="P239" s="237"/>
      <c r="Q239" s="237"/>
      <c r="R239" s="237"/>
      <c r="U239" s="204"/>
      <c r="V239" s="204"/>
      <c r="W239" s="204"/>
      <c r="X239" s="204"/>
    </row>
    <row r="240" customFormat="false" ht="12.75" hidden="false" customHeight="true" outlineLevel="0" collapsed="false">
      <c r="H240" s="236"/>
      <c r="I240" s="236"/>
      <c r="J240" s="236"/>
      <c r="L240" s="237"/>
      <c r="M240" s="237"/>
      <c r="N240" s="237"/>
      <c r="O240" s="237"/>
      <c r="P240" s="237"/>
      <c r="Q240" s="237"/>
      <c r="R240" s="237"/>
      <c r="U240" s="204"/>
      <c r="V240" s="204"/>
      <c r="W240" s="204"/>
      <c r="X240" s="204"/>
    </row>
    <row r="241" customFormat="false" ht="12.75" hidden="false" customHeight="true" outlineLevel="0" collapsed="false">
      <c r="H241" s="236"/>
      <c r="I241" s="236"/>
      <c r="J241" s="236"/>
      <c r="L241" s="237"/>
      <c r="M241" s="237"/>
      <c r="N241" s="237"/>
      <c r="O241" s="237"/>
      <c r="P241" s="237"/>
      <c r="Q241" s="237"/>
      <c r="R241" s="237"/>
      <c r="U241" s="204"/>
      <c r="V241" s="204"/>
      <c r="W241" s="204"/>
      <c r="X241" s="204"/>
    </row>
    <row r="242" customFormat="false" ht="12.75" hidden="false" customHeight="true" outlineLevel="0" collapsed="false">
      <c r="H242" s="236"/>
      <c r="I242" s="236"/>
      <c r="J242" s="236"/>
      <c r="L242" s="237"/>
      <c r="M242" s="237"/>
      <c r="N242" s="237"/>
      <c r="O242" s="237"/>
      <c r="P242" s="237"/>
      <c r="Q242" s="237"/>
      <c r="R242" s="237"/>
      <c r="U242" s="204"/>
      <c r="V242" s="204"/>
      <c r="W242" s="204"/>
      <c r="X242" s="204"/>
    </row>
    <row r="243" customFormat="false" ht="12.75" hidden="false" customHeight="true" outlineLevel="0" collapsed="false">
      <c r="H243" s="236"/>
      <c r="I243" s="236"/>
      <c r="J243" s="236"/>
      <c r="L243" s="237"/>
      <c r="M243" s="237"/>
      <c r="N243" s="237"/>
      <c r="O243" s="237"/>
      <c r="P243" s="237"/>
      <c r="Q243" s="237"/>
      <c r="R243" s="237"/>
      <c r="U243" s="204"/>
      <c r="V243" s="204"/>
      <c r="W243" s="204"/>
      <c r="X243" s="204"/>
    </row>
    <row r="244" customFormat="false" ht="12.75" hidden="false" customHeight="true" outlineLevel="0" collapsed="false">
      <c r="H244" s="236"/>
      <c r="I244" s="236"/>
      <c r="J244" s="236"/>
      <c r="L244" s="237"/>
      <c r="M244" s="237"/>
      <c r="N244" s="237"/>
      <c r="O244" s="237"/>
      <c r="P244" s="237"/>
      <c r="Q244" s="237"/>
      <c r="R244" s="237"/>
      <c r="U244" s="204"/>
      <c r="V244" s="204"/>
      <c r="W244" s="204"/>
      <c r="X244" s="204"/>
    </row>
    <row r="245" customFormat="false" ht="12.75" hidden="false" customHeight="true" outlineLevel="0" collapsed="false">
      <c r="H245" s="236"/>
      <c r="I245" s="236"/>
      <c r="J245" s="236"/>
      <c r="L245" s="237"/>
      <c r="M245" s="237"/>
      <c r="N245" s="237"/>
      <c r="O245" s="237"/>
      <c r="P245" s="237"/>
      <c r="Q245" s="237"/>
      <c r="R245" s="237"/>
      <c r="U245" s="204"/>
      <c r="V245" s="204"/>
      <c r="W245" s="204"/>
      <c r="X245" s="204"/>
    </row>
    <row r="246" customFormat="false" ht="12.75" hidden="false" customHeight="true" outlineLevel="0" collapsed="false">
      <c r="H246" s="236"/>
      <c r="I246" s="236"/>
      <c r="J246" s="236"/>
      <c r="L246" s="237"/>
      <c r="M246" s="237"/>
      <c r="N246" s="237"/>
      <c r="O246" s="237"/>
      <c r="P246" s="237"/>
      <c r="Q246" s="237"/>
      <c r="R246" s="237"/>
      <c r="U246" s="204"/>
      <c r="V246" s="204"/>
      <c r="W246" s="204"/>
      <c r="X246" s="204"/>
    </row>
    <row r="247" customFormat="false" ht="12.75" hidden="false" customHeight="true" outlineLevel="0" collapsed="false">
      <c r="H247" s="236"/>
      <c r="I247" s="236"/>
      <c r="J247" s="236"/>
      <c r="L247" s="237"/>
      <c r="M247" s="237"/>
      <c r="N247" s="237"/>
      <c r="O247" s="237"/>
      <c r="P247" s="237"/>
      <c r="Q247" s="237"/>
      <c r="R247" s="237"/>
      <c r="U247" s="204"/>
      <c r="V247" s="204"/>
      <c r="W247" s="204"/>
      <c r="X247" s="204"/>
    </row>
    <row r="248" customFormat="false" ht="12.75" hidden="false" customHeight="true" outlineLevel="0" collapsed="false">
      <c r="H248" s="236"/>
      <c r="I248" s="236"/>
      <c r="J248" s="236"/>
      <c r="L248" s="237"/>
      <c r="M248" s="237"/>
      <c r="N248" s="237"/>
      <c r="O248" s="237"/>
      <c r="P248" s="237"/>
      <c r="Q248" s="237"/>
      <c r="R248" s="237"/>
      <c r="U248" s="204"/>
      <c r="V248" s="204"/>
      <c r="W248" s="204"/>
      <c r="X248" s="204"/>
    </row>
    <row r="249" customFormat="false" ht="12.75" hidden="false" customHeight="true" outlineLevel="0" collapsed="false">
      <c r="H249" s="236"/>
      <c r="I249" s="236"/>
      <c r="J249" s="236"/>
      <c r="L249" s="237"/>
      <c r="M249" s="237"/>
      <c r="N249" s="237"/>
      <c r="O249" s="237"/>
      <c r="P249" s="237"/>
      <c r="Q249" s="237"/>
      <c r="R249" s="237"/>
      <c r="U249" s="204"/>
      <c r="V249" s="204"/>
      <c r="W249" s="204"/>
      <c r="X249" s="204"/>
    </row>
    <row r="250" customFormat="false" ht="12.75" hidden="false" customHeight="true" outlineLevel="0" collapsed="false">
      <c r="H250" s="236"/>
      <c r="I250" s="236"/>
      <c r="J250" s="236"/>
      <c r="L250" s="237"/>
      <c r="M250" s="237"/>
      <c r="N250" s="237"/>
      <c r="O250" s="237"/>
      <c r="P250" s="237"/>
      <c r="Q250" s="237"/>
      <c r="R250" s="237"/>
      <c r="U250" s="204"/>
      <c r="V250" s="204"/>
      <c r="W250" s="204"/>
      <c r="X250" s="204"/>
    </row>
    <row r="251" customFormat="false" ht="12.75" hidden="false" customHeight="true" outlineLevel="0" collapsed="false">
      <c r="H251" s="236"/>
      <c r="I251" s="236"/>
      <c r="J251" s="236"/>
      <c r="L251" s="237"/>
      <c r="M251" s="237"/>
      <c r="N251" s="237"/>
      <c r="O251" s="237"/>
      <c r="P251" s="237"/>
      <c r="Q251" s="237"/>
      <c r="R251" s="237"/>
      <c r="U251" s="204"/>
      <c r="V251" s="204"/>
      <c r="W251" s="204"/>
      <c r="X251" s="204"/>
    </row>
    <row r="252" customFormat="false" ht="12.75" hidden="false" customHeight="true" outlineLevel="0" collapsed="false">
      <c r="H252" s="236"/>
      <c r="I252" s="236"/>
      <c r="J252" s="236"/>
      <c r="L252" s="237"/>
      <c r="M252" s="237"/>
      <c r="N252" s="237"/>
      <c r="O252" s="237"/>
      <c r="P252" s="237"/>
      <c r="Q252" s="237"/>
      <c r="R252" s="237"/>
      <c r="U252" s="204"/>
      <c r="V252" s="204"/>
      <c r="W252" s="204"/>
      <c r="X252" s="204"/>
    </row>
    <row r="253" customFormat="false" ht="12.75" hidden="false" customHeight="true" outlineLevel="0" collapsed="false">
      <c r="H253" s="236"/>
      <c r="I253" s="236"/>
      <c r="J253" s="236"/>
      <c r="L253" s="237"/>
      <c r="M253" s="237"/>
      <c r="N253" s="237"/>
      <c r="O253" s="237"/>
      <c r="P253" s="237"/>
      <c r="Q253" s="237"/>
      <c r="R253" s="237"/>
      <c r="U253" s="204"/>
      <c r="V253" s="204"/>
      <c r="W253" s="204"/>
      <c r="X253" s="204"/>
    </row>
    <row r="254" customFormat="false" ht="12.75" hidden="false" customHeight="true" outlineLevel="0" collapsed="false">
      <c r="H254" s="236"/>
      <c r="I254" s="236"/>
      <c r="J254" s="236"/>
      <c r="L254" s="237"/>
      <c r="M254" s="237"/>
      <c r="N254" s="237"/>
      <c r="O254" s="237"/>
      <c r="P254" s="237"/>
      <c r="Q254" s="237"/>
      <c r="R254" s="237"/>
      <c r="U254" s="204"/>
      <c r="V254" s="204"/>
      <c r="W254" s="204"/>
      <c r="X254" s="204"/>
    </row>
    <row r="255" customFormat="false" ht="12.75" hidden="false" customHeight="true" outlineLevel="0" collapsed="false">
      <c r="H255" s="236"/>
      <c r="I255" s="236"/>
      <c r="J255" s="236"/>
      <c r="L255" s="237"/>
      <c r="M255" s="237"/>
      <c r="N255" s="237"/>
      <c r="O255" s="237"/>
      <c r="P255" s="237"/>
      <c r="Q255" s="237"/>
      <c r="R255" s="237"/>
      <c r="U255" s="204"/>
      <c r="V255" s="204"/>
      <c r="W255" s="204"/>
      <c r="X255" s="204"/>
    </row>
    <row r="256" customFormat="false" ht="12.75" hidden="false" customHeight="true" outlineLevel="0" collapsed="false">
      <c r="H256" s="236"/>
      <c r="I256" s="236"/>
      <c r="J256" s="236"/>
      <c r="L256" s="237"/>
      <c r="M256" s="237"/>
      <c r="N256" s="237"/>
      <c r="O256" s="237"/>
      <c r="P256" s="237"/>
      <c r="Q256" s="237"/>
      <c r="R256" s="237"/>
      <c r="U256" s="204"/>
      <c r="V256" s="204"/>
      <c r="W256" s="204"/>
      <c r="X256" s="204"/>
    </row>
    <row r="257" customFormat="false" ht="12.75" hidden="false" customHeight="true" outlineLevel="0" collapsed="false">
      <c r="H257" s="236"/>
      <c r="I257" s="236"/>
      <c r="J257" s="236"/>
      <c r="L257" s="237"/>
      <c r="M257" s="237"/>
      <c r="N257" s="237"/>
      <c r="O257" s="237"/>
      <c r="P257" s="237"/>
      <c r="Q257" s="237"/>
      <c r="R257" s="237"/>
      <c r="U257" s="204"/>
      <c r="V257" s="204"/>
      <c r="W257" s="204"/>
      <c r="X257" s="204"/>
    </row>
    <row r="258" customFormat="false" ht="12.75" hidden="false" customHeight="true" outlineLevel="0" collapsed="false">
      <c r="H258" s="236"/>
      <c r="I258" s="236"/>
      <c r="J258" s="236"/>
      <c r="L258" s="237"/>
      <c r="M258" s="237"/>
      <c r="N258" s="237"/>
      <c r="O258" s="237"/>
      <c r="P258" s="237"/>
      <c r="Q258" s="237"/>
      <c r="R258" s="237"/>
      <c r="U258" s="204"/>
      <c r="V258" s="204"/>
      <c r="W258" s="204"/>
      <c r="X258" s="204"/>
    </row>
    <row r="259" customFormat="false" ht="12.75" hidden="false" customHeight="true" outlineLevel="0" collapsed="false">
      <c r="H259" s="236"/>
      <c r="I259" s="236"/>
      <c r="J259" s="236"/>
      <c r="L259" s="237"/>
      <c r="M259" s="237"/>
      <c r="N259" s="237"/>
      <c r="O259" s="237"/>
      <c r="P259" s="237"/>
      <c r="Q259" s="237"/>
      <c r="R259" s="237"/>
      <c r="U259" s="204"/>
      <c r="V259" s="204"/>
      <c r="W259" s="204"/>
      <c r="X259" s="204"/>
    </row>
    <row r="260" customFormat="false" ht="12.75" hidden="false" customHeight="true" outlineLevel="0" collapsed="false">
      <c r="H260" s="236"/>
      <c r="I260" s="236"/>
      <c r="J260" s="236"/>
      <c r="L260" s="237"/>
      <c r="M260" s="237"/>
      <c r="N260" s="237"/>
      <c r="O260" s="237"/>
      <c r="P260" s="237"/>
      <c r="Q260" s="237"/>
      <c r="R260" s="237"/>
      <c r="U260" s="204"/>
      <c r="V260" s="204"/>
      <c r="W260" s="204"/>
      <c r="X260" s="204"/>
    </row>
    <row r="261" customFormat="false" ht="12.75" hidden="false" customHeight="true" outlineLevel="0" collapsed="false">
      <c r="H261" s="236"/>
      <c r="I261" s="236"/>
      <c r="J261" s="236"/>
      <c r="L261" s="237"/>
      <c r="M261" s="237"/>
      <c r="N261" s="237"/>
      <c r="O261" s="237"/>
      <c r="P261" s="237"/>
      <c r="Q261" s="237"/>
      <c r="R261" s="237"/>
      <c r="U261" s="204"/>
      <c r="V261" s="204"/>
      <c r="W261" s="204"/>
      <c r="X261" s="204"/>
    </row>
    <row r="262" customFormat="false" ht="12.75" hidden="false" customHeight="true" outlineLevel="0" collapsed="false">
      <c r="H262" s="236"/>
      <c r="I262" s="236"/>
      <c r="J262" s="236"/>
      <c r="L262" s="237"/>
      <c r="M262" s="237"/>
      <c r="N262" s="237"/>
      <c r="O262" s="237"/>
      <c r="P262" s="237"/>
      <c r="Q262" s="237"/>
      <c r="R262" s="237"/>
      <c r="U262" s="204"/>
      <c r="V262" s="204"/>
      <c r="W262" s="204"/>
      <c r="X262" s="204"/>
    </row>
    <row r="263" customFormat="false" ht="12.75" hidden="false" customHeight="true" outlineLevel="0" collapsed="false">
      <c r="H263" s="236"/>
      <c r="I263" s="236"/>
      <c r="J263" s="236"/>
      <c r="L263" s="237"/>
      <c r="M263" s="237"/>
      <c r="N263" s="237"/>
      <c r="O263" s="237"/>
      <c r="P263" s="237"/>
      <c r="Q263" s="237"/>
      <c r="R263" s="237"/>
      <c r="U263" s="204"/>
      <c r="V263" s="204"/>
      <c r="W263" s="204"/>
      <c r="X263" s="204"/>
    </row>
    <row r="264" customFormat="false" ht="12.75" hidden="false" customHeight="true" outlineLevel="0" collapsed="false">
      <c r="H264" s="236"/>
      <c r="I264" s="236"/>
      <c r="J264" s="236"/>
      <c r="L264" s="237"/>
      <c r="M264" s="237"/>
      <c r="N264" s="237"/>
      <c r="O264" s="237"/>
      <c r="P264" s="237"/>
      <c r="Q264" s="237"/>
      <c r="R264" s="237"/>
      <c r="U264" s="204"/>
      <c r="V264" s="204"/>
      <c r="W264" s="204"/>
      <c r="X264" s="204"/>
    </row>
    <row r="265" customFormat="false" ht="12.75" hidden="false" customHeight="true" outlineLevel="0" collapsed="false">
      <c r="H265" s="236"/>
      <c r="I265" s="236"/>
      <c r="J265" s="236"/>
      <c r="L265" s="237"/>
      <c r="M265" s="237"/>
      <c r="N265" s="237"/>
      <c r="O265" s="237"/>
      <c r="P265" s="237"/>
      <c r="Q265" s="237"/>
      <c r="R265" s="237"/>
      <c r="U265" s="204"/>
      <c r="V265" s="204"/>
      <c r="W265" s="204"/>
      <c r="X265" s="204"/>
    </row>
    <row r="266" customFormat="false" ht="12.75" hidden="false" customHeight="true" outlineLevel="0" collapsed="false">
      <c r="H266" s="236"/>
      <c r="I266" s="236"/>
      <c r="J266" s="236"/>
      <c r="L266" s="237"/>
      <c r="M266" s="237"/>
      <c r="N266" s="237"/>
      <c r="O266" s="237"/>
      <c r="P266" s="237"/>
      <c r="Q266" s="237"/>
      <c r="R266" s="237"/>
      <c r="U266" s="204"/>
      <c r="V266" s="204"/>
      <c r="W266" s="204"/>
      <c r="X266" s="204"/>
    </row>
    <row r="267" customFormat="false" ht="12.75" hidden="false" customHeight="true" outlineLevel="0" collapsed="false">
      <c r="H267" s="236"/>
      <c r="I267" s="236"/>
      <c r="J267" s="236"/>
      <c r="L267" s="237"/>
      <c r="M267" s="237"/>
      <c r="N267" s="237"/>
      <c r="O267" s="237"/>
      <c r="P267" s="237"/>
      <c r="Q267" s="237"/>
      <c r="R267" s="237"/>
      <c r="U267" s="204"/>
      <c r="V267" s="204"/>
      <c r="W267" s="204"/>
      <c r="X267" s="204"/>
    </row>
    <row r="268" customFormat="false" ht="12.75" hidden="false" customHeight="true" outlineLevel="0" collapsed="false">
      <c r="H268" s="236"/>
      <c r="I268" s="236"/>
      <c r="J268" s="236"/>
      <c r="L268" s="237"/>
      <c r="M268" s="237"/>
      <c r="N268" s="237"/>
      <c r="O268" s="237"/>
      <c r="P268" s="237"/>
      <c r="Q268" s="237"/>
      <c r="R268" s="237"/>
      <c r="U268" s="204"/>
      <c r="V268" s="204"/>
      <c r="W268" s="204"/>
      <c r="X268" s="204"/>
    </row>
    <row r="269" customFormat="false" ht="12.75" hidden="false" customHeight="true" outlineLevel="0" collapsed="false">
      <c r="H269" s="236"/>
      <c r="I269" s="236"/>
      <c r="J269" s="236"/>
      <c r="L269" s="237"/>
      <c r="M269" s="237"/>
      <c r="N269" s="237"/>
      <c r="O269" s="237"/>
      <c r="P269" s="237"/>
      <c r="Q269" s="237"/>
      <c r="R269" s="237"/>
      <c r="U269" s="204"/>
      <c r="V269" s="204"/>
      <c r="W269" s="204"/>
      <c r="X269" s="204"/>
    </row>
    <row r="270" customFormat="false" ht="12.75" hidden="false" customHeight="true" outlineLevel="0" collapsed="false">
      <c r="H270" s="236"/>
      <c r="I270" s="236"/>
      <c r="J270" s="236"/>
      <c r="L270" s="237"/>
      <c r="M270" s="237"/>
      <c r="N270" s="237"/>
      <c r="O270" s="237"/>
      <c r="P270" s="237"/>
      <c r="Q270" s="237"/>
      <c r="R270" s="237"/>
      <c r="U270" s="204"/>
      <c r="V270" s="204"/>
      <c r="W270" s="204"/>
      <c r="X270" s="204"/>
    </row>
    <row r="271" customFormat="false" ht="12.75" hidden="false" customHeight="true" outlineLevel="0" collapsed="false">
      <c r="H271" s="236"/>
      <c r="I271" s="236"/>
      <c r="J271" s="236"/>
      <c r="L271" s="237"/>
      <c r="M271" s="237"/>
      <c r="N271" s="237"/>
      <c r="O271" s="237"/>
      <c r="P271" s="237"/>
      <c r="Q271" s="237"/>
      <c r="R271" s="237"/>
      <c r="U271" s="204"/>
      <c r="V271" s="204"/>
      <c r="W271" s="204"/>
      <c r="X271" s="204"/>
    </row>
    <row r="272" customFormat="false" ht="12.75" hidden="false" customHeight="true" outlineLevel="0" collapsed="false">
      <c r="H272" s="236"/>
      <c r="I272" s="236"/>
      <c r="J272" s="236"/>
      <c r="L272" s="237"/>
      <c r="M272" s="237"/>
      <c r="N272" s="237"/>
      <c r="O272" s="237"/>
      <c r="P272" s="237"/>
      <c r="Q272" s="237"/>
      <c r="R272" s="237"/>
      <c r="U272" s="204"/>
      <c r="V272" s="204"/>
      <c r="W272" s="204"/>
      <c r="X272" s="204"/>
    </row>
    <row r="273" customFormat="false" ht="12.75" hidden="false" customHeight="true" outlineLevel="0" collapsed="false">
      <c r="H273" s="236"/>
      <c r="I273" s="236"/>
      <c r="J273" s="236"/>
      <c r="L273" s="237"/>
      <c r="M273" s="237"/>
      <c r="N273" s="237"/>
      <c r="O273" s="237"/>
      <c r="P273" s="237"/>
      <c r="Q273" s="237"/>
      <c r="R273" s="237"/>
      <c r="U273" s="204"/>
      <c r="V273" s="204"/>
      <c r="W273" s="204"/>
      <c r="X273" s="204"/>
    </row>
    <row r="274" customFormat="false" ht="12.75" hidden="false" customHeight="true" outlineLevel="0" collapsed="false">
      <c r="H274" s="236"/>
      <c r="I274" s="236"/>
      <c r="J274" s="236"/>
      <c r="L274" s="237"/>
      <c r="M274" s="237"/>
      <c r="N274" s="237"/>
      <c r="O274" s="237"/>
      <c r="P274" s="237"/>
      <c r="Q274" s="237"/>
      <c r="R274" s="237"/>
      <c r="U274" s="204"/>
      <c r="V274" s="204"/>
      <c r="W274" s="204"/>
      <c r="X274" s="204"/>
    </row>
    <row r="275" customFormat="false" ht="12.75" hidden="false" customHeight="true" outlineLevel="0" collapsed="false">
      <c r="H275" s="236"/>
      <c r="I275" s="236"/>
      <c r="J275" s="236"/>
      <c r="L275" s="237"/>
      <c r="M275" s="237"/>
      <c r="N275" s="237"/>
      <c r="O275" s="237"/>
      <c r="P275" s="237"/>
      <c r="Q275" s="237"/>
      <c r="R275" s="237"/>
      <c r="U275" s="204"/>
      <c r="V275" s="204"/>
      <c r="W275" s="204"/>
      <c r="X275" s="204"/>
    </row>
    <row r="276" customFormat="false" ht="12.75" hidden="false" customHeight="true" outlineLevel="0" collapsed="false">
      <c r="H276" s="236"/>
      <c r="I276" s="236"/>
      <c r="J276" s="236"/>
      <c r="L276" s="237"/>
      <c r="M276" s="237"/>
      <c r="N276" s="237"/>
      <c r="O276" s="237"/>
      <c r="P276" s="237"/>
      <c r="Q276" s="237"/>
      <c r="R276" s="237"/>
      <c r="U276" s="204"/>
      <c r="V276" s="204"/>
      <c r="W276" s="204"/>
      <c r="X276" s="204"/>
    </row>
    <row r="277" customFormat="false" ht="12.75" hidden="false" customHeight="true" outlineLevel="0" collapsed="false">
      <c r="H277" s="236"/>
      <c r="I277" s="236"/>
      <c r="J277" s="236"/>
      <c r="L277" s="237"/>
      <c r="M277" s="237"/>
      <c r="N277" s="237"/>
      <c r="O277" s="237"/>
      <c r="P277" s="237"/>
      <c r="Q277" s="237"/>
      <c r="R277" s="237"/>
      <c r="U277" s="204"/>
      <c r="V277" s="204"/>
      <c r="W277" s="204"/>
      <c r="X277" s="204"/>
    </row>
    <row r="278" customFormat="false" ht="12.75" hidden="false" customHeight="true" outlineLevel="0" collapsed="false">
      <c r="H278" s="236"/>
      <c r="I278" s="236"/>
      <c r="J278" s="236"/>
      <c r="L278" s="237"/>
      <c r="M278" s="237"/>
      <c r="N278" s="237"/>
      <c r="O278" s="237"/>
      <c r="P278" s="237"/>
      <c r="Q278" s="237"/>
      <c r="R278" s="237"/>
      <c r="U278" s="204"/>
      <c r="V278" s="204"/>
      <c r="W278" s="204"/>
      <c r="X278" s="204"/>
    </row>
    <row r="279" customFormat="false" ht="12.75" hidden="false" customHeight="true" outlineLevel="0" collapsed="false">
      <c r="H279" s="236"/>
      <c r="I279" s="236"/>
      <c r="J279" s="236"/>
      <c r="L279" s="237"/>
      <c r="M279" s="237"/>
      <c r="N279" s="237"/>
      <c r="O279" s="237"/>
      <c r="P279" s="237"/>
      <c r="Q279" s="237"/>
      <c r="R279" s="237"/>
      <c r="U279" s="204"/>
      <c r="V279" s="204"/>
      <c r="W279" s="204"/>
      <c r="X279" s="204"/>
    </row>
    <row r="280" customFormat="false" ht="12.75" hidden="false" customHeight="true" outlineLevel="0" collapsed="false">
      <c r="H280" s="236"/>
      <c r="I280" s="236"/>
      <c r="J280" s="236"/>
      <c r="L280" s="237"/>
      <c r="M280" s="237"/>
      <c r="N280" s="237"/>
      <c r="O280" s="237"/>
      <c r="P280" s="237"/>
      <c r="Q280" s="237"/>
      <c r="R280" s="237"/>
      <c r="U280" s="204"/>
      <c r="V280" s="204"/>
      <c r="W280" s="204"/>
      <c r="X280" s="204"/>
    </row>
    <row r="281" customFormat="false" ht="12.75" hidden="false" customHeight="true" outlineLevel="0" collapsed="false">
      <c r="H281" s="236"/>
      <c r="I281" s="236"/>
      <c r="J281" s="236"/>
      <c r="L281" s="237"/>
      <c r="M281" s="237"/>
      <c r="N281" s="237"/>
      <c r="O281" s="237"/>
      <c r="P281" s="237"/>
      <c r="Q281" s="237"/>
      <c r="R281" s="237"/>
      <c r="U281" s="204"/>
      <c r="V281" s="204"/>
      <c r="W281" s="204"/>
      <c r="X281" s="204"/>
    </row>
    <row r="282" customFormat="false" ht="12.75" hidden="false" customHeight="true" outlineLevel="0" collapsed="false">
      <c r="H282" s="236"/>
      <c r="I282" s="236"/>
      <c r="J282" s="236"/>
      <c r="L282" s="237"/>
      <c r="M282" s="237"/>
      <c r="N282" s="237"/>
      <c r="O282" s="237"/>
      <c r="P282" s="237"/>
      <c r="Q282" s="237"/>
      <c r="R282" s="237"/>
      <c r="U282" s="204"/>
      <c r="V282" s="204"/>
      <c r="W282" s="204"/>
      <c r="X282" s="204"/>
    </row>
    <row r="283" customFormat="false" ht="12.75" hidden="false" customHeight="true" outlineLevel="0" collapsed="false">
      <c r="H283" s="236"/>
      <c r="I283" s="236"/>
      <c r="J283" s="236"/>
      <c r="L283" s="237"/>
      <c r="M283" s="237"/>
      <c r="N283" s="237"/>
      <c r="O283" s="237"/>
      <c r="P283" s="237"/>
      <c r="Q283" s="237"/>
      <c r="R283" s="237"/>
      <c r="U283" s="204"/>
      <c r="V283" s="204"/>
      <c r="W283" s="204"/>
      <c r="X283" s="204"/>
    </row>
    <row r="284" customFormat="false" ht="12.75" hidden="false" customHeight="true" outlineLevel="0" collapsed="false">
      <c r="H284" s="236"/>
      <c r="I284" s="236"/>
      <c r="J284" s="236"/>
      <c r="L284" s="237"/>
      <c r="M284" s="237"/>
      <c r="N284" s="237"/>
      <c r="O284" s="237"/>
      <c r="P284" s="237"/>
      <c r="Q284" s="237"/>
      <c r="R284" s="237"/>
      <c r="U284" s="204"/>
      <c r="V284" s="204"/>
      <c r="W284" s="204"/>
      <c r="X284" s="204"/>
    </row>
    <row r="285" customFormat="false" ht="12.75" hidden="false" customHeight="true" outlineLevel="0" collapsed="false">
      <c r="H285" s="236"/>
      <c r="I285" s="236"/>
      <c r="J285" s="236"/>
      <c r="L285" s="237"/>
      <c r="M285" s="237"/>
      <c r="N285" s="237"/>
      <c r="O285" s="237"/>
      <c r="P285" s="237"/>
      <c r="Q285" s="237"/>
      <c r="R285" s="237"/>
      <c r="U285" s="204"/>
      <c r="V285" s="204"/>
      <c r="W285" s="204"/>
      <c r="X285" s="204"/>
    </row>
    <row r="286" customFormat="false" ht="12.75" hidden="false" customHeight="true" outlineLevel="0" collapsed="false">
      <c r="H286" s="236"/>
      <c r="I286" s="236"/>
      <c r="J286" s="236"/>
      <c r="L286" s="237"/>
      <c r="M286" s="237"/>
      <c r="N286" s="237"/>
      <c r="O286" s="237"/>
      <c r="P286" s="237"/>
      <c r="Q286" s="237"/>
      <c r="R286" s="237"/>
      <c r="U286" s="204"/>
      <c r="V286" s="204"/>
      <c r="W286" s="204"/>
      <c r="X286" s="204"/>
    </row>
    <row r="287" customFormat="false" ht="12.75" hidden="false" customHeight="true" outlineLevel="0" collapsed="false">
      <c r="H287" s="236"/>
      <c r="I287" s="236"/>
      <c r="J287" s="236"/>
      <c r="L287" s="237"/>
      <c r="M287" s="237"/>
      <c r="N287" s="237"/>
      <c r="O287" s="237"/>
      <c r="P287" s="237"/>
      <c r="Q287" s="237"/>
      <c r="R287" s="237"/>
      <c r="U287" s="204"/>
      <c r="V287" s="204"/>
      <c r="W287" s="204"/>
      <c r="X287" s="204"/>
    </row>
    <row r="288" customFormat="false" ht="12.75" hidden="false" customHeight="true" outlineLevel="0" collapsed="false">
      <c r="H288" s="236"/>
      <c r="I288" s="236"/>
      <c r="J288" s="236"/>
      <c r="L288" s="237"/>
      <c r="M288" s="237"/>
      <c r="N288" s="237"/>
      <c r="O288" s="237"/>
      <c r="P288" s="237"/>
      <c r="Q288" s="237"/>
      <c r="R288" s="237"/>
      <c r="U288" s="204"/>
      <c r="V288" s="204"/>
      <c r="W288" s="204"/>
      <c r="X288" s="204"/>
    </row>
    <row r="289" customFormat="false" ht="12.75" hidden="false" customHeight="true" outlineLevel="0" collapsed="false">
      <c r="H289" s="236"/>
      <c r="I289" s="236"/>
      <c r="J289" s="236"/>
      <c r="L289" s="237"/>
      <c r="M289" s="237"/>
      <c r="N289" s="237"/>
      <c r="O289" s="237"/>
      <c r="P289" s="237"/>
      <c r="Q289" s="237"/>
      <c r="R289" s="237"/>
      <c r="U289" s="204"/>
      <c r="V289" s="204"/>
      <c r="W289" s="204"/>
      <c r="X289" s="204"/>
    </row>
    <row r="290" customFormat="false" ht="12.75" hidden="false" customHeight="true" outlineLevel="0" collapsed="false">
      <c r="H290" s="236"/>
      <c r="I290" s="236"/>
      <c r="J290" s="236"/>
      <c r="L290" s="237"/>
      <c r="M290" s="237"/>
      <c r="N290" s="237"/>
      <c r="O290" s="237"/>
      <c r="P290" s="237"/>
      <c r="Q290" s="237"/>
      <c r="R290" s="237"/>
      <c r="U290" s="204"/>
      <c r="V290" s="204"/>
      <c r="W290" s="204"/>
      <c r="X290" s="204"/>
    </row>
    <row r="291" customFormat="false" ht="12.75" hidden="false" customHeight="true" outlineLevel="0" collapsed="false">
      <c r="H291" s="236"/>
      <c r="I291" s="236"/>
      <c r="J291" s="236"/>
      <c r="L291" s="237"/>
      <c r="M291" s="237"/>
      <c r="N291" s="237"/>
      <c r="O291" s="237"/>
      <c r="P291" s="237"/>
      <c r="Q291" s="237"/>
      <c r="R291" s="237"/>
      <c r="U291" s="204"/>
      <c r="V291" s="204"/>
      <c r="W291" s="204"/>
      <c r="X291" s="204"/>
    </row>
    <row r="292" customFormat="false" ht="12.75" hidden="false" customHeight="true" outlineLevel="0" collapsed="false">
      <c r="H292" s="236"/>
      <c r="I292" s="236"/>
      <c r="J292" s="236"/>
      <c r="L292" s="237"/>
      <c r="M292" s="237"/>
      <c r="N292" s="237"/>
      <c r="O292" s="237"/>
      <c r="P292" s="237"/>
      <c r="Q292" s="237"/>
      <c r="R292" s="237"/>
      <c r="U292" s="204"/>
      <c r="V292" s="204"/>
      <c r="W292" s="204"/>
      <c r="X292" s="204"/>
    </row>
    <row r="293" customFormat="false" ht="12.75" hidden="false" customHeight="true" outlineLevel="0" collapsed="false">
      <c r="H293" s="236"/>
      <c r="I293" s="236"/>
      <c r="J293" s="236"/>
      <c r="L293" s="237"/>
      <c r="M293" s="237"/>
      <c r="N293" s="237"/>
      <c r="O293" s="237"/>
      <c r="P293" s="237"/>
      <c r="Q293" s="237"/>
      <c r="R293" s="237"/>
      <c r="U293" s="204"/>
      <c r="V293" s="204"/>
      <c r="W293" s="204"/>
      <c r="X293" s="204"/>
    </row>
    <row r="294" customFormat="false" ht="12.75" hidden="false" customHeight="true" outlineLevel="0" collapsed="false">
      <c r="H294" s="236"/>
      <c r="I294" s="236"/>
      <c r="J294" s="236"/>
      <c r="L294" s="237"/>
      <c r="M294" s="237"/>
      <c r="N294" s="237"/>
      <c r="O294" s="237"/>
      <c r="P294" s="237"/>
      <c r="Q294" s="237"/>
      <c r="R294" s="237"/>
      <c r="U294" s="204"/>
      <c r="V294" s="204"/>
      <c r="W294" s="204"/>
      <c r="X294" s="204"/>
    </row>
    <row r="295" customFormat="false" ht="12.75" hidden="false" customHeight="true" outlineLevel="0" collapsed="false">
      <c r="H295" s="236"/>
      <c r="I295" s="236"/>
      <c r="J295" s="236"/>
      <c r="L295" s="237"/>
      <c r="M295" s="237"/>
      <c r="N295" s="237"/>
      <c r="O295" s="237"/>
      <c r="P295" s="237"/>
      <c r="Q295" s="237"/>
      <c r="R295" s="237"/>
      <c r="U295" s="204"/>
      <c r="V295" s="204"/>
      <c r="W295" s="204"/>
      <c r="X295" s="204"/>
    </row>
    <row r="296" customFormat="false" ht="12.75" hidden="false" customHeight="true" outlineLevel="0" collapsed="false">
      <c r="H296" s="236"/>
      <c r="I296" s="236"/>
      <c r="J296" s="236"/>
      <c r="L296" s="237"/>
      <c r="M296" s="237"/>
      <c r="N296" s="237"/>
      <c r="O296" s="237"/>
      <c r="P296" s="237"/>
      <c r="Q296" s="237"/>
      <c r="R296" s="237"/>
      <c r="U296" s="204"/>
      <c r="V296" s="204"/>
      <c r="W296" s="204"/>
      <c r="X296" s="204"/>
    </row>
    <row r="297" customFormat="false" ht="12.75" hidden="false" customHeight="true" outlineLevel="0" collapsed="false">
      <c r="H297" s="236"/>
      <c r="I297" s="236"/>
      <c r="J297" s="236"/>
      <c r="L297" s="237"/>
      <c r="M297" s="237"/>
      <c r="N297" s="237"/>
      <c r="O297" s="237"/>
      <c r="P297" s="237"/>
      <c r="Q297" s="237"/>
      <c r="R297" s="237"/>
      <c r="U297" s="204"/>
      <c r="V297" s="204"/>
      <c r="W297" s="204"/>
      <c r="X297" s="204"/>
    </row>
    <row r="298" customFormat="false" ht="12.75" hidden="false" customHeight="true" outlineLevel="0" collapsed="false">
      <c r="H298" s="236"/>
      <c r="I298" s="236"/>
      <c r="J298" s="236"/>
      <c r="L298" s="237"/>
      <c r="M298" s="237"/>
      <c r="N298" s="237"/>
      <c r="O298" s="237"/>
      <c r="P298" s="237"/>
      <c r="Q298" s="237"/>
      <c r="R298" s="237"/>
      <c r="U298" s="204"/>
      <c r="V298" s="204"/>
      <c r="W298" s="204"/>
      <c r="X298" s="204"/>
    </row>
    <row r="299" customFormat="false" ht="12.75" hidden="false" customHeight="true" outlineLevel="0" collapsed="false">
      <c r="H299" s="236"/>
      <c r="I299" s="236"/>
      <c r="J299" s="236"/>
      <c r="L299" s="237"/>
      <c r="M299" s="237"/>
      <c r="N299" s="237"/>
      <c r="O299" s="237"/>
      <c r="P299" s="237"/>
      <c r="Q299" s="237"/>
      <c r="R299" s="237"/>
      <c r="U299" s="204"/>
      <c r="V299" s="204"/>
      <c r="W299" s="204"/>
      <c r="X299" s="204"/>
    </row>
    <row r="300" customFormat="false" ht="12.75" hidden="false" customHeight="true" outlineLevel="0" collapsed="false">
      <c r="H300" s="236"/>
      <c r="I300" s="236"/>
      <c r="J300" s="236"/>
      <c r="L300" s="237"/>
      <c r="M300" s="237"/>
      <c r="N300" s="237"/>
      <c r="O300" s="237"/>
      <c r="P300" s="237"/>
      <c r="Q300" s="237"/>
      <c r="R300" s="237"/>
      <c r="U300" s="204"/>
      <c r="V300" s="204"/>
      <c r="W300" s="204"/>
      <c r="X300" s="204"/>
    </row>
    <row r="301" customFormat="false" ht="12.75" hidden="false" customHeight="true" outlineLevel="0" collapsed="false">
      <c r="H301" s="236"/>
      <c r="I301" s="236"/>
      <c r="J301" s="236"/>
      <c r="L301" s="237"/>
      <c r="M301" s="237"/>
      <c r="N301" s="237"/>
      <c r="O301" s="237"/>
      <c r="P301" s="237"/>
      <c r="Q301" s="237"/>
      <c r="R301" s="237"/>
      <c r="U301" s="204"/>
      <c r="V301" s="204"/>
      <c r="W301" s="204"/>
      <c r="X301" s="204"/>
    </row>
    <row r="302" customFormat="false" ht="12.75" hidden="false" customHeight="true" outlineLevel="0" collapsed="false">
      <c r="H302" s="236"/>
      <c r="I302" s="236"/>
      <c r="J302" s="236"/>
      <c r="L302" s="237"/>
      <c r="M302" s="237"/>
      <c r="N302" s="237"/>
      <c r="O302" s="237"/>
      <c r="P302" s="237"/>
      <c r="Q302" s="237"/>
      <c r="R302" s="237"/>
      <c r="U302" s="204"/>
      <c r="V302" s="204"/>
      <c r="W302" s="204"/>
      <c r="X302" s="204"/>
    </row>
    <row r="303" customFormat="false" ht="12.75" hidden="false" customHeight="true" outlineLevel="0" collapsed="false">
      <c r="H303" s="236"/>
      <c r="I303" s="236"/>
      <c r="J303" s="236"/>
      <c r="L303" s="237"/>
      <c r="M303" s="237"/>
      <c r="N303" s="237"/>
      <c r="O303" s="237"/>
      <c r="P303" s="237"/>
      <c r="Q303" s="237"/>
      <c r="R303" s="237"/>
      <c r="U303" s="204"/>
      <c r="V303" s="204"/>
      <c r="W303" s="204"/>
      <c r="X303" s="204"/>
    </row>
    <row r="304" customFormat="false" ht="12.75" hidden="false" customHeight="true" outlineLevel="0" collapsed="false">
      <c r="H304" s="236"/>
      <c r="I304" s="236"/>
      <c r="J304" s="236"/>
      <c r="L304" s="237"/>
      <c r="M304" s="237"/>
      <c r="N304" s="237"/>
      <c r="O304" s="237"/>
      <c r="P304" s="237"/>
      <c r="Q304" s="237"/>
      <c r="R304" s="237"/>
      <c r="U304" s="204"/>
      <c r="V304" s="204"/>
      <c r="W304" s="204"/>
      <c r="X304" s="204"/>
    </row>
    <row r="305" customFormat="false" ht="12.75" hidden="false" customHeight="true" outlineLevel="0" collapsed="false">
      <c r="H305" s="236"/>
      <c r="I305" s="236"/>
      <c r="J305" s="236"/>
      <c r="L305" s="237"/>
      <c r="M305" s="237"/>
      <c r="N305" s="237"/>
      <c r="O305" s="237"/>
      <c r="P305" s="237"/>
      <c r="Q305" s="237"/>
      <c r="R305" s="237"/>
      <c r="U305" s="204"/>
      <c r="V305" s="204"/>
      <c r="W305" s="204"/>
      <c r="X305" s="204"/>
    </row>
    <row r="306" customFormat="false" ht="12.75" hidden="false" customHeight="true" outlineLevel="0" collapsed="false">
      <c r="H306" s="236"/>
      <c r="I306" s="236"/>
      <c r="J306" s="236"/>
      <c r="L306" s="237"/>
      <c r="M306" s="237"/>
      <c r="N306" s="237"/>
      <c r="O306" s="237"/>
      <c r="P306" s="237"/>
      <c r="Q306" s="237"/>
      <c r="R306" s="237"/>
      <c r="U306" s="204"/>
      <c r="V306" s="204"/>
      <c r="W306" s="204"/>
      <c r="X306" s="204"/>
    </row>
    <row r="307" customFormat="false" ht="12.75" hidden="false" customHeight="true" outlineLevel="0" collapsed="false">
      <c r="H307" s="236"/>
      <c r="I307" s="236"/>
      <c r="J307" s="236"/>
      <c r="L307" s="237"/>
      <c r="M307" s="237"/>
      <c r="N307" s="237"/>
      <c r="O307" s="237"/>
      <c r="P307" s="237"/>
      <c r="Q307" s="237"/>
      <c r="R307" s="237"/>
      <c r="U307" s="204"/>
      <c r="V307" s="204"/>
      <c r="W307" s="204"/>
      <c r="X307" s="204"/>
    </row>
    <row r="308" customFormat="false" ht="12.75" hidden="false" customHeight="true" outlineLevel="0" collapsed="false">
      <c r="H308" s="236"/>
      <c r="I308" s="236"/>
      <c r="J308" s="236"/>
      <c r="L308" s="237"/>
      <c r="M308" s="237"/>
      <c r="N308" s="237"/>
      <c r="O308" s="237"/>
      <c r="P308" s="237"/>
      <c r="Q308" s="237"/>
      <c r="R308" s="237"/>
      <c r="U308" s="204"/>
      <c r="V308" s="204"/>
      <c r="W308" s="204"/>
      <c r="X308" s="204"/>
    </row>
    <row r="309" customFormat="false" ht="12.75" hidden="false" customHeight="true" outlineLevel="0" collapsed="false">
      <c r="H309" s="236"/>
      <c r="I309" s="236"/>
      <c r="J309" s="236"/>
      <c r="L309" s="237"/>
      <c r="M309" s="237"/>
      <c r="N309" s="237"/>
      <c r="O309" s="237"/>
      <c r="P309" s="237"/>
      <c r="Q309" s="237"/>
      <c r="R309" s="237"/>
      <c r="U309" s="204"/>
      <c r="V309" s="204"/>
      <c r="W309" s="204"/>
      <c r="X309" s="204"/>
    </row>
    <row r="310" customFormat="false" ht="12.75" hidden="false" customHeight="true" outlineLevel="0" collapsed="false">
      <c r="H310" s="236"/>
      <c r="I310" s="236"/>
      <c r="J310" s="236"/>
      <c r="L310" s="237"/>
      <c r="M310" s="237"/>
      <c r="N310" s="237"/>
      <c r="O310" s="237"/>
      <c r="P310" s="237"/>
      <c r="Q310" s="237"/>
      <c r="R310" s="237"/>
      <c r="U310" s="204"/>
      <c r="V310" s="204"/>
      <c r="W310" s="204"/>
      <c r="X310" s="204"/>
    </row>
    <row r="311" customFormat="false" ht="12.75" hidden="false" customHeight="true" outlineLevel="0" collapsed="false">
      <c r="H311" s="236"/>
      <c r="I311" s="236"/>
      <c r="J311" s="236"/>
      <c r="L311" s="237"/>
      <c r="M311" s="237"/>
      <c r="N311" s="237"/>
      <c r="O311" s="237"/>
      <c r="P311" s="237"/>
      <c r="Q311" s="237"/>
      <c r="R311" s="237"/>
      <c r="U311" s="204"/>
      <c r="V311" s="204"/>
      <c r="W311" s="204"/>
      <c r="X311" s="204"/>
    </row>
    <row r="312" customFormat="false" ht="12.75" hidden="false" customHeight="true" outlineLevel="0" collapsed="false">
      <c r="H312" s="236"/>
      <c r="I312" s="236"/>
      <c r="J312" s="236"/>
      <c r="L312" s="237"/>
      <c r="M312" s="237"/>
      <c r="N312" s="237"/>
      <c r="O312" s="237"/>
      <c r="P312" s="237"/>
      <c r="Q312" s="237"/>
      <c r="R312" s="237"/>
      <c r="U312" s="204"/>
      <c r="V312" s="204"/>
      <c r="W312" s="204"/>
      <c r="X312" s="204"/>
    </row>
    <row r="313" customFormat="false" ht="12.75" hidden="false" customHeight="true" outlineLevel="0" collapsed="false">
      <c r="H313" s="236"/>
      <c r="I313" s="236"/>
      <c r="J313" s="236"/>
      <c r="L313" s="237"/>
      <c r="M313" s="237"/>
      <c r="N313" s="237"/>
      <c r="O313" s="237"/>
      <c r="P313" s="237"/>
      <c r="Q313" s="237"/>
      <c r="R313" s="237"/>
      <c r="U313" s="204"/>
      <c r="V313" s="204"/>
      <c r="W313" s="204"/>
      <c r="X313" s="204"/>
    </row>
    <row r="314" customFormat="false" ht="12.75" hidden="false" customHeight="true" outlineLevel="0" collapsed="false">
      <c r="H314" s="236"/>
      <c r="I314" s="236"/>
      <c r="J314" s="236"/>
      <c r="L314" s="237"/>
      <c r="M314" s="237"/>
      <c r="N314" s="237"/>
      <c r="O314" s="237"/>
      <c r="P314" s="237"/>
      <c r="Q314" s="237"/>
      <c r="R314" s="237"/>
      <c r="U314" s="204"/>
      <c r="V314" s="204"/>
      <c r="W314" s="204"/>
      <c r="X314" s="204"/>
    </row>
    <row r="315" customFormat="false" ht="12.75" hidden="false" customHeight="true" outlineLevel="0" collapsed="false">
      <c r="H315" s="236"/>
      <c r="I315" s="236"/>
      <c r="J315" s="236"/>
      <c r="L315" s="237"/>
      <c r="M315" s="237"/>
      <c r="N315" s="237"/>
      <c r="O315" s="237"/>
      <c r="P315" s="237"/>
      <c r="Q315" s="237"/>
      <c r="R315" s="237"/>
      <c r="U315" s="204"/>
      <c r="V315" s="204"/>
      <c r="W315" s="204"/>
      <c r="X315" s="204"/>
    </row>
    <row r="316" customFormat="false" ht="12.75" hidden="false" customHeight="true" outlineLevel="0" collapsed="false">
      <c r="H316" s="236"/>
      <c r="I316" s="236"/>
      <c r="J316" s="236"/>
      <c r="L316" s="237"/>
      <c r="M316" s="237"/>
      <c r="N316" s="237"/>
      <c r="O316" s="237"/>
      <c r="P316" s="237"/>
      <c r="Q316" s="237"/>
      <c r="R316" s="237"/>
      <c r="U316" s="204"/>
      <c r="V316" s="204"/>
      <c r="W316" s="204"/>
      <c r="X316" s="204"/>
    </row>
    <row r="317" customFormat="false" ht="12.75" hidden="false" customHeight="true" outlineLevel="0" collapsed="false">
      <c r="H317" s="236"/>
      <c r="I317" s="236"/>
      <c r="J317" s="236"/>
      <c r="L317" s="237"/>
      <c r="M317" s="237"/>
      <c r="N317" s="237"/>
      <c r="O317" s="237"/>
      <c r="P317" s="237"/>
      <c r="Q317" s="237"/>
      <c r="R317" s="237"/>
      <c r="U317" s="204"/>
      <c r="V317" s="204"/>
      <c r="W317" s="204"/>
      <c r="X317" s="204"/>
    </row>
    <row r="318" customFormat="false" ht="12.75" hidden="false" customHeight="true" outlineLevel="0" collapsed="false">
      <c r="H318" s="236"/>
      <c r="I318" s="236"/>
      <c r="J318" s="236"/>
      <c r="L318" s="237"/>
      <c r="M318" s="237"/>
      <c r="N318" s="237"/>
      <c r="O318" s="237"/>
      <c r="P318" s="237"/>
      <c r="Q318" s="237"/>
      <c r="R318" s="237"/>
      <c r="U318" s="204"/>
      <c r="V318" s="204"/>
      <c r="W318" s="204"/>
      <c r="X318" s="204"/>
    </row>
    <row r="319" customFormat="false" ht="12.75" hidden="false" customHeight="true" outlineLevel="0" collapsed="false">
      <c r="H319" s="236"/>
      <c r="I319" s="236"/>
      <c r="J319" s="236"/>
      <c r="L319" s="237"/>
      <c r="M319" s="237"/>
      <c r="N319" s="237"/>
      <c r="O319" s="237"/>
      <c r="P319" s="237"/>
      <c r="Q319" s="237"/>
      <c r="R319" s="237"/>
      <c r="U319" s="204"/>
      <c r="V319" s="204"/>
      <c r="W319" s="204"/>
      <c r="X319" s="204"/>
    </row>
    <row r="320" customFormat="false" ht="12.75" hidden="false" customHeight="true" outlineLevel="0" collapsed="false">
      <c r="H320" s="236"/>
      <c r="I320" s="236"/>
      <c r="J320" s="236"/>
      <c r="L320" s="237"/>
      <c r="M320" s="237"/>
      <c r="N320" s="237"/>
      <c r="O320" s="237"/>
      <c r="P320" s="237"/>
      <c r="Q320" s="237"/>
      <c r="R320" s="237"/>
      <c r="U320" s="204"/>
      <c r="V320" s="204"/>
      <c r="W320" s="204"/>
      <c r="X320" s="204"/>
    </row>
    <row r="321" customFormat="false" ht="12.75" hidden="false" customHeight="true" outlineLevel="0" collapsed="false">
      <c r="H321" s="236"/>
      <c r="I321" s="236"/>
      <c r="J321" s="236"/>
      <c r="L321" s="237"/>
      <c r="M321" s="237"/>
      <c r="N321" s="237"/>
      <c r="O321" s="237"/>
      <c r="P321" s="237"/>
      <c r="Q321" s="237"/>
      <c r="R321" s="237"/>
      <c r="U321" s="204"/>
      <c r="V321" s="204"/>
      <c r="W321" s="204"/>
      <c r="X321" s="204"/>
    </row>
    <row r="322" customFormat="false" ht="12.75" hidden="false" customHeight="true" outlineLevel="0" collapsed="false">
      <c r="H322" s="236"/>
      <c r="I322" s="236"/>
      <c r="J322" s="236"/>
      <c r="L322" s="237"/>
      <c r="M322" s="237"/>
      <c r="N322" s="237"/>
      <c r="O322" s="237"/>
      <c r="P322" s="237"/>
      <c r="Q322" s="237"/>
      <c r="R322" s="237"/>
      <c r="U322" s="204"/>
      <c r="V322" s="204"/>
      <c r="W322" s="204"/>
      <c r="X322" s="204"/>
    </row>
    <row r="323" customFormat="false" ht="12.75" hidden="false" customHeight="true" outlineLevel="0" collapsed="false">
      <c r="H323" s="236"/>
      <c r="I323" s="236"/>
      <c r="J323" s="236"/>
      <c r="L323" s="237"/>
      <c r="M323" s="237"/>
      <c r="N323" s="237"/>
      <c r="O323" s="237"/>
      <c r="P323" s="237"/>
      <c r="Q323" s="237"/>
      <c r="R323" s="237"/>
      <c r="U323" s="204"/>
      <c r="V323" s="204"/>
      <c r="W323" s="204"/>
      <c r="X323" s="204"/>
    </row>
    <row r="324" customFormat="false" ht="12.75" hidden="false" customHeight="true" outlineLevel="0" collapsed="false">
      <c r="H324" s="236"/>
      <c r="I324" s="236"/>
      <c r="J324" s="236"/>
      <c r="L324" s="237"/>
      <c r="M324" s="237"/>
      <c r="N324" s="237"/>
      <c r="O324" s="237"/>
      <c r="P324" s="237"/>
      <c r="Q324" s="237"/>
      <c r="R324" s="237"/>
      <c r="U324" s="204"/>
      <c r="V324" s="204"/>
      <c r="W324" s="204"/>
      <c r="X324" s="204"/>
    </row>
    <row r="325" customFormat="false" ht="12.75" hidden="false" customHeight="true" outlineLevel="0" collapsed="false">
      <c r="H325" s="236"/>
      <c r="I325" s="236"/>
      <c r="J325" s="236"/>
      <c r="L325" s="237"/>
      <c r="M325" s="237"/>
      <c r="N325" s="237"/>
      <c r="O325" s="237"/>
      <c r="P325" s="237"/>
      <c r="Q325" s="237"/>
      <c r="R325" s="237"/>
      <c r="U325" s="204"/>
      <c r="V325" s="204"/>
      <c r="W325" s="204"/>
      <c r="X325" s="204"/>
    </row>
    <row r="326" customFormat="false" ht="12.75" hidden="false" customHeight="true" outlineLevel="0" collapsed="false">
      <c r="H326" s="236"/>
      <c r="I326" s="236"/>
      <c r="J326" s="236"/>
      <c r="L326" s="237"/>
      <c r="M326" s="237"/>
      <c r="N326" s="237"/>
      <c r="O326" s="237"/>
      <c r="P326" s="237"/>
      <c r="Q326" s="237"/>
      <c r="R326" s="237"/>
      <c r="U326" s="204"/>
      <c r="V326" s="204"/>
      <c r="W326" s="204"/>
      <c r="X326" s="204"/>
    </row>
    <row r="327" customFormat="false" ht="12.75" hidden="false" customHeight="true" outlineLevel="0" collapsed="false">
      <c r="H327" s="236"/>
      <c r="I327" s="236"/>
      <c r="J327" s="236"/>
      <c r="L327" s="237"/>
      <c r="M327" s="237"/>
      <c r="N327" s="237"/>
      <c r="O327" s="237"/>
      <c r="P327" s="237"/>
      <c r="Q327" s="237"/>
      <c r="R327" s="237"/>
      <c r="U327" s="204"/>
      <c r="V327" s="204"/>
      <c r="W327" s="204"/>
      <c r="X327" s="204"/>
    </row>
    <row r="328" customFormat="false" ht="12.75" hidden="false" customHeight="true" outlineLevel="0" collapsed="false">
      <c r="H328" s="236"/>
      <c r="I328" s="236"/>
      <c r="J328" s="236"/>
      <c r="L328" s="237"/>
      <c r="M328" s="237"/>
      <c r="N328" s="237"/>
      <c r="O328" s="237"/>
      <c r="P328" s="237"/>
      <c r="Q328" s="237"/>
      <c r="R328" s="237"/>
      <c r="U328" s="204"/>
      <c r="V328" s="204"/>
      <c r="W328" s="204"/>
      <c r="X328" s="204"/>
    </row>
    <row r="329" customFormat="false" ht="12.75" hidden="false" customHeight="true" outlineLevel="0" collapsed="false">
      <c r="H329" s="236"/>
      <c r="I329" s="236"/>
      <c r="J329" s="236"/>
      <c r="L329" s="237"/>
      <c r="M329" s="237"/>
      <c r="N329" s="237"/>
      <c r="O329" s="237"/>
      <c r="P329" s="237"/>
      <c r="Q329" s="237"/>
      <c r="R329" s="237"/>
      <c r="U329" s="204"/>
      <c r="V329" s="204"/>
      <c r="W329" s="204"/>
      <c r="X329" s="204"/>
    </row>
    <row r="330" customFormat="false" ht="12.75" hidden="false" customHeight="true" outlineLevel="0" collapsed="false">
      <c r="H330" s="236"/>
      <c r="I330" s="236"/>
      <c r="J330" s="236"/>
      <c r="L330" s="237"/>
      <c r="M330" s="237"/>
      <c r="N330" s="237"/>
      <c r="O330" s="237"/>
      <c r="P330" s="237"/>
      <c r="Q330" s="237"/>
      <c r="R330" s="237"/>
      <c r="U330" s="204"/>
      <c r="V330" s="204"/>
      <c r="W330" s="204"/>
      <c r="X330" s="204"/>
    </row>
    <row r="331" customFormat="false" ht="12.75" hidden="false" customHeight="true" outlineLevel="0" collapsed="false">
      <c r="H331" s="236"/>
      <c r="I331" s="236"/>
      <c r="J331" s="236"/>
      <c r="L331" s="237"/>
      <c r="M331" s="237"/>
      <c r="N331" s="237"/>
      <c r="O331" s="237"/>
      <c r="P331" s="237"/>
      <c r="Q331" s="237"/>
      <c r="R331" s="237"/>
      <c r="U331" s="204"/>
      <c r="V331" s="204"/>
      <c r="W331" s="204"/>
      <c r="X331" s="204"/>
    </row>
    <row r="332" customFormat="false" ht="12.75" hidden="false" customHeight="true" outlineLevel="0" collapsed="false">
      <c r="H332" s="236"/>
      <c r="I332" s="236"/>
      <c r="J332" s="236"/>
      <c r="L332" s="237"/>
      <c r="M332" s="237"/>
      <c r="N332" s="237"/>
      <c r="O332" s="237"/>
      <c r="P332" s="237"/>
      <c r="Q332" s="237"/>
      <c r="R332" s="237"/>
      <c r="U332" s="204"/>
      <c r="V332" s="204"/>
      <c r="W332" s="204"/>
      <c r="X332" s="204"/>
    </row>
    <row r="333" customFormat="false" ht="12.75" hidden="false" customHeight="true" outlineLevel="0" collapsed="false">
      <c r="H333" s="236"/>
      <c r="I333" s="236"/>
      <c r="J333" s="236"/>
      <c r="L333" s="237"/>
      <c r="M333" s="237"/>
      <c r="N333" s="237"/>
      <c r="O333" s="237"/>
      <c r="P333" s="237"/>
      <c r="Q333" s="237"/>
      <c r="R333" s="237"/>
      <c r="U333" s="204"/>
      <c r="V333" s="204"/>
      <c r="W333" s="204"/>
      <c r="X333" s="204"/>
    </row>
    <row r="334" customFormat="false" ht="12.75" hidden="false" customHeight="true" outlineLevel="0" collapsed="false">
      <c r="H334" s="236"/>
      <c r="I334" s="236"/>
      <c r="J334" s="236"/>
      <c r="L334" s="237"/>
      <c r="M334" s="237"/>
      <c r="N334" s="237"/>
      <c r="O334" s="237"/>
      <c r="P334" s="237"/>
      <c r="Q334" s="237"/>
      <c r="R334" s="237"/>
      <c r="U334" s="204"/>
      <c r="V334" s="204"/>
      <c r="W334" s="204"/>
      <c r="X334" s="204"/>
    </row>
    <row r="335" customFormat="false" ht="12.75" hidden="false" customHeight="true" outlineLevel="0" collapsed="false">
      <c r="H335" s="236"/>
      <c r="I335" s="236"/>
      <c r="J335" s="236"/>
      <c r="L335" s="237"/>
      <c r="M335" s="237"/>
      <c r="N335" s="237"/>
      <c r="O335" s="237"/>
      <c r="P335" s="237"/>
      <c r="Q335" s="237"/>
      <c r="R335" s="237"/>
      <c r="U335" s="204"/>
      <c r="V335" s="204"/>
      <c r="W335" s="204"/>
      <c r="X335" s="204"/>
    </row>
    <row r="336" customFormat="false" ht="12.75" hidden="false" customHeight="true" outlineLevel="0" collapsed="false">
      <c r="H336" s="236"/>
      <c r="I336" s="236"/>
      <c r="J336" s="236"/>
      <c r="L336" s="237"/>
      <c r="M336" s="237"/>
      <c r="N336" s="237"/>
      <c r="O336" s="237"/>
      <c r="P336" s="237"/>
      <c r="Q336" s="237"/>
      <c r="R336" s="237"/>
      <c r="U336" s="204"/>
      <c r="V336" s="204"/>
      <c r="W336" s="204"/>
      <c r="X336" s="204"/>
    </row>
    <row r="337" customFormat="false" ht="12.75" hidden="false" customHeight="true" outlineLevel="0" collapsed="false">
      <c r="H337" s="236"/>
      <c r="I337" s="236"/>
      <c r="J337" s="236"/>
      <c r="L337" s="237"/>
      <c r="M337" s="237"/>
      <c r="N337" s="237"/>
      <c r="O337" s="237"/>
      <c r="P337" s="237"/>
      <c r="Q337" s="237"/>
      <c r="R337" s="237"/>
      <c r="U337" s="204"/>
      <c r="V337" s="204"/>
      <c r="W337" s="204"/>
      <c r="X337" s="204"/>
    </row>
    <row r="338" customFormat="false" ht="12.75" hidden="false" customHeight="true" outlineLevel="0" collapsed="false">
      <c r="H338" s="236"/>
      <c r="I338" s="236"/>
      <c r="J338" s="236"/>
      <c r="L338" s="237"/>
      <c r="M338" s="237"/>
      <c r="N338" s="237"/>
      <c r="O338" s="237"/>
      <c r="P338" s="237"/>
      <c r="Q338" s="237"/>
      <c r="R338" s="237"/>
      <c r="U338" s="204"/>
      <c r="V338" s="204"/>
      <c r="W338" s="204"/>
      <c r="X338" s="204"/>
    </row>
    <row r="339" customFormat="false" ht="12.75" hidden="false" customHeight="true" outlineLevel="0" collapsed="false">
      <c r="H339" s="236"/>
      <c r="I339" s="236"/>
      <c r="J339" s="236"/>
      <c r="L339" s="237"/>
      <c r="M339" s="237"/>
      <c r="N339" s="237"/>
      <c r="O339" s="237"/>
      <c r="P339" s="237"/>
      <c r="Q339" s="237"/>
      <c r="R339" s="237"/>
      <c r="U339" s="204"/>
      <c r="V339" s="204"/>
      <c r="W339" s="204"/>
      <c r="X339" s="204"/>
    </row>
    <row r="340" customFormat="false" ht="12.75" hidden="false" customHeight="true" outlineLevel="0" collapsed="false">
      <c r="H340" s="236"/>
      <c r="I340" s="236"/>
      <c r="J340" s="236"/>
      <c r="L340" s="237"/>
      <c r="M340" s="237"/>
      <c r="N340" s="237"/>
      <c r="O340" s="237"/>
      <c r="P340" s="237"/>
      <c r="Q340" s="237"/>
      <c r="R340" s="237"/>
      <c r="U340" s="204"/>
      <c r="V340" s="204"/>
      <c r="W340" s="204"/>
      <c r="X340" s="204"/>
    </row>
    <row r="341" customFormat="false" ht="12.75" hidden="false" customHeight="true" outlineLevel="0" collapsed="false">
      <c r="H341" s="236"/>
      <c r="I341" s="236"/>
      <c r="J341" s="236"/>
      <c r="L341" s="237"/>
      <c r="M341" s="237"/>
      <c r="N341" s="237"/>
      <c r="O341" s="237"/>
      <c r="P341" s="237"/>
      <c r="Q341" s="237"/>
      <c r="R341" s="237"/>
      <c r="U341" s="204"/>
      <c r="V341" s="204"/>
      <c r="W341" s="204"/>
      <c r="X341" s="204"/>
    </row>
    <row r="342" customFormat="false" ht="12.75" hidden="false" customHeight="true" outlineLevel="0" collapsed="false">
      <c r="H342" s="236"/>
      <c r="I342" s="236"/>
      <c r="J342" s="236"/>
      <c r="L342" s="237"/>
      <c r="M342" s="237"/>
      <c r="N342" s="237"/>
      <c r="O342" s="237"/>
      <c r="P342" s="237"/>
      <c r="Q342" s="237"/>
      <c r="R342" s="237"/>
      <c r="U342" s="204"/>
      <c r="V342" s="204"/>
      <c r="W342" s="204"/>
      <c r="X342" s="204"/>
    </row>
    <row r="343" customFormat="false" ht="12.75" hidden="false" customHeight="true" outlineLevel="0" collapsed="false">
      <c r="H343" s="236"/>
      <c r="I343" s="236"/>
      <c r="J343" s="236"/>
      <c r="L343" s="237"/>
      <c r="M343" s="237"/>
      <c r="N343" s="237"/>
      <c r="O343" s="237"/>
      <c r="P343" s="237"/>
      <c r="Q343" s="237"/>
      <c r="R343" s="237"/>
      <c r="U343" s="204"/>
      <c r="V343" s="204"/>
      <c r="W343" s="204"/>
      <c r="X343" s="204"/>
    </row>
    <row r="344" customFormat="false" ht="12.75" hidden="false" customHeight="true" outlineLevel="0" collapsed="false">
      <c r="H344" s="236"/>
      <c r="I344" s="236"/>
      <c r="J344" s="236"/>
      <c r="L344" s="237"/>
      <c r="M344" s="237"/>
      <c r="N344" s="237"/>
      <c r="O344" s="237"/>
      <c r="P344" s="237"/>
      <c r="Q344" s="237"/>
      <c r="R344" s="237"/>
      <c r="U344" s="204"/>
      <c r="V344" s="204"/>
      <c r="W344" s="204"/>
      <c r="X344" s="204"/>
    </row>
    <row r="345" customFormat="false" ht="12.75" hidden="false" customHeight="true" outlineLevel="0" collapsed="false">
      <c r="H345" s="236"/>
      <c r="I345" s="236"/>
      <c r="J345" s="236"/>
      <c r="L345" s="237"/>
      <c r="M345" s="237"/>
      <c r="N345" s="237"/>
      <c r="O345" s="237"/>
      <c r="P345" s="237"/>
      <c r="Q345" s="237"/>
      <c r="R345" s="237"/>
      <c r="U345" s="204"/>
      <c r="V345" s="204"/>
      <c r="W345" s="204"/>
      <c r="X345" s="204"/>
    </row>
    <row r="346" customFormat="false" ht="12.75" hidden="false" customHeight="true" outlineLevel="0" collapsed="false">
      <c r="H346" s="236"/>
      <c r="I346" s="236"/>
      <c r="J346" s="236"/>
      <c r="L346" s="237"/>
      <c r="M346" s="237"/>
      <c r="N346" s="237"/>
      <c r="O346" s="237"/>
      <c r="P346" s="237"/>
      <c r="Q346" s="237"/>
      <c r="R346" s="237"/>
      <c r="U346" s="204"/>
      <c r="V346" s="204"/>
      <c r="W346" s="204"/>
      <c r="X346" s="204"/>
    </row>
    <row r="347" customFormat="false" ht="12.75" hidden="false" customHeight="true" outlineLevel="0" collapsed="false">
      <c r="H347" s="236"/>
      <c r="I347" s="236"/>
      <c r="J347" s="236"/>
      <c r="L347" s="237"/>
      <c r="M347" s="237"/>
      <c r="N347" s="237"/>
      <c r="O347" s="237"/>
      <c r="P347" s="237"/>
      <c r="Q347" s="237"/>
      <c r="R347" s="237"/>
      <c r="U347" s="204"/>
      <c r="V347" s="204"/>
      <c r="W347" s="204"/>
      <c r="X347" s="204"/>
    </row>
    <row r="348" customFormat="false" ht="12.75" hidden="false" customHeight="true" outlineLevel="0" collapsed="false">
      <c r="H348" s="236"/>
      <c r="I348" s="236"/>
      <c r="J348" s="236"/>
      <c r="L348" s="237"/>
      <c r="M348" s="237"/>
      <c r="N348" s="237"/>
      <c r="O348" s="237"/>
      <c r="P348" s="237"/>
      <c r="Q348" s="237"/>
      <c r="R348" s="237"/>
      <c r="U348" s="204"/>
      <c r="V348" s="204"/>
      <c r="W348" s="204"/>
      <c r="X348" s="204"/>
    </row>
    <row r="349" customFormat="false" ht="12.75" hidden="false" customHeight="true" outlineLevel="0" collapsed="false">
      <c r="H349" s="236"/>
      <c r="I349" s="236"/>
      <c r="J349" s="236"/>
      <c r="L349" s="237"/>
      <c r="M349" s="237"/>
      <c r="N349" s="237"/>
      <c r="O349" s="237"/>
      <c r="P349" s="237"/>
      <c r="Q349" s="237"/>
      <c r="R349" s="237"/>
      <c r="U349" s="204"/>
      <c r="V349" s="204"/>
      <c r="W349" s="204"/>
      <c r="X349" s="204"/>
    </row>
    <row r="350" customFormat="false" ht="12.75" hidden="false" customHeight="true" outlineLevel="0" collapsed="false">
      <c r="H350" s="236"/>
      <c r="I350" s="236"/>
      <c r="J350" s="236"/>
      <c r="L350" s="237"/>
      <c r="M350" s="237"/>
      <c r="N350" s="237"/>
      <c r="O350" s="237"/>
      <c r="P350" s="237"/>
      <c r="Q350" s="237"/>
      <c r="R350" s="237"/>
      <c r="U350" s="204"/>
      <c r="V350" s="204"/>
      <c r="W350" s="204"/>
      <c r="X350" s="204"/>
    </row>
    <row r="351" customFormat="false" ht="12.75" hidden="false" customHeight="true" outlineLevel="0" collapsed="false">
      <c r="H351" s="236"/>
      <c r="I351" s="236"/>
      <c r="J351" s="236"/>
      <c r="L351" s="237"/>
      <c r="M351" s="237"/>
      <c r="N351" s="237"/>
      <c r="O351" s="237"/>
      <c r="P351" s="237"/>
      <c r="Q351" s="237"/>
      <c r="R351" s="237"/>
      <c r="U351" s="204"/>
      <c r="V351" s="204"/>
      <c r="W351" s="204"/>
      <c r="X351" s="204"/>
    </row>
    <row r="352" customFormat="false" ht="12.75" hidden="false" customHeight="true" outlineLevel="0" collapsed="false">
      <c r="H352" s="236"/>
      <c r="I352" s="236"/>
      <c r="J352" s="236"/>
      <c r="L352" s="237"/>
      <c r="M352" s="237"/>
      <c r="N352" s="237"/>
      <c r="O352" s="237"/>
      <c r="P352" s="237"/>
      <c r="Q352" s="237"/>
      <c r="R352" s="237"/>
      <c r="U352" s="204"/>
      <c r="V352" s="204"/>
      <c r="W352" s="204"/>
      <c r="X352" s="204"/>
    </row>
    <row r="353" customFormat="false" ht="12.75" hidden="false" customHeight="true" outlineLevel="0" collapsed="false">
      <c r="H353" s="236"/>
      <c r="I353" s="236"/>
      <c r="J353" s="236"/>
      <c r="L353" s="237"/>
      <c r="M353" s="237"/>
      <c r="N353" s="237"/>
      <c r="O353" s="237"/>
      <c r="P353" s="237"/>
      <c r="Q353" s="237"/>
      <c r="R353" s="237"/>
      <c r="U353" s="204"/>
      <c r="V353" s="204"/>
      <c r="W353" s="204"/>
      <c r="X353" s="204"/>
    </row>
    <row r="354" customFormat="false" ht="12.75" hidden="false" customHeight="true" outlineLevel="0" collapsed="false">
      <c r="H354" s="236"/>
      <c r="I354" s="236"/>
      <c r="J354" s="236"/>
      <c r="L354" s="237"/>
      <c r="M354" s="237"/>
      <c r="N354" s="237"/>
      <c r="O354" s="237"/>
      <c r="P354" s="237"/>
      <c r="Q354" s="237"/>
      <c r="R354" s="237"/>
      <c r="U354" s="204"/>
      <c r="V354" s="204"/>
      <c r="W354" s="204"/>
      <c r="X354" s="204"/>
    </row>
    <row r="355" customFormat="false" ht="12.75" hidden="false" customHeight="true" outlineLevel="0" collapsed="false">
      <c r="H355" s="236"/>
      <c r="I355" s="236"/>
      <c r="J355" s="236"/>
      <c r="L355" s="237"/>
      <c r="M355" s="237"/>
      <c r="N355" s="237"/>
      <c r="O355" s="237"/>
      <c r="P355" s="237"/>
      <c r="Q355" s="237"/>
      <c r="R355" s="237"/>
      <c r="U355" s="204"/>
      <c r="V355" s="204"/>
      <c r="W355" s="204"/>
      <c r="X355" s="204"/>
    </row>
    <row r="356" customFormat="false" ht="12.75" hidden="false" customHeight="true" outlineLevel="0" collapsed="false">
      <c r="H356" s="236"/>
      <c r="I356" s="236"/>
      <c r="J356" s="236"/>
      <c r="L356" s="237"/>
      <c r="M356" s="237"/>
      <c r="N356" s="237"/>
      <c r="O356" s="237"/>
      <c r="P356" s="237"/>
      <c r="Q356" s="237"/>
      <c r="R356" s="237"/>
      <c r="U356" s="204"/>
      <c r="V356" s="204"/>
      <c r="W356" s="204"/>
      <c r="X356" s="204"/>
    </row>
    <row r="357" customFormat="false" ht="12.75" hidden="false" customHeight="true" outlineLevel="0" collapsed="false">
      <c r="H357" s="236"/>
      <c r="I357" s="236"/>
      <c r="J357" s="236"/>
      <c r="L357" s="237"/>
      <c r="M357" s="237"/>
      <c r="N357" s="237"/>
      <c r="O357" s="237"/>
      <c r="P357" s="237"/>
      <c r="Q357" s="237"/>
      <c r="R357" s="237"/>
      <c r="U357" s="204"/>
      <c r="V357" s="204"/>
      <c r="W357" s="204"/>
      <c r="X357" s="204"/>
    </row>
    <row r="358" customFormat="false" ht="12.75" hidden="false" customHeight="true" outlineLevel="0" collapsed="false">
      <c r="H358" s="236"/>
      <c r="I358" s="236"/>
      <c r="J358" s="236"/>
      <c r="L358" s="237"/>
      <c r="M358" s="237"/>
      <c r="N358" s="237"/>
      <c r="O358" s="237"/>
      <c r="P358" s="237"/>
      <c r="Q358" s="237"/>
      <c r="R358" s="237"/>
      <c r="U358" s="204"/>
      <c r="V358" s="204"/>
      <c r="W358" s="204"/>
      <c r="X358" s="204"/>
    </row>
    <row r="359" customFormat="false" ht="12.75" hidden="false" customHeight="true" outlineLevel="0" collapsed="false">
      <c r="H359" s="236"/>
      <c r="I359" s="236"/>
      <c r="J359" s="236"/>
      <c r="L359" s="237"/>
      <c r="M359" s="237"/>
      <c r="N359" s="237"/>
      <c r="O359" s="237"/>
      <c r="P359" s="237"/>
      <c r="Q359" s="237"/>
      <c r="R359" s="237"/>
      <c r="U359" s="204"/>
      <c r="V359" s="204"/>
      <c r="W359" s="204"/>
      <c r="X359" s="204"/>
    </row>
    <row r="360" customFormat="false" ht="12.75" hidden="false" customHeight="true" outlineLevel="0" collapsed="false">
      <c r="H360" s="236"/>
      <c r="I360" s="236"/>
      <c r="J360" s="236"/>
      <c r="L360" s="237"/>
      <c r="M360" s="237"/>
      <c r="N360" s="237"/>
      <c r="O360" s="237"/>
      <c r="P360" s="237"/>
      <c r="Q360" s="237"/>
      <c r="R360" s="237"/>
      <c r="U360" s="204"/>
      <c r="V360" s="204"/>
      <c r="W360" s="204"/>
      <c r="X360" s="204"/>
    </row>
    <row r="361" customFormat="false" ht="12.75" hidden="false" customHeight="true" outlineLevel="0" collapsed="false">
      <c r="H361" s="236"/>
      <c r="I361" s="236"/>
      <c r="J361" s="236"/>
      <c r="L361" s="237"/>
      <c r="M361" s="237"/>
      <c r="N361" s="237"/>
      <c r="O361" s="237"/>
      <c r="P361" s="237"/>
      <c r="Q361" s="237"/>
      <c r="R361" s="237"/>
      <c r="U361" s="204"/>
      <c r="V361" s="204"/>
      <c r="W361" s="204"/>
      <c r="X361" s="204"/>
    </row>
    <row r="362" customFormat="false" ht="12.75" hidden="false" customHeight="true" outlineLevel="0" collapsed="false">
      <c r="H362" s="236"/>
      <c r="I362" s="236"/>
      <c r="J362" s="236"/>
      <c r="L362" s="237"/>
      <c r="M362" s="237"/>
      <c r="N362" s="237"/>
      <c r="O362" s="237"/>
      <c r="P362" s="237"/>
      <c r="Q362" s="237"/>
      <c r="R362" s="237"/>
      <c r="U362" s="204"/>
      <c r="V362" s="204"/>
      <c r="W362" s="204"/>
      <c r="X362" s="204"/>
    </row>
    <row r="363" customFormat="false" ht="12.75" hidden="false" customHeight="true" outlineLevel="0" collapsed="false">
      <c r="H363" s="236"/>
      <c r="I363" s="236"/>
      <c r="J363" s="236"/>
      <c r="L363" s="237"/>
      <c r="M363" s="237"/>
      <c r="N363" s="237"/>
      <c r="O363" s="237"/>
      <c r="P363" s="237"/>
      <c r="Q363" s="237"/>
      <c r="R363" s="237"/>
      <c r="U363" s="204"/>
      <c r="V363" s="204"/>
      <c r="W363" s="204"/>
      <c r="X363" s="204"/>
    </row>
    <row r="364" customFormat="false" ht="12.75" hidden="false" customHeight="true" outlineLevel="0" collapsed="false">
      <c r="H364" s="236"/>
      <c r="I364" s="236"/>
      <c r="J364" s="236"/>
      <c r="L364" s="237"/>
      <c r="M364" s="237"/>
      <c r="N364" s="237"/>
      <c r="O364" s="237"/>
      <c r="P364" s="237"/>
      <c r="Q364" s="237"/>
      <c r="R364" s="237"/>
      <c r="U364" s="204"/>
      <c r="V364" s="204"/>
      <c r="W364" s="204"/>
      <c r="X364" s="204"/>
    </row>
    <row r="365" customFormat="false" ht="12.75" hidden="false" customHeight="true" outlineLevel="0" collapsed="false">
      <c r="H365" s="236"/>
      <c r="I365" s="236"/>
      <c r="J365" s="236"/>
      <c r="L365" s="237"/>
      <c r="M365" s="237"/>
      <c r="N365" s="237"/>
      <c r="O365" s="237"/>
      <c r="P365" s="237"/>
      <c r="Q365" s="237"/>
      <c r="R365" s="237"/>
      <c r="U365" s="204"/>
      <c r="V365" s="204"/>
      <c r="W365" s="204"/>
      <c r="X365" s="204"/>
    </row>
    <row r="366" customFormat="false" ht="12.75" hidden="false" customHeight="true" outlineLevel="0" collapsed="false">
      <c r="H366" s="236"/>
      <c r="I366" s="236"/>
      <c r="J366" s="236"/>
      <c r="L366" s="237"/>
      <c r="M366" s="237"/>
      <c r="N366" s="237"/>
      <c r="O366" s="237"/>
      <c r="P366" s="237"/>
      <c r="Q366" s="237"/>
      <c r="R366" s="237"/>
      <c r="U366" s="204"/>
      <c r="V366" s="204"/>
      <c r="W366" s="204"/>
      <c r="X366" s="204"/>
    </row>
    <row r="367" customFormat="false" ht="12.75" hidden="false" customHeight="true" outlineLevel="0" collapsed="false">
      <c r="H367" s="236"/>
      <c r="I367" s="236"/>
      <c r="J367" s="236"/>
      <c r="L367" s="237"/>
      <c r="M367" s="237"/>
      <c r="N367" s="237"/>
      <c r="O367" s="237"/>
      <c r="P367" s="237"/>
      <c r="Q367" s="237"/>
      <c r="R367" s="237"/>
      <c r="U367" s="204"/>
      <c r="V367" s="204"/>
      <c r="W367" s="204"/>
      <c r="X367" s="204"/>
    </row>
    <row r="368" customFormat="false" ht="12.75" hidden="false" customHeight="true" outlineLevel="0" collapsed="false">
      <c r="H368" s="236"/>
      <c r="I368" s="236"/>
      <c r="J368" s="236"/>
      <c r="L368" s="237"/>
      <c r="M368" s="237"/>
      <c r="N368" s="237"/>
      <c r="O368" s="237"/>
      <c r="P368" s="237"/>
      <c r="Q368" s="237"/>
      <c r="R368" s="237"/>
      <c r="U368" s="204"/>
      <c r="V368" s="204"/>
      <c r="W368" s="204"/>
      <c r="X368" s="204"/>
    </row>
    <row r="369" customFormat="false" ht="12.75" hidden="false" customHeight="true" outlineLevel="0" collapsed="false">
      <c r="H369" s="236"/>
      <c r="I369" s="236"/>
      <c r="J369" s="236"/>
      <c r="L369" s="237"/>
      <c r="M369" s="237"/>
      <c r="N369" s="237"/>
      <c r="O369" s="237"/>
      <c r="P369" s="237"/>
      <c r="Q369" s="237"/>
      <c r="R369" s="237"/>
      <c r="U369" s="204"/>
      <c r="V369" s="204"/>
      <c r="W369" s="204"/>
      <c r="X369" s="204"/>
    </row>
    <row r="370" customFormat="false" ht="12.75" hidden="false" customHeight="true" outlineLevel="0" collapsed="false">
      <c r="H370" s="236"/>
      <c r="I370" s="236"/>
      <c r="J370" s="236"/>
      <c r="L370" s="237"/>
      <c r="M370" s="237"/>
      <c r="N370" s="237"/>
      <c r="O370" s="237"/>
      <c r="P370" s="237"/>
      <c r="Q370" s="237"/>
      <c r="R370" s="237"/>
      <c r="U370" s="204"/>
      <c r="V370" s="204"/>
      <c r="W370" s="204"/>
      <c r="X370" s="204"/>
    </row>
    <row r="371" customFormat="false" ht="12.75" hidden="false" customHeight="true" outlineLevel="0" collapsed="false">
      <c r="H371" s="236"/>
      <c r="I371" s="236"/>
      <c r="J371" s="236"/>
      <c r="L371" s="237"/>
      <c r="M371" s="237"/>
      <c r="N371" s="237"/>
      <c r="O371" s="237"/>
      <c r="P371" s="237"/>
      <c r="Q371" s="237"/>
      <c r="R371" s="237"/>
      <c r="U371" s="204"/>
      <c r="V371" s="204"/>
      <c r="W371" s="204"/>
      <c r="X371" s="204"/>
    </row>
    <row r="372" customFormat="false" ht="12.75" hidden="false" customHeight="true" outlineLevel="0" collapsed="false">
      <c r="H372" s="236"/>
      <c r="I372" s="236"/>
      <c r="J372" s="236"/>
      <c r="L372" s="237"/>
      <c r="M372" s="237"/>
      <c r="N372" s="237"/>
      <c r="O372" s="237"/>
      <c r="P372" s="237"/>
      <c r="Q372" s="237"/>
      <c r="R372" s="237"/>
      <c r="U372" s="204"/>
      <c r="V372" s="204"/>
      <c r="W372" s="204"/>
      <c r="X372" s="204"/>
    </row>
    <row r="373" customFormat="false" ht="12.75" hidden="false" customHeight="true" outlineLevel="0" collapsed="false">
      <c r="H373" s="236"/>
      <c r="I373" s="236"/>
      <c r="J373" s="236"/>
      <c r="L373" s="237"/>
      <c r="M373" s="237"/>
      <c r="N373" s="237"/>
      <c r="O373" s="237"/>
      <c r="P373" s="237"/>
      <c r="Q373" s="237"/>
      <c r="R373" s="237"/>
      <c r="U373" s="204"/>
      <c r="V373" s="204"/>
      <c r="W373" s="204"/>
      <c r="X373" s="204"/>
    </row>
    <row r="374" customFormat="false" ht="12.75" hidden="false" customHeight="true" outlineLevel="0" collapsed="false">
      <c r="H374" s="236"/>
      <c r="I374" s="236"/>
      <c r="J374" s="236"/>
      <c r="L374" s="237"/>
      <c r="M374" s="237"/>
      <c r="N374" s="237"/>
      <c r="O374" s="237"/>
      <c r="P374" s="237"/>
      <c r="Q374" s="237"/>
      <c r="R374" s="237"/>
      <c r="U374" s="204"/>
      <c r="V374" s="204"/>
      <c r="W374" s="204"/>
      <c r="X374" s="204"/>
    </row>
    <row r="375" customFormat="false" ht="12.75" hidden="false" customHeight="true" outlineLevel="0" collapsed="false">
      <c r="H375" s="236"/>
      <c r="I375" s="236"/>
      <c r="J375" s="236"/>
      <c r="L375" s="237"/>
      <c r="M375" s="237"/>
      <c r="N375" s="237"/>
      <c r="O375" s="237"/>
      <c r="P375" s="237"/>
      <c r="Q375" s="237"/>
      <c r="R375" s="237"/>
      <c r="U375" s="204"/>
      <c r="V375" s="204"/>
      <c r="W375" s="204"/>
      <c r="X375" s="204"/>
    </row>
    <row r="376" customFormat="false" ht="12.75" hidden="false" customHeight="true" outlineLevel="0" collapsed="false">
      <c r="H376" s="236"/>
      <c r="I376" s="236"/>
      <c r="J376" s="236"/>
      <c r="L376" s="237"/>
      <c r="M376" s="237"/>
      <c r="N376" s="237"/>
      <c r="O376" s="237"/>
      <c r="P376" s="237"/>
      <c r="Q376" s="237"/>
      <c r="R376" s="237"/>
      <c r="U376" s="204"/>
      <c r="V376" s="204"/>
      <c r="W376" s="204"/>
      <c r="X376" s="204"/>
    </row>
    <row r="377" customFormat="false" ht="12.75" hidden="false" customHeight="true" outlineLevel="0" collapsed="false">
      <c r="H377" s="236"/>
      <c r="I377" s="236"/>
      <c r="J377" s="236"/>
      <c r="L377" s="237"/>
      <c r="M377" s="237"/>
      <c r="N377" s="237"/>
      <c r="O377" s="237"/>
      <c r="P377" s="237"/>
      <c r="Q377" s="237"/>
      <c r="R377" s="237"/>
      <c r="U377" s="204"/>
      <c r="V377" s="204"/>
      <c r="W377" s="204"/>
      <c r="X377" s="204"/>
    </row>
    <row r="378" customFormat="false" ht="12.75" hidden="false" customHeight="true" outlineLevel="0" collapsed="false">
      <c r="H378" s="236"/>
      <c r="I378" s="236"/>
      <c r="J378" s="236"/>
      <c r="L378" s="237"/>
      <c r="M378" s="237"/>
      <c r="N378" s="237"/>
      <c r="O378" s="237"/>
      <c r="P378" s="237"/>
      <c r="Q378" s="237"/>
      <c r="R378" s="237"/>
      <c r="U378" s="204"/>
      <c r="V378" s="204"/>
      <c r="W378" s="204"/>
      <c r="X378" s="204"/>
    </row>
    <row r="379" customFormat="false" ht="12.75" hidden="false" customHeight="true" outlineLevel="0" collapsed="false">
      <c r="H379" s="236"/>
      <c r="I379" s="236"/>
      <c r="J379" s="236"/>
      <c r="L379" s="237"/>
      <c r="M379" s="237"/>
      <c r="N379" s="237"/>
      <c r="O379" s="237"/>
      <c r="P379" s="237"/>
      <c r="Q379" s="237"/>
      <c r="R379" s="237"/>
      <c r="U379" s="204"/>
      <c r="V379" s="204"/>
      <c r="W379" s="204"/>
      <c r="X379" s="204"/>
    </row>
    <row r="380" customFormat="false" ht="12.75" hidden="false" customHeight="true" outlineLevel="0" collapsed="false">
      <c r="H380" s="236"/>
      <c r="I380" s="236"/>
      <c r="J380" s="236"/>
      <c r="L380" s="237"/>
      <c r="M380" s="237"/>
      <c r="N380" s="237"/>
      <c r="O380" s="237"/>
      <c r="P380" s="237"/>
      <c r="Q380" s="237"/>
      <c r="R380" s="237"/>
      <c r="U380" s="204"/>
      <c r="V380" s="204"/>
      <c r="W380" s="204"/>
      <c r="X380" s="204"/>
    </row>
    <row r="381" customFormat="false" ht="12.75" hidden="false" customHeight="true" outlineLevel="0" collapsed="false">
      <c r="H381" s="236"/>
      <c r="I381" s="236"/>
      <c r="J381" s="236"/>
      <c r="L381" s="237"/>
      <c r="M381" s="237"/>
      <c r="N381" s="237"/>
      <c r="O381" s="237"/>
      <c r="P381" s="237"/>
      <c r="Q381" s="237"/>
      <c r="R381" s="237"/>
      <c r="U381" s="204"/>
      <c r="V381" s="204"/>
      <c r="W381" s="204"/>
      <c r="X381" s="204"/>
    </row>
    <row r="382" customFormat="false" ht="12.75" hidden="false" customHeight="true" outlineLevel="0" collapsed="false">
      <c r="H382" s="236"/>
      <c r="I382" s="236"/>
      <c r="J382" s="236"/>
      <c r="L382" s="237"/>
      <c r="M382" s="237"/>
      <c r="N382" s="237"/>
      <c r="O382" s="237"/>
      <c r="P382" s="237"/>
      <c r="Q382" s="237"/>
      <c r="R382" s="237"/>
      <c r="U382" s="204"/>
      <c r="V382" s="204"/>
      <c r="W382" s="204"/>
      <c r="X382" s="204"/>
    </row>
    <row r="383" customFormat="false" ht="12.75" hidden="false" customHeight="true" outlineLevel="0" collapsed="false">
      <c r="H383" s="236"/>
      <c r="I383" s="236"/>
      <c r="J383" s="236"/>
      <c r="L383" s="237"/>
      <c r="M383" s="237"/>
      <c r="N383" s="237"/>
      <c r="O383" s="237"/>
      <c r="P383" s="237"/>
      <c r="Q383" s="237"/>
      <c r="R383" s="237"/>
      <c r="U383" s="204"/>
      <c r="V383" s="204"/>
      <c r="W383" s="204"/>
      <c r="X383" s="204"/>
    </row>
    <row r="384" customFormat="false" ht="12.75" hidden="false" customHeight="true" outlineLevel="0" collapsed="false">
      <c r="H384" s="236"/>
      <c r="I384" s="236"/>
      <c r="J384" s="236"/>
      <c r="L384" s="237"/>
      <c r="M384" s="237"/>
      <c r="N384" s="237"/>
      <c r="O384" s="237"/>
      <c r="P384" s="237"/>
      <c r="Q384" s="237"/>
      <c r="R384" s="237"/>
      <c r="U384" s="204"/>
      <c r="V384" s="204"/>
      <c r="W384" s="204"/>
      <c r="X384" s="204"/>
    </row>
    <row r="385" customFormat="false" ht="12.75" hidden="false" customHeight="true" outlineLevel="0" collapsed="false">
      <c r="H385" s="236"/>
      <c r="I385" s="236"/>
      <c r="J385" s="236"/>
      <c r="L385" s="237"/>
      <c r="M385" s="237"/>
      <c r="N385" s="237"/>
      <c r="O385" s="237"/>
      <c r="P385" s="237"/>
      <c r="Q385" s="237"/>
      <c r="R385" s="237"/>
      <c r="U385" s="204"/>
      <c r="V385" s="204"/>
      <c r="W385" s="204"/>
      <c r="X385" s="204"/>
    </row>
    <row r="386" customFormat="false" ht="12.75" hidden="false" customHeight="true" outlineLevel="0" collapsed="false">
      <c r="H386" s="236"/>
      <c r="I386" s="236"/>
      <c r="J386" s="236"/>
      <c r="L386" s="237"/>
      <c r="M386" s="237"/>
      <c r="N386" s="237"/>
      <c r="O386" s="237"/>
      <c r="P386" s="237"/>
      <c r="Q386" s="237"/>
      <c r="R386" s="237"/>
      <c r="U386" s="204"/>
      <c r="V386" s="204"/>
      <c r="W386" s="204"/>
      <c r="X386" s="204"/>
    </row>
    <row r="387" customFormat="false" ht="12.75" hidden="false" customHeight="true" outlineLevel="0" collapsed="false">
      <c r="H387" s="236"/>
      <c r="I387" s="236"/>
      <c r="J387" s="236"/>
      <c r="L387" s="237"/>
      <c r="M387" s="237"/>
      <c r="N387" s="237"/>
      <c r="O387" s="237"/>
      <c r="P387" s="237"/>
      <c r="Q387" s="237"/>
      <c r="R387" s="237"/>
      <c r="U387" s="204"/>
      <c r="V387" s="204"/>
      <c r="W387" s="204"/>
      <c r="X387" s="204"/>
    </row>
    <row r="388" customFormat="false" ht="12.75" hidden="false" customHeight="true" outlineLevel="0" collapsed="false">
      <c r="H388" s="236"/>
      <c r="I388" s="236"/>
      <c r="J388" s="236"/>
      <c r="L388" s="237"/>
      <c r="M388" s="237"/>
      <c r="N388" s="237"/>
      <c r="O388" s="237"/>
      <c r="P388" s="237"/>
      <c r="Q388" s="237"/>
      <c r="R388" s="237"/>
      <c r="U388" s="204"/>
      <c r="V388" s="204"/>
      <c r="W388" s="204"/>
      <c r="X388" s="204"/>
    </row>
    <row r="389" customFormat="false" ht="12.75" hidden="false" customHeight="true" outlineLevel="0" collapsed="false">
      <c r="H389" s="236"/>
      <c r="I389" s="236"/>
      <c r="J389" s="236"/>
      <c r="L389" s="237"/>
      <c r="M389" s="237"/>
      <c r="N389" s="237"/>
      <c r="O389" s="237"/>
      <c r="P389" s="237"/>
      <c r="Q389" s="237"/>
      <c r="R389" s="237"/>
      <c r="U389" s="204"/>
      <c r="V389" s="204"/>
      <c r="W389" s="204"/>
      <c r="X389" s="204"/>
    </row>
    <row r="390" customFormat="false" ht="12.75" hidden="false" customHeight="true" outlineLevel="0" collapsed="false">
      <c r="H390" s="236"/>
      <c r="I390" s="236"/>
      <c r="J390" s="236"/>
      <c r="L390" s="237"/>
      <c r="M390" s="237"/>
      <c r="N390" s="237"/>
      <c r="O390" s="237"/>
      <c r="P390" s="237"/>
      <c r="Q390" s="237"/>
      <c r="R390" s="237"/>
      <c r="U390" s="204"/>
      <c r="V390" s="204"/>
      <c r="W390" s="204"/>
      <c r="X390" s="204"/>
    </row>
    <row r="391" customFormat="false" ht="12.75" hidden="false" customHeight="true" outlineLevel="0" collapsed="false">
      <c r="H391" s="236"/>
      <c r="I391" s="236"/>
      <c r="J391" s="236"/>
      <c r="L391" s="237"/>
      <c r="M391" s="237"/>
      <c r="N391" s="237"/>
      <c r="O391" s="237"/>
      <c r="P391" s="237"/>
      <c r="Q391" s="237"/>
      <c r="R391" s="237"/>
      <c r="U391" s="204"/>
      <c r="V391" s="204"/>
      <c r="W391" s="204"/>
      <c r="X391" s="204"/>
    </row>
    <row r="392" customFormat="false" ht="12.75" hidden="false" customHeight="true" outlineLevel="0" collapsed="false">
      <c r="H392" s="236"/>
      <c r="I392" s="236"/>
      <c r="J392" s="236"/>
      <c r="L392" s="237"/>
      <c r="M392" s="237"/>
      <c r="N392" s="237"/>
      <c r="O392" s="237"/>
      <c r="P392" s="237"/>
      <c r="Q392" s="237"/>
      <c r="R392" s="237"/>
      <c r="U392" s="204"/>
      <c r="V392" s="204"/>
      <c r="W392" s="204"/>
      <c r="X392" s="204"/>
    </row>
    <row r="393" customFormat="false" ht="12.75" hidden="false" customHeight="true" outlineLevel="0" collapsed="false">
      <c r="H393" s="236"/>
      <c r="I393" s="236"/>
      <c r="J393" s="236"/>
      <c r="L393" s="237"/>
      <c r="M393" s="237"/>
      <c r="N393" s="237"/>
      <c r="O393" s="237"/>
      <c r="P393" s="237"/>
      <c r="Q393" s="237"/>
      <c r="R393" s="237"/>
      <c r="U393" s="204"/>
      <c r="V393" s="204"/>
      <c r="W393" s="204"/>
      <c r="X393" s="204"/>
    </row>
    <row r="394" customFormat="false" ht="12.75" hidden="false" customHeight="true" outlineLevel="0" collapsed="false">
      <c r="H394" s="236"/>
      <c r="I394" s="236"/>
      <c r="J394" s="236"/>
      <c r="L394" s="237"/>
      <c r="M394" s="237"/>
      <c r="N394" s="237"/>
      <c r="O394" s="237"/>
      <c r="P394" s="237"/>
      <c r="Q394" s="237"/>
      <c r="R394" s="237"/>
      <c r="U394" s="204"/>
      <c r="V394" s="204"/>
      <c r="W394" s="204"/>
      <c r="X394" s="204"/>
    </row>
    <row r="395" customFormat="false" ht="12.75" hidden="false" customHeight="true" outlineLevel="0" collapsed="false">
      <c r="H395" s="236"/>
      <c r="I395" s="236"/>
      <c r="J395" s="236"/>
      <c r="L395" s="237"/>
      <c r="M395" s="237"/>
      <c r="N395" s="237"/>
      <c r="O395" s="237"/>
      <c r="P395" s="237"/>
      <c r="Q395" s="237"/>
      <c r="R395" s="237"/>
      <c r="U395" s="204"/>
      <c r="V395" s="204"/>
      <c r="W395" s="204"/>
      <c r="X395" s="204"/>
    </row>
    <row r="396" customFormat="false" ht="12.75" hidden="false" customHeight="true" outlineLevel="0" collapsed="false">
      <c r="H396" s="236"/>
      <c r="I396" s="236"/>
      <c r="J396" s="236"/>
      <c r="L396" s="237"/>
      <c r="M396" s="237"/>
      <c r="N396" s="237"/>
      <c r="O396" s="237"/>
      <c r="P396" s="237"/>
      <c r="Q396" s="237"/>
      <c r="R396" s="237"/>
      <c r="U396" s="204"/>
      <c r="V396" s="204"/>
      <c r="W396" s="204"/>
      <c r="X396" s="204"/>
    </row>
    <row r="397" customFormat="false" ht="12.75" hidden="false" customHeight="true" outlineLevel="0" collapsed="false">
      <c r="H397" s="236"/>
      <c r="I397" s="236"/>
      <c r="J397" s="236"/>
      <c r="L397" s="237"/>
      <c r="M397" s="237"/>
      <c r="N397" s="237"/>
      <c r="O397" s="237"/>
      <c r="P397" s="237"/>
      <c r="Q397" s="237"/>
      <c r="R397" s="237"/>
      <c r="U397" s="204"/>
      <c r="V397" s="204"/>
      <c r="W397" s="204"/>
      <c r="X397" s="204"/>
    </row>
    <row r="398" customFormat="false" ht="12.75" hidden="false" customHeight="true" outlineLevel="0" collapsed="false">
      <c r="H398" s="236"/>
      <c r="I398" s="236"/>
      <c r="J398" s="236"/>
      <c r="L398" s="237"/>
      <c r="M398" s="237"/>
      <c r="N398" s="237"/>
      <c r="O398" s="237"/>
      <c r="P398" s="237"/>
      <c r="Q398" s="237"/>
      <c r="R398" s="237"/>
      <c r="U398" s="204"/>
      <c r="V398" s="204"/>
      <c r="W398" s="204"/>
      <c r="X398" s="204"/>
    </row>
    <row r="399" customFormat="false" ht="12.75" hidden="false" customHeight="true" outlineLevel="0" collapsed="false">
      <c r="H399" s="236"/>
      <c r="I399" s="236"/>
      <c r="J399" s="236"/>
      <c r="L399" s="237"/>
      <c r="M399" s="237"/>
      <c r="N399" s="237"/>
      <c r="O399" s="237"/>
      <c r="P399" s="237"/>
      <c r="Q399" s="237"/>
      <c r="R399" s="237"/>
      <c r="U399" s="204"/>
      <c r="V399" s="204"/>
      <c r="W399" s="204"/>
      <c r="X399" s="204"/>
    </row>
    <row r="400" customFormat="false" ht="12.75" hidden="false" customHeight="true" outlineLevel="0" collapsed="false">
      <c r="H400" s="236"/>
      <c r="I400" s="236"/>
      <c r="J400" s="236"/>
      <c r="L400" s="237"/>
      <c r="M400" s="237"/>
      <c r="N400" s="237"/>
      <c r="O400" s="237"/>
      <c r="P400" s="237"/>
      <c r="Q400" s="237"/>
      <c r="R400" s="237"/>
      <c r="U400" s="204"/>
      <c r="V400" s="204"/>
      <c r="W400" s="204"/>
      <c r="X400" s="204"/>
    </row>
    <row r="401" customFormat="false" ht="12.75" hidden="false" customHeight="true" outlineLevel="0" collapsed="false">
      <c r="H401" s="236"/>
      <c r="I401" s="236"/>
      <c r="J401" s="236"/>
      <c r="L401" s="237"/>
      <c r="M401" s="237"/>
      <c r="N401" s="237"/>
      <c r="O401" s="237"/>
      <c r="P401" s="237"/>
      <c r="Q401" s="237"/>
      <c r="R401" s="237"/>
      <c r="U401" s="204"/>
      <c r="V401" s="204"/>
      <c r="W401" s="204"/>
      <c r="X401" s="204"/>
    </row>
    <row r="402" customFormat="false" ht="12.75" hidden="false" customHeight="true" outlineLevel="0" collapsed="false">
      <c r="H402" s="236"/>
      <c r="I402" s="236"/>
      <c r="J402" s="236"/>
      <c r="L402" s="237"/>
      <c r="M402" s="237"/>
      <c r="N402" s="237"/>
      <c r="O402" s="237"/>
      <c r="P402" s="237"/>
      <c r="Q402" s="237"/>
      <c r="R402" s="237"/>
      <c r="U402" s="204"/>
      <c r="V402" s="204"/>
      <c r="W402" s="204"/>
      <c r="X402" s="204"/>
    </row>
    <row r="403" customFormat="false" ht="12.75" hidden="false" customHeight="true" outlineLevel="0" collapsed="false">
      <c r="H403" s="236"/>
      <c r="I403" s="236"/>
      <c r="J403" s="236"/>
      <c r="L403" s="237"/>
      <c r="M403" s="237"/>
      <c r="N403" s="237"/>
      <c r="O403" s="237"/>
      <c r="P403" s="237"/>
      <c r="Q403" s="237"/>
      <c r="R403" s="237"/>
      <c r="U403" s="204"/>
      <c r="V403" s="204"/>
      <c r="W403" s="204"/>
      <c r="X403" s="204"/>
    </row>
    <row r="404" customFormat="false" ht="12.75" hidden="false" customHeight="true" outlineLevel="0" collapsed="false">
      <c r="H404" s="236"/>
      <c r="I404" s="236"/>
      <c r="J404" s="236"/>
      <c r="L404" s="237"/>
      <c r="M404" s="237"/>
      <c r="N404" s="237"/>
      <c r="O404" s="237"/>
      <c r="P404" s="237"/>
      <c r="Q404" s="237"/>
      <c r="R404" s="237"/>
      <c r="U404" s="204"/>
      <c r="V404" s="204"/>
      <c r="W404" s="204"/>
      <c r="X404" s="204"/>
    </row>
    <row r="405" customFormat="false" ht="12.75" hidden="false" customHeight="true" outlineLevel="0" collapsed="false">
      <c r="H405" s="236"/>
      <c r="I405" s="236"/>
      <c r="J405" s="236"/>
      <c r="L405" s="237"/>
      <c r="M405" s="237"/>
      <c r="N405" s="237"/>
      <c r="O405" s="237"/>
      <c r="P405" s="237"/>
      <c r="Q405" s="237"/>
      <c r="R405" s="237"/>
      <c r="U405" s="204"/>
      <c r="V405" s="204"/>
      <c r="W405" s="204"/>
      <c r="X405" s="204"/>
    </row>
    <row r="406" customFormat="false" ht="12.75" hidden="false" customHeight="true" outlineLevel="0" collapsed="false">
      <c r="H406" s="236"/>
      <c r="I406" s="236"/>
      <c r="J406" s="236"/>
      <c r="L406" s="237"/>
      <c r="M406" s="237"/>
      <c r="N406" s="237"/>
      <c r="O406" s="237"/>
      <c r="P406" s="237"/>
      <c r="Q406" s="237"/>
      <c r="R406" s="237"/>
      <c r="U406" s="204"/>
      <c r="V406" s="204"/>
      <c r="W406" s="204"/>
      <c r="X406" s="204"/>
    </row>
    <row r="407" customFormat="false" ht="12.75" hidden="false" customHeight="true" outlineLevel="0" collapsed="false">
      <c r="H407" s="236"/>
      <c r="I407" s="236"/>
      <c r="J407" s="236"/>
      <c r="L407" s="237"/>
      <c r="M407" s="237"/>
      <c r="N407" s="237"/>
      <c r="O407" s="237"/>
      <c r="P407" s="237"/>
      <c r="Q407" s="237"/>
      <c r="R407" s="237"/>
      <c r="U407" s="204"/>
      <c r="V407" s="204"/>
      <c r="W407" s="204"/>
      <c r="X407" s="204"/>
    </row>
    <row r="408" customFormat="false" ht="12.75" hidden="false" customHeight="true" outlineLevel="0" collapsed="false">
      <c r="H408" s="236"/>
      <c r="I408" s="236"/>
      <c r="J408" s="236"/>
      <c r="L408" s="237"/>
      <c r="M408" s="237"/>
      <c r="N408" s="237"/>
      <c r="O408" s="237"/>
      <c r="P408" s="237"/>
      <c r="Q408" s="237"/>
      <c r="R408" s="237"/>
      <c r="U408" s="204"/>
      <c r="V408" s="204"/>
      <c r="W408" s="204"/>
      <c r="X408" s="204"/>
    </row>
    <row r="409" customFormat="false" ht="12.75" hidden="false" customHeight="true" outlineLevel="0" collapsed="false">
      <c r="H409" s="236"/>
      <c r="I409" s="236"/>
      <c r="J409" s="236"/>
      <c r="L409" s="237"/>
      <c r="M409" s="237"/>
      <c r="N409" s="237"/>
      <c r="O409" s="237"/>
      <c r="P409" s="237"/>
      <c r="Q409" s="237"/>
      <c r="R409" s="237"/>
      <c r="U409" s="204"/>
      <c r="V409" s="204"/>
      <c r="W409" s="204"/>
      <c r="X409" s="204"/>
    </row>
    <row r="410" customFormat="false" ht="12.75" hidden="false" customHeight="true" outlineLevel="0" collapsed="false">
      <c r="H410" s="236"/>
      <c r="I410" s="236"/>
      <c r="J410" s="236"/>
      <c r="L410" s="237"/>
      <c r="M410" s="237"/>
      <c r="N410" s="237"/>
      <c r="O410" s="237"/>
      <c r="P410" s="237"/>
      <c r="Q410" s="237"/>
      <c r="R410" s="237"/>
      <c r="U410" s="204"/>
      <c r="V410" s="204"/>
      <c r="W410" s="204"/>
      <c r="X410" s="204"/>
    </row>
    <row r="411" customFormat="false" ht="12.75" hidden="false" customHeight="true" outlineLevel="0" collapsed="false">
      <c r="H411" s="236"/>
      <c r="I411" s="236"/>
      <c r="J411" s="236"/>
      <c r="L411" s="237"/>
      <c r="M411" s="237"/>
      <c r="N411" s="237"/>
      <c r="O411" s="237"/>
      <c r="P411" s="237"/>
      <c r="Q411" s="237"/>
      <c r="R411" s="237"/>
      <c r="U411" s="204"/>
      <c r="V411" s="204"/>
      <c r="W411" s="204"/>
      <c r="X411" s="204"/>
    </row>
    <row r="412" customFormat="false" ht="12.75" hidden="false" customHeight="true" outlineLevel="0" collapsed="false">
      <c r="H412" s="236"/>
      <c r="I412" s="236"/>
      <c r="J412" s="236"/>
      <c r="L412" s="237"/>
      <c r="M412" s="237"/>
      <c r="N412" s="237"/>
      <c r="O412" s="237"/>
      <c r="P412" s="237"/>
      <c r="Q412" s="237"/>
      <c r="R412" s="237"/>
      <c r="U412" s="204"/>
      <c r="V412" s="204"/>
      <c r="W412" s="204"/>
      <c r="X412" s="204"/>
    </row>
    <row r="413" customFormat="false" ht="12.75" hidden="false" customHeight="true" outlineLevel="0" collapsed="false">
      <c r="H413" s="236"/>
      <c r="I413" s="236"/>
      <c r="J413" s="236"/>
      <c r="L413" s="237"/>
      <c r="M413" s="237"/>
      <c r="N413" s="237"/>
      <c r="O413" s="237"/>
      <c r="P413" s="237"/>
      <c r="Q413" s="237"/>
      <c r="R413" s="237"/>
      <c r="U413" s="204"/>
      <c r="V413" s="204"/>
      <c r="W413" s="204"/>
      <c r="X413" s="204"/>
    </row>
    <row r="414" customFormat="false" ht="12.75" hidden="false" customHeight="true" outlineLevel="0" collapsed="false">
      <c r="H414" s="236"/>
      <c r="I414" s="236"/>
      <c r="J414" s="236"/>
      <c r="L414" s="237"/>
      <c r="M414" s="237"/>
      <c r="N414" s="237"/>
      <c r="O414" s="237"/>
      <c r="P414" s="237"/>
      <c r="Q414" s="237"/>
      <c r="R414" s="237"/>
      <c r="U414" s="204"/>
      <c r="V414" s="204"/>
      <c r="W414" s="204"/>
      <c r="X414" s="204"/>
    </row>
    <row r="415" customFormat="false" ht="12.75" hidden="false" customHeight="true" outlineLevel="0" collapsed="false">
      <c r="H415" s="236"/>
      <c r="I415" s="236"/>
      <c r="J415" s="236"/>
      <c r="L415" s="237"/>
      <c r="M415" s="237"/>
      <c r="N415" s="237"/>
      <c r="O415" s="237"/>
      <c r="P415" s="237"/>
      <c r="Q415" s="237"/>
      <c r="R415" s="237"/>
      <c r="U415" s="204"/>
      <c r="V415" s="204"/>
      <c r="W415" s="204"/>
      <c r="X415" s="204"/>
    </row>
    <row r="416" customFormat="false" ht="12.75" hidden="false" customHeight="true" outlineLevel="0" collapsed="false">
      <c r="H416" s="236"/>
      <c r="I416" s="236"/>
      <c r="J416" s="236"/>
      <c r="L416" s="237"/>
      <c r="M416" s="237"/>
      <c r="N416" s="237"/>
      <c r="O416" s="237"/>
      <c r="P416" s="237"/>
      <c r="Q416" s="237"/>
      <c r="R416" s="237"/>
      <c r="U416" s="204"/>
      <c r="V416" s="204"/>
      <c r="W416" s="204"/>
      <c r="X416" s="204"/>
    </row>
    <row r="417" customFormat="false" ht="12.75" hidden="false" customHeight="true" outlineLevel="0" collapsed="false">
      <c r="H417" s="236"/>
      <c r="I417" s="236"/>
      <c r="J417" s="236"/>
      <c r="L417" s="237"/>
      <c r="M417" s="237"/>
      <c r="N417" s="237"/>
      <c r="O417" s="237"/>
      <c r="P417" s="237"/>
      <c r="Q417" s="237"/>
      <c r="R417" s="237"/>
      <c r="U417" s="204"/>
      <c r="V417" s="204"/>
      <c r="W417" s="204"/>
      <c r="X417" s="204"/>
    </row>
    <row r="418" customFormat="false" ht="12.75" hidden="false" customHeight="true" outlineLevel="0" collapsed="false">
      <c r="H418" s="236"/>
      <c r="I418" s="236"/>
      <c r="J418" s="236"/>
      <c r="L418" s="237"/>
      <c r="M418" s="237"/>
      <c r="N418" s="237"/>
      <c r="O418" s="237"/>
      <c r="P418" s="237"/>
      <c r="Q418" s="237"/>
      <c r="R418" s="237"/>
      <c r="U418" s="204"/>
      <c r="V418" s="204"/>
      <c r="W418" s="204"/>
      <c r="X418" s="204"/>
    </row>
    <row r="419" customFormat="false" ht="12.75" hidden="false" customHeight="true" outlineLevel="0" collapsed="false">
      <c r="H419" s="236"/>
      <c r="I419" s="236"/>
      <c r="J419" s="236"/>
      <c r="L419" s="237"/>
      <c r="M419" s="237"/>
      <c r="N419" s="237"/>
      <c r="O419" s="237"/>
      <c r="P419" s="237"/>
      <c r="Q419" s="237"/>
      <c r="R419" s="237"/>
      <c r="U419" s="204"/>
      <c r="V419" s="204"/>
      <c r="W419" s="204"/>
      <c r="X419" s="204"/>
    </row>
    <row r="420" customFormat="false" ht="12.75" hidden="false" customHeight="true" outlineLevel="0" collapsed="false">
      <c r="H420" s="236"/>
      <c r="I420" s="236"/>
      <c r="J420" s="236"/>
      <c r="L420" s="237"/>
      <c r="M420" s="237"/>
      <c r="N420" s="237"/>
      <c r="O420" s="237"/>
      <c r="P420" s="237"/>
      <c r="Q420" s="237"/>
      <c r="R420" s="237"/>
      <c r="U420" s="204"/>
      <c r="V420" s="204"/>
      <c r="W420" s="204"/>
      <c r="X420" s="204"/>
    </row>
    <row r="421" customFormat="false" ht="12.75" hidden="false" customHeight="true" outlineLevel="0" collapsed="false">
      <c r="H421" s="236"/>
      <c r="I421" s="236"/>
      <c r="J421" s="236"/>
      <c r="L421" s="237"/>
      <c r="M421" s="237"/>
      <c r="N421" s="237"/>
      <c r="O421" s="237"/>
      <c r="P421" s="237"/>
      <c r="Q421" s="237"/>
      <c r="R421" s="237"/>
      <c r="U421" s="204"/>
      <c r="V421" s="204"/>
      <c r="W421" s="204"/>
      <c r="X421" s="204"/>
    </row>
    <row r="422" customFormat="false" ht="12.75" hidden="false" customHeight="true" outlineLevel="0" collapsed="false">
      <c r="H422" s="236"/>
      <c r="I422" s="236"/>
      <c r="J422" s="236"/>
      <c r="L422" s="237"/>
      <c r="M422" s="237"/>
      <c r="N422" s="237"/>
      <c r="O422" s="237"/>
      <c r="P422" s="237"/>
      <c r="Q422" s="237"/>
      <c r="R422" s="237"/>
      <c r="U422" s="204"/>
      <c r="V422" s="204"/>
      <c r="W422" s="204"/>
      <c r="X422" s="204"/>
    </row>
    <row r="423" customFormat="false" ht="12.75" hidden="false" customHeight="true" outlineLevel="0" collapsed="false">
      <c r="H423" s="236"/>
      <c r="I423" s="236"/>
      <c r="J423" s="236"/>
      <c r="L423" s="237"/>
      <c r="M423" s="237"/>
      <c r="N423" s="237"/>
      <c r="O423" s="237"/>
      <c r="P423" s="237"/>
      <c r="Q423" s="237"/>
      <c r="R423" s="237"/>
      <c r="U423" s="204"/>
      <c r="V423" s="204"/>
      <c r="W423" s="204"/>
      <c r="X423" s="204"/>
    </row>
    <row r="424" customFormat="false" ht="12.75" hidden="false" customHeight="true" outlineLevel="0" collapsed="false">
      <c r="H424" s="236"/>
      <c r="I424" s="236"/>
      <c r="J424" s="236"/>
      <c r="L424" s="237"/>
      <c r="M424" s="237"/>
      <c r="N424" s="237"/>
      <c r="O424" s="237"/>
      <c r="P424" s="237"/>
      <c r="Q424" s="237"/>
      <c r="R424" s="237"/>
      <c r="U424" s="204"/>
      <c r="V424" s="204"/>
      <c r="W424" s="204"/>
      <c r="X424" s="204"/>
    </row>
    <row r="425" customFormat="false" ht="12.75" hidden="false" customHeight="true" outlineLevel="0" collapsed="false">
      <c r="H425" s="236"/>
      <c r="I425" s="236"/>
      <c r="J425" s="236"/>
      <c r="L425" s="237"/>
      <c r="M425" s="237"/>
      <c r="N425" s="237"/>
      <c r="O425" s="237"/>
      <c r="P425" s="237"/>
      <c r="Q425" s="237"/>
      <c r="R425" s="237"/>
      <c r="U425" s="204"/>
      <c r="V425" s="204"/>
      <c r="W425" s="204"/>
      <c r="X425" s="204"/>
    </row>
    <row r="426" customFormat="false" ht="12.75" hidden="false" customHeight="true" outlineLevel="0" collapsed="false">
      <c r="H426" s="236"/>
      <c r="I426" s="236"/>
      <c r="J426" s="236"/>
      <c r="L426" s="237"/>
      <c r="M426" s="237"/>
      <c r="N426" s="237"/>
      <c r="O426" s="237"/>
      <c r="P426" s="237"/>
      <c r="Q426" s="237"/>
      <c r="R426" s="237"/>
      <c r="U426" s="204"/>
      <c r="V426" s="204"/>
      <c r="W426" s="204"/>
      <c r="X426" s="204"/>
    </row>
    <row r="427" customFormat="false" ht="12.75" hidden="false" customHeight="true" outlineLevel="0" collapsed="false">
      <c r="H427" s="236"/>
      <c r="I427" s="236"/>
      <c r="J427" s="236"/>
      <c r="L427" s="237"/>
      <c r="M427" s="237"/>
      <c r="N427" s="237"/>
      <c r="O427" s="237"/>
      <c r="P427" s="237"/>
      <c r="Q427" s="237"/>
      <c r="R427" s="237"/>
      <c r="U427" s="204"/>
      <c r="V427" s="204"/>
      <c r="W427" s="204"/>
      <c r="X427" s="204"/>
    </row>
    <row r="428" customFormat="false" ht="12.75" hidden="false" customHeight="true" outlineLevel="0" collapsed="false">
      <c r="H428" s="236"/>
      <c r="I428" s="236"/>
      <c r="J428" s="236"/>
      <c r="L428" s="237"/>
      <c r="M428" s="237"/>
      <c r="N428" s="237"/>
      <c r="O428" s="237"/>
      <c r="P428" s="237"/>
      <c r="Q428" s="237"/>
      <c r="R428" s="237"/>
      <c r="U428" s="204"/>
      <c r="V428" s="204"/>
      <c r="W428" s="204"/>
      <c r="X428" s="204"/>
    </row>
    <row r="429" customFormat="false" ht="12.75" hidden="false" customHeight="true" outlineLevel="0" collapsed="false">
      <c r="H429" s="236"/>
      <c r="I429" s="236"/>
      <c r="J429" s="236"/>
      <c r="L429" s="237"/>
      <c r="M429" s="237"/>
      <c r="N429" s="237"/>
      <c r="O429" s="237"/>
      <c r="P429" s="237"/>
      <c r="Q429" s="237"/>
      <c r="R429" s="237"/>
      <c r="U429" s="204"/>
      <c r="V429" s="204"/>
      <c r="W429" s="204"/>
      <c r="X429" s="204"/>
    </row>
    <row r="430" customFormat="false" ht="12.75" hidden="false" customHeight="true" outlineLevel="0" collapsed="false">
      <c r="H430" s="236"/>
      <c r="I430" s="236"/>
      <c r="J430" s="236"/>
      <c r="L430" s="237"/>
      <c r="M430" s="237"/>
      <c r="N430" s="237"/>
      <c r="O430" s="237"/>
      <c r="P430" s="237"/>
      <c r="Q430" s="237"/>
      <c r="R430" s="237"/>
      <c r="U430" s="204"/>
      <c r="V430" s="204"/>
      <c r="W430" s="204"/>
      <c r="X430" s="204"/>
    </row>
    <row r="431" customFormat="false" ht="12.75" hidden="false" customHeight="true" outlineLevel="0" collapsed="false">
      <c r="H431" s="236"/>
      <c r="I431" s="236"/>
      <c r="J431" s="236"/>
      <c r="L431" s="237"/>
      <c r="M431" s="237"/>
      <c r="N431" s="237"/>
      <c r="O431" s="237"/>
      <c r="P431" s="237"/>
      <c r="Q431" s="237"/>
      <c r="R431" s="237"/>
      <c r="U431" s="204"/>
      <c r="V431" s="204"/>
      <c r="W431" s="204"/>
      <c r="X431" s="204"/>
    </row>
    <row r="432" customFormat="false" ht="12.75" hidden="false" customHeight="true" outlineLevel="0" collapsed="false">
      <c r="H432" s="236"/>
      <c r="I432" s="236"/>
      <c r="J432" s="236"/>
      <c r="L432" s="237"/>
      <c r="M432" s="237"/>
      <c r="N432" s="237"/>
      <c r="O432" s="237"/>
      <c r="P432" s="237"/>
      <c r="Q432" s="237"/>
      <c r="R432" s="237"/>
      <c r="U432" s="204"/>
      <c r="V432" s="204"/>
      <c r="W432" s="204"/>
      <c r="X432" s="204"/>
    </row>
    <row r="433" customFormat="false" ht="12.75" hidden="false" customHeight="true" outlineLevel="0" collapsed="false">
      <c r="H433" s="236"/>
      <c r="I433" s="236"/>
      <c r="J433" s="236"/>
      <c r="L433" s="237"/>
      <c r="M433" s="237"/>
      <c r="N433" s="237"/>
      <c r="O433" s="237"/>
      <c r="P433" s="237"/>
      <c r="Q433" s="237"/>
      <c r="R433" s="237"/>
      <c r="U433" s="204"/>
      <c r="V433" s="204"/>
      <c r="W433" s="204"/>
      <c r="X433" s="204"/>
    </row>
    <row r="434" customFormat="false" ht="12.75" hidden="false" customHeight="true" outlineLevel="0" collapsed="false">
      <c r="H434" s="236"/>
      <c r="I434" s="236"/>
      <c r="J434" s="236"/>
      <c r="L434" s="237"/>
      <c r="M434" s="237"/>
      <c r="N434" s="237"/>
      <c r="O434" s="237"/>
      <c r="P434" s="237"/>
      <c r="Q434" s="237"/>
      <c r="R434" s="237"/>
      <c r="U434" s="204"/>
      <c r="V434" s="204"/>
      <c r="W434" s="204"/>
      <c r="X434" s="204"/>
    </row>
    <row r="435" customFormat="false" ht="12.75" hidden="false" customHeight="true" outlineLevel="0" collapsed="false">
      <c r="H435" s="236"/>
      <c r="I435" s="236"/>
      <c r="J435" s="236"/>
      <c r="L435" s="237"/>
      <c r="M435" s="237"/>
      <c r="N435" s="237"/>
      <c r="O435" s="237"/>
      <c r="P435" s="237"/>
      <c r="Q435" s="237"/>
      <c r="R435" s="237"/>
      <c r="U435" s="204"/>
      <c r="V435" s="204"/>
      <c r="W435" s="204"/>
      <c r="X435" s="204"/>
    </row>
    <row r="436" customFormat="false" ht="12.75" hidden="false" customHeight="true" outlineLevel="0" collapsed="false">
      <c r="H436" s="236"/>
      <c r="I436" s="236"/>
      <c r="J436" s="236"/>
      <c r="L436" s="237"/>
      <c r="M436" s="237"/>
      <c r="N436" s="237"/>
      <c r="O436" s="237"/>
      <c r="P436" s="237"/>
      <c r="Q436" s="237"/>
      <c r="R436" s="237"/>
      <c r="U436" s="204"/>
      <c r="V436" s="204"/>
      <c r="W436" s="204"/>
      <c r="X436" s="204"/>
    </row>
    <row r="437" customFormat="false" ht="12.75" hidden="false" customHeight="true" outlineLevel="0" collapsed="false">
      <c r="H437" s="236"/>
      <c r="I437" s="236"/>
      <c r="J437" s="236"/>
      <c r="L437" s="237"/>
      <c r="M437" s="237"/>
      <c r="N437" s="237"/>
      <c r="O437" s="237"/>
      <c r="P437" s="237"/>
      <c r="Q437" s="237"/>
      <c r="R437" s="237"/>
      <c r="U437" s="204"/>
      <c r="V437" s="204"/>
      <c r="W437" s="204"/>
      <c r="X437" s="204"/>
    </row>
    <row r="438" customFormat="false" ht="12.75" hidden="false" customHeight="true" outlineLevel="0" collapsed="false">
      <c r="H438" s="236"/>
      <c r="I438" s="236"/>
      <c r="J438" s="236"/>
      <c r="L438" s="237"/>
      <c r="M438" s="237"/>
      <c r="N438" s="237"/>
      <c r="O438" s="237"/>
      <c r="P438" s="237"/>
      <c r="Q438" s="237"/>
      <c r="R438" s="237"/>
      <c r="U438" s="204"/>
      <c r="V438" s="204"/>
      <c r="W438" s="204"/>
      <c r="X438" s="204"/>
    </row>
    <row r="439" customFormat="false" ht="12.75" hidden="false" customHeight="true" outlineLevel="0" collapsed="false">
      <c r="H439" s="236"/>
      <c r="I439" s="236"/>
      <c r="J439" s="236"/>
      <c r="L439" s="237"/>
      <c r="M439" s="237"/>
      <c r="N439" s="237"/>
      <c r="O439" s="237"/>
      <c r="P439" s="237"/>
      <c r="Q439" s="237"/>
      <c r="R439" s="237"/>
      <c r="U439" s="204"/>
      <c r="V439" s="204"/>
      <c r="W439" s="204"/>
      <c r="X439" s="204"/>
    </row>
    <row r="440" customFormat="false" ht="12.75" hidden="false" customHeight="true" outlineLevel="0" collapsed="false">
      <c r="H440" s="236"/>
      <c r="I440" s="236"/>
      <c r="J440" s="236"/>
      <c r="L440" s="237"/>
      <c r="M440" s="237"/>
      <c r="N440" s="237"/>
      <c r="O440" s="237"/>
      <c r="P440" s="237"/>
      <c r="Q440" s="237"/>
      <c r="R440" s="237"/>
      <c r="U440" s="204"/>
      <c r="V440" s="204"/>
      <c r="W440" s="204"/>
      <c r="X440" s="204"/>
    </row>
    <row r="441" customFormat="false" ht="12.75" hidden="false" customHeight="true" outlineLevel="0" collapsed="false">
      <c r="H441" s="236"/>
      <c r="I441" s="236"/>
      <c r="J441" s="236"/>
      <c r="L441" s="237"/>
      <c r="M441" s="237"/>
      <c r="N441" s="237"/>
      <c r="O441" s="237"/>
      <c r="P441" s="237"/>
      <c r="Q441" s="237"/>
      <c r="R441" s="237"/>
      <c r="U441" s="204"/>
      <c r="V441" s="204"/>
      <c r="W441" s="204"/>
      <c r="X441" s="204"/>
    </row>
    <row r="442" customFormat="false" ht="12.75" hidden="false" customHeight="true" outlineLevel="0" collapsed="false">
      <c r="H442" s="236"/>
      <c r="I442" s="236"/>
      <c r="J442" s="236"/>
      <c r="L442" s="237"/>
      <c r="M442" s="237"/>
      <c r="N442" s="237"/>
      <c r="O442" s="237"/>
      <c r="P442" s="237"/>
      <c r="Q442" s="237"/>
      <c r="R442" s="237"/>
      <c r="U442" s="204"/>
      <c r="V442" s="204"/>
      <c r="W442" s="204"/>
      <c r="X442" s="204"/>
    </row>
    <row r="443" customFormat="false" ht="12.75" hidden="false" customHeight="true" outlineLevel="0" collapsed="false">
      <c r="H443" s="236"/>
      <c r="I443" s="236"/>
      <c r="J443" s="236"/>
      <c r="L443" s="237"/>
      <c r="M443" s="237"/>
      <c r="N443" s="237"/>
      <c r="O443" s="237"/>
      <c r="P443" s="237"/>
      <c r="Q443" s="237"/>
      <c r="R443" s="237"/>
      <c r="U443" s="204"/>
      <c r="V443" s="204"/>
      <c r="W443" s="204"/>
      <c r="X443" s="204"/>
    </row>
    <row r="444" customFormat="false" ht="12.75" hidden="false" customHeight="true" outlineLevel="0" collapsed="false">
      <c r="H444" s="236"/>
      <c r="I444" s="236"/>
      <c r="J444" s="236"/>
      <c r="L444" s="237"/>
      <c r="M444" s="237"/>
      <c r="N444" s="237"/>
      <c r="O444" s="237"/>
      <c r="P444" s="237"/>
      <c r="Q444" s="237"/>
      <c r="R444" s="237"/>
      <c r="U444" s="204"/>
      <c r="V444" s="204"/>
      <c r="W444" s="204"/>
      <c r="X444" s="204"/>
    </row>
    <row r="445" customFormat="false" ht="12.75" hidden="false" customHeight="true" outlineLevel="0" collapsed="false">
      <c r="H445" s="236"/>
      <c r="I445" s="236"/>
      <c r="J445" s="236"/>
      <c r="L445" s="237"/>
      <c r="M445" s="237"/>
      <c r="N445" s="237"/>
      <c r="O445" s="237"/>
      <c r="P445" s="237"/>
      <c r="Q445" s="237"/>
      <c r="R445" s="237"/>
      <c r="U445" s="204"/>
      <c r="V445" s="204"/>
      <c r="W445" s="204"/>
      <c r="X445" s="204"/>
    </row>
    <row r="446" customFormat="false" ht="12.75" hidden="false" customHeight="true" outlineLevel="0" collapsed="false">
      <c r="H446" s="236"/>
      <c r="I446" s="236"/>
      <c r="J446" s="236"/>
      <c r="L446" s="237"/>
      <c r="M446" s="237"/>
      <c r="N446" s="237"/>
      <c r="O446" s="237"/>
      <c r="P446" s="237"/>
      <c r="Q446" s="237"/>
      <c r="R446" s="237"/>
      <c r="U446" s="204"/>
      <c r="V446" s="204"/>
      <c r="W446" s="204"/>
      <c r="X446" s="204"/>
    </row>
    <row r="447" customFormat="false" ht="12.75" hidden="false" customHeight="true" outlineLevel="0" collapsed="false">
      <c r="H447" s="236"/>
      <c r="I447" s="236"/>
      <c r="J447" s="236"/>
      <c r="L447" s="237"/>
      <c r="M447" s="237"/>
      <c r="N447" s="237"/>
      <c r="O447" s="237"/>
      <c r="P447" s="237"/>
      <c r="Q447" s="237"/>
      <c r="R447" s="237"/>
      <c r="U447" s="204"/>
      <c r="V447" s="204"/>
      <c r="W447" s="204"/>
      <c r="X447" s="204"/>
    </row>
    <row r="448" customFormat="false" ht="12.75" hidden="false" customHeight="true" outlineLevel="0" collapsed="false">
      <c r="H448" s="236"/>
      <c r="I448" s="236"/>
      <c r="J448" s="236"/>
      <c r="L448" s="237"/>
      <c r="M448" s="237"/>
      <c r="N448" s="237"/>
      <c r="O448" s="237"/>
      <c r="P448" s="237"/>
      <c r="Q448" s="237"/>
      <c r="R448" s="237"/>
      <c r="U448" s="204"/>
      <c r="V448" s="204"/>
      <c r="W448" s="204"/>
      <c r="X448" s="204"/>
    </row>
    <row r="449" customFormat="false" ht="12.75" hidden="false" customHeight="true" outlineLevel="0" collapsed="false">
      <c r="H449" s="236"/>
      <c r="I449" s="236"/>
      <c r="J449" s="236"/>
      <c r="L449" s="237"/>
      <c r="M449" s="237"/>
      <c r="N449" s="237"/>
      <c r="O449" s="237"/>
      <c r="P449" s="237"/>
      <c r="Q449" s="237"/>
      <c r="R449" s="237"/>
      <c r="U449" s="204"/>
      <c r="V449" s="204"/>
      <c r="W449" s="204"/>
      <c r="X449" s="204"/>
    </row>
    <row r="450" customFormat="false" ht="12.75" hidden="false" customHeight="true" outlineLevel="0" collapsed="false">
      <c r="H450" s="236"/>
      <c r="I450" s="236"/>
      <c r="J450" s="236"/>
      <c r="L450" s="237"/>
      <c r="M450" s="237"/>
      <c r="N450" s="237"/>
      <c r="O450" s="237"/>
      <c r="P450" s="237"/>
      <c r="Q450" s="237"/>
      <c r="R450" s="237"/>
      <c r="U450" s="204"/>
      <c r="V450" s="204"/>
      <c r="W450" s="204"/>
      <c r="X450" s="204"/>
    </row>
    <row r="451" customFormat="false" ht="12.75" hidden="false" customHeight="true" outlineLevel="0" collapsed="false">
      <c r="H451" s="236"/>
      <c r="I451" s="236"/>
      <c r="J451" s="236"/>
      <c r="L451" s="237"/>
      <c r="M451" s="237"/>
      <c r="N451" s="237"/>
      <c r="O451" s="237"/>
      <c r="P451" s="237"/>
      <c r="Q451" s="237"/>
      <c r="R451" s="237"/>
      <c r="U451" s="204"/>
      <c r="V451" s="204"/>
      <c r="W451" s="204"/>
      <c r="X451" s="204"/>
    </row>
    <row r="452" customFormat="false" ht="12.75" hidden="false" customHeight="true" outlineLevel="0" collapsed="false">
      <c r="H452" s="236"/>
      <c r="I452" s="236"/>
      <c r="J452" s="236"/>
      <c r="L452" s="237"/>
      <c r="M452" s="237"/>
      <c r="N452" s="237"/>
      <c r="O452" s="237"/>
      <c r="P452" s="237"/>
      <c r="Q452" s="237"/>
      <c r="R452" s="237"/>
      <c r="U452" s="204"/>
      <c r="V452" s="204"/>
      <c r="W452" s="204"/>
      <c r="X452" s="204"/>
    </row>
    <row r="453" customFormat="false" ht="12.75" hidden="false" customHeight="true" outlineLevel="0" collapsed="false">
      <c r="H453" s="236"/>
      <c r="I453" s="236"/>
      <c r="J453" s="236"/>
      <c r="L453" s="237"/>
      <c r="M453" s="237"/>
      <c r="N453" s="237"/>
      <c r="O453" s="237"/>
      <c r="P453" s="237"/>
      <c r="Q453" s="237"/>
      <c r="R453" s="237"/>
      <c r="U453" s="204"/>
      <c r="V453" s="204"/>
      <c r="W453" s="204"/>
      <c r="X453" s="204"/>
    </row>
    <row r="454" customFormat="false" ht="12.75" hidden="false" customHeight="true" outlineLevel="0" collapsed="false">
      <c r="H454" s="236"/>
      <c r="I454" s="236"/>
      <c r="J454" s="236"/>
      <c r="L454" s="237"/>
      <c r="M454" s="237"/>
      <c r="N454" s="237"/>
      <c r="O454" s="237"/>
      <c r="P454" s="237"/>
      <c r="Q454" s="237"/>
      <c r="R454" s="237"/>
      <c r="U454" s="204"/>
      <c r="V454" s="204"/>
      <c r="W454" s="204"/>
      <c r="X454" s="204"/>
    </row>
    <row r="455" customFormat="false" ht="12.75" hidden="false" customHeight="true" outlineLevel="0" collapsed="false">
      <c r="H455" s="236"/>
      <c r="I455" s="236"/>
      <c r="J455" s="236"/>
      <c r="L455" s="237"/>
      <c r="M455" s="237"/>
      <c r="N455" s="237"/>
      <c r="O455" s="237"/>
      <c r="P455" s="237"/>
      <c r="Q455" s="237"/>
      <c r="R455" s="237"/>
      <c r="U455" s="204"/>
      <c r="V455" s="204"/>
      <c r="W455" s="204"/>
      <c r="X455" s="204"/>
    </row>
    <row r="456" customFormat="false" ht="12.75" hidden="false" customHeight="true" outlineLevel="0" collapsed="false">
      <c r="H456" s="236"/>
      <c r="I456" s="236"/>
      <c r="J456" s="236"/>
      <c r="L456" s="237"/>
      <c r="M456" s="237"/>
      <c r="N456" s="237"/>
      <c r="O456" s="237"/>
      <c r="P456" s="237"/>
      <c r="Q456" s="237"/>
      <c r="R456" s="237"/>
      <c r="U456" s="204"/>
      <c r="V456" s="204"/>
      <c r="W456" s="204"/>
      <c r="X456" s="204"/>
    </row>
    <row r="457" customFormat="false" ht="12.75" hidden="false" customHeight="true" outlineLevel="0" collapsed="false">
      <c r="H457" s="236"/>
      <c r="I457" s="236"/>
      <c r="J457" s="236"/>
      <c r="L457" s="237"/>
      <c r="M457" s="237"/>
      <c r="N457" s="237"/>
      <c r="O457" s="237"/>
      <c r="P457" s="237"/>
      <c r="Q457" s="237"/>
      <c r="R457" s="237"/>
      <c r="U457" s="204"/>
      <c r="V457" s="204"/>
      <c r="W457" s="204"/>
      <c r="X457" s="204"/>
    </row>
    <row r="458" customFormat="false" ht="12.75" hidden="false" customHeight="true" outlineLevel="0" collapsed="false">
      <c r="H458" s="236"/>
      <c r="I458" s="236"/>
      <c r="J458" s="236"/>
      <c r="L458" s="237"/>
      <c r="M458" s="237"/>
      <c r="N458" s="237"/>
      <c r="O458" s="237"/>
      <c r="P458" s="237"/>
      <c r="Q458" s="237"/>
      <c r="R458" s="237"/>
      <c r="U458" s="204"/>
      <c r="V458" s="204"/>
      <c r="W458" s="204"/>
      <c r="X458" s="204"/>
    </row>
    <row r="459" customFormat="false" ht="12.75" hidden="false" customHeight="true" outlineLevel="0" collapsed="false">
      <c r="H459" s="236"/>
      <c r="I459" s="236"/>
      <c r="J459" s="236"/>
      <c r="L459" s="237"/>
      <c r="M459" s="237"/>
      <c r="N459" s="237"/>
      <c r="O459" s="237"/>
      <c r="P459" s="237"/>
      <c r="Q459" s="237"/>
      <c r="R459" s="237"/>
      <c r="U459" s="204"/>
      <c r="V459" s="204"/>
      <c r="W459" s="204"/>
      <c r="X459" s="204"/>
    </row>
    <row r="460" customFormat="false" ht="12.75" hidden="false" customHeight="true" outlineLevel="0" collapsed="false">
      <c r="H460" s="236"/>
      <c r="I460" s="236"/>
      <c r="J460" s="236"/>
      <c r="L460" s="237"/>
      <c r="M460" s="237"/>
      <c r="N460" s="237"/>
      <c r="O460" s="237"/>
      <c r="P460" s="237"/>
      <c r="Q460" s="237"/>
      <c r="R460" s="237"/>
      <c r="U460" s="204"/>
      <c r="V460" s="204"/>
      <c r="W460" s="204"/>
      <c r="X460" s="204"/>
    </row>
    <row r="461" customFormat="false" ht="12.75" hidden="false" customHeight="true" outlineLevel="0" collapsed="false">
      <c r="H461" s="236"/>
      <c r="I461" s="236"/>
      <c r="J461" s="236"/>
      <c r="L461" s="237"/>
      <c r="M461" s="237"/>
      <c r="N461" s="237"/>
      <c r="O461" s="237"/>
      <c r="P461" s="237"/>
      <c r="Q461" s="237"/>
      <c r="R461" s="237"/>
      <c r="U461" s="204"/>
      <c r="V461" s="204"/>
      <c r="W461" s="204"/>
      <c r="X461" s="204"/>
    </row>
    <row r="462" customFormat="false" ht="12.75" hidden="false" customHeight="true" outlineLevel="0" collapsed="false">
      <c r="H462" s="236"/>
      <c r="I462" s="236"/>
      <c r="J462" s="236"/>
      <c r="L462" s="237"/>
      <c r="M462" s="237"/>
      <c r="N462" s="237"/>
      <c r="O462" s="237"/>
      <c r="P462" s="237"/>
      <c r="Q462" s="237"/>
      <c r="R462" s="237"/>
      <c r="U462" s="204"/>
      <c r="V462" s="204"/>
      <c r="W462" s="204"/>
      <c r="X462" s="204"/>
    </row>
    <row r="463" customFormat="false" ht="12.75" hidden="false" customHeight="true" outlineLevel="0" collapsed="false">
      <c r="H463" s="236"/>
      <c r="I463" s="236"/>
      <c r="J463" s="236"/>
      <c r="L463" s="237"/>
      <c r="M463" s="237"/>
      <c r="N463" s="237"/>
      <c r="O463" s="237"/>
      <c r="P463" s="237"/>
      <c r="Q463" s="237"/>
      <c r="R463" s="237"/>
      <c r="U463" s="204"/>
      <c r="V463" s="204"/>
      <c r="W463" s="204"/>
      <c r="X463" s="204"/>
    </row>
    <row r="464" customFormat="false" ht="12.75" hidden="false" customHeight="true" outlineLevel="0" collapsed="false">
      <c r="H464" s="236"/>
      <c r="I464" s="236"/>
      <c r="J464" s="236"/>
      <c r="L464" s="237"/>
      <c r="M464" s="237"/>
      <c r="N464" s="237"/>
      <c r="O464" s="237"/>
      <c r="P464" s="237"/>
      <c r="Q464" s="237"/>
      <c r="R464" s="237"/>
      <c r="U464" s="204"/>
      <c r="V464" s="204"/>
      <c r="W464" s="204"/>
      <c r="X464" s="204"/>
    </row>
    <row r="465" customFormat="false" ht="12.75" hidden="false" customHeight="true" outlineLevel="0" collapsed="false">
      <c r="H465" s="236"/>
      <c r="I465" s="236"/>
      <c r="J465" s="236"/>
      <c r="L465" s="237"/>
      <c r="M465" s="237"/>
      <c r="N465" s="237"/>
      <c r="O465" s="237"/>
      <c r="P465" s="237"/>
      <c r="Q465" s="237"/>
      <c r="R465" s="237"/>
      <c r="U465" s="204"/>
      <c r="V465" s="204"/>
      <c r="W465" s="204"/>
      <c r="X465" s="204"/>
    </row>
    <row r="466" customFormat="false" ht="12.75" hidden="false" customHeight="true" outlineLevel="0" collapsed="false">
      <c r="H466" s="236"/>
      <c r="I466" s="236"/>
      <c r="J466" s="236"/>
      <c r="L466" s="237"/>
      <c r="M466" s="237"/>
      <c r="N466" s="237"/>
      <c r="O466" s="237"/>
      <c r="P466" s="237"/>
      <c r="Q466" s="237"/>
      <c r="R466" s="237"/>
      <c r="U466" s="204"/>
      <c r="V466" s="204"/>
      <c r="W466" s="204"/>
      <c r="X466" s="204"/>
    </row>
    <row r="467" customFormat="false" ht="12.75" hidden="false" customHeight="true" outlineLevel="0" collapsed="false">
      <c r="H467" s="236"/>
      <c r="I467" s="236"/>
      <c r="J467" s="236"/>
      <c r="L467" s="237"/>
      <c r="M467" s="237"/>
      <c r="N467" s="237"/>
      <c r="O467" s="237"/>
      <c r="P467" s="237"/>
      <c r="Q467" s="237"/>
      <c r="R467" s="237"/>
      <c r="U467" s="204"/>
      <c r="V467" s="204"/>
      <c r="W467" s="204"/>
      <c r="X467" s="204"/>
    </row>
    <row r="468" customFormat="false" ht="12.75" hidden="false" customHeight="true" outlineLevel="0" collapsed="false">
      <c r="H468" s="236"/>
      <c r="I468" s="236"/>
      <c r="J468" s="236"/>
      <c r="L468" s="237"/>
      <c r="M468" s="237"/>
      <c r="N468" s="237"/>
      <c r="O468" s="237"/>
      <c r="P468" s="237"/>
      <c r="Q468" s="237"/>
      <c r="R468" s="237"/>
      <c r="U468" s="204"/>
      <c r="V468" s="204"/>
      <c r="W468" s="204"/>
      <c r="X468" s="204"/>
    </row>
    <row r="469" customFormat="false" ht="12.75" hidden="false" customHeight="true" outlineLevel="0" collapsed="false">
      <c r="H469" s="236"/>
      <c r="I469" s="236"/>
      <c r="J469" s="236"/>
      <c r="L469" s="237"/>
      <c r="M469" s="237"/>
      <c r="N469" s="237"/>
      <c r="O469" s="237"/>
      <c r="P469" s="237"/>
      <c r="Q469" s="237"/>
      <c r="R469" s="237"/>
      <c r="U469" s="204"/>
      <c r="V469" s="204"/>
      <c r="W469" s="204"/>
      <c r="X469" s="204"/>
    </row>
    <row r="470" customFormat="false" ht="12.75" hidden="false" customHeight="true" outlineLevel="0" collapsed="false">
      <c r="H470" s="236"/>
      <c r="I470" s="236"/>
      <c r="J470" s="236"/>
      <c r="L470" s="237"/>
      <c r="M470" s="237"/>
      <c r="N470" s="237"/>
      <c r="O470" s="237"/>
      <c r="P470" s="237"/>
      <c r="Q470" s="237"/>
      <c r="R470" s="237"/>
      <c r="U470" s="204"/>
      <c r="V470" s="204"/>
      <c r="W470" s="204"/>
      <c r="X470" s="204"/>
    </row>
    <row r="471" customFormat="false" ht="12.75" hidden="false" customHeight="true" outlineLevel="0" collapsed="false">
      <c r="H471" s="236"/>
      <c r="I471" s="236"/>
      <c r="J471" s="236"/>
      <c r="L471" s="237"/>
      <c r="M471" s="237"/>
      <c r="N471" s="237"/>
      <c r="O471" s="237"/>
      <c r="P471" s="237"/>
      <c r="Q471" s="237"/>
      <c r="R471" s="237"/>
      <c r="U471" s="204"/>
      <c r="V471" s="204"/>
      <c r="W471" s="204"/>
      <c r="X471" s="204"/>
    </row>
    <row r="472" customFormat="false" ht="12.75" hidden="false" customHeight="true" outlineLevel="0" collapsed="false">
      <c r="H472" s="236"/>
      <c r="I472" s="236"/>
      <c r="J472" s="236"/>
      <c r="L472" s="237"/>
      <c r="M472" s="237"/>
      <c r="N472" s="237"/>
      <c r="O472" s="237"/>
      <c r="P472" s="237"/>
      <c r="Q472" s="237"/>
      <c r="R472" s="237"/>
      <c r="U472" s="204"/>
      <c r="V472" s="204"/>
      <c r="W472" s="204"/>
      <c r="X472" s="204"/>
    </row>
    <row r="473" customFormat="false" ht="12.75" hidden="false" customHeight="true" outlineLevel="0" collapsed="false">
      <c r="H473" s="236"/>
      <c r="I473" s="236"/>
      <c r="J473" s="236"/>
      <c r="L473" s="237"/>
      <c r="M473" s="237"/>
      <c r="N473" s="237"/>
      <c r="O473" s="237"/>
      <c r="P473" s="237"/>
      <c r="Q473" s="237"/>
      <c r="R473" s="237"/>
      <c r="U473" s="204"/>
      <c r="V473" s="204"/>
      <c r="W473" s="204"/>
      <c r="X473" s="204"/>
    </row>
    <row r="474" customFormat="false" ht="12.75" hidden="false" customHeight="true" outlineLevel="0" collapsed="false">
      <c r="H474" s="236"/>
      <c r="I474" s="236"/>
      <c r="J474" s="236"/>
      <c r="L474" s="237"/>
      <c r="M474" s="237"/>
      <c r="N474" s="237"/>
      <c r="O474" s="237"/>
      <c r="P474" s="237"/>
      <c r="Q474" s="237"/>
      <c r="R474" s="237"/>
      <c r="U474" s="204"/>
      <c r="V474" s="204"/>
      <c r="W474" s="204"/>
      <c r="X474" s="204"/>
    </row>
    <row r="475" customFormat="false" ht="12.75" hidden="false" customHeight="true" outlineLevel="0" collapsed="false">
      <c r="H475" s="236"/>
      <c r="I475" s="236"/>
      <c r="J475" s="236"/>
      <c r="L475" s="237"/>
      <c r="M475" s="237"/>
      <c r="N475" s="237"/>
      <c r="O475" s="237"/>
      <c r="P475" s="237"/>
      <c r="Q475" s="237"/>
      <c r="R475" s="237"/>
      <c r="U475" s="204"/>
      <c r="V475" s="204"/>
      <c r="W475" s="204"/>
      <c r="X475" s="204"/>
    </row>
    <row r="476" customFormat="false" ht="12.75" hidden="false" customHeight="true" outlineLevel="0" collapsed="false">
      <c r="H476" s="236"/>
      <c r="I476" s="236"/>
      <c r="J476" s="236"/>
      <c r="L476" s="237"/>
      <c r="M476" s="237"/>
      <c r="N476" s="237"/>
      <c r="O476" s="237"/>
      <c r="P476" s="237"/>
      <c r="Q476" s="237"/>
      <c r="R476" s="237"/>
      <c r="U476" s="204"/>
      <c r="V476" s="204"/>
      <c r="W476" s="204"/>
      <c r="X476" s="204"/>
    </row>
    <row r="477" customFormat="false" ht="12.75" hidden="false" customHeight="true" outlineLevel="0" collapsed="false">
      <c r="H477" s="236"/>
      <c r="I477" s="236"/>
      <c r="J477" s="236"/>
      <c r="L477" s="237"/>
      <c r="M477" s="237"/>
      <c r="N477" s="237"/>
      <c r="O477" s="237"/>
      <c r="P477" s="237"/>
      <c r="Q477" s="237"/>
      <c r="R477" s="237"/>
      <c r="U477" s="204"/>
      <c r="V477" s="204"/>
      <c r="W477" s="204"/>
      <c r="X477" s="204"/>
    </row>
    <row r="478" customFormat="false" ht="12.75" hidden="false" customHeight="true" outlineLevel="0" collapsed="false">
      <c r="H478" s="236"/>
      <c r="I478" s="236"/>
      <c r="J478" s="236"/>
      <c r="L478" s="237"/>
      <c r="M478" s="237"/>
      <c r="N478" s="237"/>
      <c r="O478" s="237"/>
      <c r="P478" s="237"/>
      <c r="Q478" s="237"/>
      <c r="R478" s="237"/>
      <c r="U478" s="204"/>
      <c r="V478" s="204"/>
      <c r="W478" s="204"/>
      <c r="X478" s="204"/>
    </row>
    <row r="479" customFormat="false" ht="12.75" hidden="false" customHeight="true" outlineLevel="0" collapsed="false">
      <c r="H479" s="236"/>
      <c r="I479" s="236"/>
      <c r="J479" s="236"/>
      <c r="L479" s="237"/>
      <c r="M479" s="237"/>
      <c r="N479" s="237"/>
      <c r="O479" s="237"/>
      <c r="P479" s="237"/>
      <c r="Q479" s="237"/>
      <c r="R479" s="237"/>
      <c r="U479" s="204"/>
      <c r="V479" s="204"/>
      <c r="W479" s="204"/>
      <c r="X479" s="204"/>
    </row>
    <row r="480" customFormat="false" ht="12.75" hidden="false" customHeight="true" outlineLevel="0" collapsed="false">
      <c r="H480" s="236"/>
      <c r="I480" s="236"/>
      <c r="J480" s="236"/>
      <c r="L480" s="237"/>
      <c r="M480" s="237"/>
      <c r="N480" s="237"/>
      <c r="O480" s="237"/>
      <c r="P480" s="237"/>
      <c r="Q480" s="237"/>
      <c r="R480" s="237"/>
      <c r="U480" s="204"/>
      <c r="V480" s="204"/>
      <c r="W480" s="204"/>
      <c r="X480" s="204"/>
    </row>
    <row r="481" customFormat="false" ht="12.75" hidden="false" customHeight="true" outlineLevel="0" collapsed="false">
      <c r="H481" s="236"/>
      <c r="I481" s="236"/>
      <c r="J481" s="236"/>
      <c r="L481" s="237"/>
      <c r="M481" s="237"/>
      <c r="N481" s="237"/>
      <c r="O481" s="237"/>
      <c r="P481" s="237"/>
      <c r="Q481" s="237"/>
      <c r="R481" s="237"/>
      <c r="U481" s="204"/>
      <c r="V481" s="204"/>
      <c r="W481" s="204"/>
      <c r="X481" s="204"/>
    </row>
    <row r="482" customFormat="false" ht="12.75" hidden="false" customHeight="true" outlineLevel="0" collapsed="false">
      <c r="H482" s="236"/>
      <c r="I482" s="236"/>
      <c r="J482" s="236"/>
      <c r="L482" s="237"/>
      <c r="M482" s="237"/>
      <c r="N482" s="237"/>
      <c r="O482" s="237"/>
      <c r="P482" s="237"/>
      <c r="Q482" s="237"/>
      <c r="R482" s="237"/>
      <c r="U482" s="204"/>
      <c r="V482" s="204"/>
      <c r="W482" s="204"/>
      <c r="X482" s="204"/>
    </row>
    <row r="483" customFormat="false" ht="12.75" hidden="false" customHeight="true" outlineLevel="0" collapsed="false">
      <c r="H483" s="236"/>
      <c r="I483" s="236"/>
      <c r="J483" s="236"/>
      <c r="L483" s="237"/>
      <c r="M483" s="237"/>
      <c r="N483" s="237"/>
      <c r="O483" s="237"/>
      <c r="P483" s="237"/>
      <c r="Q483" s="237"/>
      <c r="R483" s="237"/>
      <c r="U483" s="204"/>
      <c r="V483" s="204"/>
      <c r="W483" s="204"/>
      <c r="X483" s="204"/>
    </row>
    <row r="484" customFormat="false" ht="12.75" hidden="false" customHeight="true" outlineLevel="0" collapsed="false">
      <c r="H484" s="236"/>
      <c r="I484" s="236"/>
      <c r="J484" s="236"/>
      <c r="L484" s="237"/>
      <c r="M484" s="237"/>
      <c r="N484" s="237"/>
      <c r="O484" s="237"/>
      <c r="P484" s="237"/>
      <c r="Q484" s="237"/>
      <c r="R484" s="237"/>
      <c r="U484" s="204"/>
      <c r="V484" s="204"/>
      <c r="W484" s="204"/>
      <c r="X484" s="204"/>
    </row>
    <row r="485" customFormat="false" ht="12.75" hidden="false" customHeight="true" outlineLevel="0" collapsed="false">
      <c r="H485" s="236"/>
      <c r="I485" s="236"/>
      <c r="J485" s="236"/>
      <c r="L485" s="237"/>
      <c r="M485" s="237"/>
      <c r="N485" s="237"/>
      <c r="O485" s="237"/>
      <c r="P485" s="237"/>
      <c r="Q485" s="237"/>
      <c r="R485" s="237"/>
      <c r="U485" s="204"/>
      <c r="V485" s="204"/>
      <c r="W485" s="204"/>
      <c r="X485" s="204"/>
    </row>
    <row r="486" customFormat="false" ht="12.75" hidden="false" customHeight="true" outlineLevel="0" collapsed="false">
      <c r="H486" s="236"/>
      <c r="I486" s="236"/>
      <c r="J486" s="236"/>
      <c r="L486" s="237"/>
      <c r="M486" s="237"/>
      <c r="N486" s="237"/>
      <c r="O486" s="237"/>
      <c r="P486" s="237"/>
      <c r="Q486" s="237"/>
      <c r="R486" s="237"/>
      <c r="U486" s="204"/>
      <c r="V486" s="204"/>
      <c r="W486" s="204"/>
      <c r="X486" s="204"/>
    </row>
    <row r="487" customFormat="false" ht="12.75" hidden="false" customHeight="true" outlineLevel="0" collapsed="false">
      <c r="H487" s="236"/>
      <c r="I487" s="236"/>
      <c r="J487" s="236"/>
      <c r="L487" s="237"/>
      <c r="M487" s="237"/>
      <c r="N487" s="237"/>
      <c r="O487" s="237"/>
      <c r="P487" s="237"/>
      <c r="Q487" s="237"/>
      <c r="R487" s="237"/>
      <c r="U487" s="204"/>
      <c r="V487" s="204"/>
      <c r="W487" s="204"/>
      <c r="X487" s="204"/>
    </row>
    <row r="488" customFormat="false" ht="12.75" hidden="false" customHeight="true" outlineLevel="0" collapsed="false">
      <c r="H488" s="236"/>
      <c r="I488" s="236"/>
      <c r="J488" s="236"/>
      <c r="L488" s="237"/>
      <c r="M488" s="237"/>
      <c r="N488" s="237"/>
      <c r="O488" s="237"/>
      <c r="P488" s="237"/>
      <c r="Q488" s="237"/>
      <c r="R488" s="237"/>
      <c r="U488" s="204"/>
      <c r="V488" s="204"/>
      <c r="W488" s="204"/>
      <c r="X488" s="204"/>
    </row>
    <row r="489" customFormat="false" ht="12.75" hidden="false" customHeight="true" outlineLevel="0" collapsed="false">
      <c r="H489" s="236"/>
      <c r="I489" s="236"/>
      <c r="J489" s="236"/>
      <c r="L489" s="237"/>
      <c r="M489" s="237"/>
      <c r="N489" s="237"/>
      <c r="O489" s="237"/>
      <c r="P489" s="237"/>
      <c r="Q489" s="237"/>
      <c r="R489" s="237"/>
      <c r="U489" s="204"/>
      <c r="V489" s="204"/>
      <c r="W489" s="204"/>
      <c r="X489" s="204"/>
    </row>
    <row r="490" customFormat="false" ht="12.75" hidden="false" customHeight="true" outlineLevel="0" collapsed="false">
      <c r="H490" s="236"/>
      <c r="I490" s="236"/>
      <c r="J490" s="236"/>
      <c r="L490" s="237"/>
      <c r="M490" s="237"/>
      <c r="N490" s="237"/>
      <c r="O490" s="237"/>
      <c r="P490" s="237"/>
      <c r="Q490" s="237"/>
      <c r="R490" s="237"/>
      <c r="U490" s="204"/>
      <c r="V490" s="204"/>
      <c r="W490" s="204"/>
      <c r="X490" s="204"/>
    </row>
    <row r="491" customFormat="false" ht="12.75" hidden="false" customHeight="true" outlineLevel="0" collapsed="false">
      <c r="H491" s="236"/>
      <c r="I491" s="236"/>
      <c r="J491" s="236"/>
      <c r="L491" s="237"/>
      <c r="M491" s="237"/>
      <c r="N491" s="237"/>
      <c r="O491" s="237"/>
      <c r="P491" s="237"/>
      <c r="Q491" s="237"/>
      <c r="R491" s="237"/>
      <c r="U491" s="204"/>
      <c r="V491" s="204"/>
      <c r="W491" s="204"/>
      <c r="X491" s="204"/>
    </row>
    <row r="492" customFormat="false" ht="12.75" hidden="false" customHeight="true" outlineLevel="0" collapsed="false">
      <c r="H492" s="236"/>
      <c r="I492" s="236"/>
      <c r="J492" s="236"/>
      <c r="L492" s="237"/>
      <c r="M492" s="237"/>
      <c r="N492" s="237"/>
      <c r="O492" s="237"/>
      <c r="P492" s="237"/>
      <c r="Q492" s="237"/>
      <c r="R492" s="237"/>
      <c r="U492" s="204"/>
      <c r="V492" s="204"/>
      <c r="W492" s="204"/>
      <c r="X492" s="204"/>
    </row>
    <row r="493" customFormat="false" ht="12.75" hidden="false" customHeight="true" outlineLevel="0" collapsed="false">
      <c r="H493" s="236"/>
      <c r="I493" s="236"/>
      <c r="J493" s="236"/>
      <c r="L493" s="237"/>
      <c r="M493" s="237"/>
      <c r="N493" s="237"/>
      <c r="O493" s="237"/>
      <c r="P493" s="237"/>
      <c r="Q493" s="237"/>
      <c r="R493" s="237"/>
      <c r="U493" s="204"/>
      <c r="V493" s="204"/>
      <c r="W493" s="204"/>
      <c r="X493" s="204"/>
    </row>
    <row r="494" customFormat="false" ht="12.75" hidden="false" customHeight="true" outlineLevel="0" collapsed="false">
      <c r="H494" s="236"/>
      <c r="I494" s="236"/>
      <c r="J494" s="236"/>
      <c r="L494" s="237"/>
      <c r="M494" s="237"/>
      <c r="N494" s="237"/>
      <c r="O494" s="237"/>
      <c r="P494" s="237"/>
      <c r="Q494" s="237"/>
      <c r="R494" s="237"/>
      <c r="U494" s="204"/>
      <c r="V494" s="204"/>
      <c r="W494" s="204"/>
      <c r="X494" s="204"/>
    </row>
    <row r="495" customFormat="false" ht="12.75" hidden="false" customHeight="true" outlineLevel="0" collapsed="false">
      <c r="H495" s="236"/>
      <c r="I495" s="236"/>
      <c r="J495" s="236"/>
      <c r="L495" s="237"/>
      <c r="M495" s="237"/>
      <c r="N495" s="237"/>
      <c r="O495" s="237"/>
      <c r="P495" s="237"/>
      <c r="Q495" s="237"/>
      <c r="R495" s="237"/>
      <c r="U495" s="204"/>
      <c r="V495" s="204"/>
      <c r="W495" s="204"/>
      <c r="X495" s="204"/>
    </row>
    <row r="496" customFormat="false" ht="12.75" hidden="false" customHeight="true" outlineLevel="0" collapsed="false">
      <c r="H496" s="236"/>
      <c r="I496" s="236"/>
      <c r="J496" s="236"/>
      <c r="L496" s="237"/>
      <c r="M496" s="237"/>
      <c r="N496" s="237"/>
      <c r="O496" s="237"/>
      <c r="P496" s="237"/>
      <c r="Q496" s="237"/>
      <c r="R496" s="237"/>
      <c r="U496" s="204"/>
      <c r="V496" s="204"/>
      <c r="W496" s="204"/>
      <c r="X496" s="204"/>
    </row>
    <row r="497" customFormat="false" ht="12.75" hidden="false" customHeight="true" outlineLevel="0" collapsed="false">
      <c r="H497" s="236"/>
      <c r="I497" s="236"/>
      <c r="J497" s="236"/>
      <c r="L497" s="237"/>
      <c r="M497" s="237"/>
      <c r="N497" s="237"/>
      <c r="O497" s="237"/>
      <c r="P497" s="237"/>
      <c r="Q497" s="237"/>
      <c r="R497" s="237"/>
      <c r="U497" s="204"/>
      <c r="V497" s="204"/>
      <c r="W497" s="204"/>
      <c r="X497" s="204"/>
    </row>
    <row r="498" customFormat="false" ht="12.75" hidden="false" customHeight="true" outlineLevel="0" collapsed="false">
      <c r="H498" s="236"/>
      <c r="I498" s="236"/>
      <c r="J498" s="236"/>
      <c r="L498" s="237"/>
      <c r="M498" s="237"/>
      <c r="N498" s="237"/>
      <c r="O498" s="237"/>
      <c r="P498" s="237"/>
      <c r="Q498" s="237"/>
      <c r="R498" s="237"/>
      <c r="U498" s="204"/>
      <c r="V498" s="204"/>
      <c r="W498" s="204"/>
      <c r="X498" s="204"/>
    </row>
    <row r="499" customFormat="false" ht="12.75" hidden="false" customHeight="true" outlineLevel="0" collapsed="false">
      <c r="H499" s="236"/>
      <c r="I499" s="236"/>
      <c r="J499" s="236"/>
      <c r="L499" s="237"/>
      <c r="M499" s="237"/>
      <c r="N499" s="237"/>
      <c r="O499" s="237"/>
      <c r="P499" s="237"/>
      <c r="Q499" s="237"/>
      <c r="R499" s="237"/>
      <c r="U499" s="204"/>
      <c r="V499" s="204"/>
      <c r="W499" s="204"/>
      <c r="X499" s="204"/>
    </row>
    <row r="500" customFormat="false" ht="12.75" hidden="false" customHeight="true" outlineLevel="0" collapsed="false">
      <c r="H500" s="236"/>
      <c r="I500" s="236"/>
      <c r="J500" s="236"/>
      <c r="L500" s="237"/>
      <c r="M500" s="237"/>
      <c r="N500" s="237"/>
      <c r="O500" s="237"/>
      <c r="P500" s="237"/>
      <c r="Q500" s="237"/>
      <c r="R500" s="237"/>
      <c r="U500" s="204"/>
      <c r="V500" s="204"/>
      <c r="W500" s="204"/>
      <c r="X500" s="204"/>
    </row>
    <row r="501" customFormat="false" ht="12.75" hidden="false" customHeight="true" outlineLevel="0" collapsed="false">
      <c r="H501" s="236"/>
      <c r="I501" s="236"/>
      <c r="J501" s="236"/>
      <c r="L501" s="237"/>
      <c r="M501" s="237"/>
      <c r="N501" s="237"/>
      <c r="O501" s="237"/>
      <c r="P501" s="237"/>
      <c r="Q501" s="237"/>
      <c r="R501" s="237"/>
      <c r="U501" s="204"/>
      <c r="V501" s="204"/>
      <c r="W501" s="204"/>
      <c r="X501" s="204"/>
    </row>
    <row r="502" customFormat="false" ht="12.75" hidden="false" customHeight="true" outlineLevel="0" collapsed="false">
      <c r="H502" s="236"/>
      <c r="I502" s="236"/>
      <c r="J502" s="236"/>
      <c r="L502" s="237"/>
      <c r="M502" s="237"/>
      <c r="N502" s="237"/>
      <c r="O502" s="237"/>
      <c r="P502" s="237"/>
      <c r="Q502" s="237"/>
      <c r="R502" s="237"/>
      <c r="U502" s="204"/>
      <c r="V502" s="204"/>
      <c r="W502" s="204"/>
      <c r="X502" s="204"/>
    </row>
    <row r="503" customFormat="false" ht="12.75" hidden="false" customHeight="true" outlineLevel="0" collapsed="false">
      <c r="H503" s="236"/>
      <c r="I503" s="236"/>
      <c r="J503" s="236"/>
      <c r="L503" s="237"/>
      <c r="M503" s="237"/>
      <c r="N503" s="237"/>
      <c r="O503" s="237"/>
      <c r="P503" s="237"/>
      <c r="Q503" s="237"/>
      <c r="R503" s="237"/>
      <c r="U503" s="204"/>
      <c r="V503" s="204"/>
      <c r="W503" s="204"/>
      <c r="X503" s="204"/>
    </row>
    <row r="504" customFormat="false" ht="12.75" hidden="false" customHeight="true" outlineLevel="0" collapsed="false">
      <c r="H504" s="236"/>
      <c r="I504" s="236"/>
      <c r="J504" s="236"/>
      <c r="L504" s="237"/>
      <c r="M504" s="237"/>
      <c r="N504" s="237"/>
      <c r="O504" s="237"/>
      <c r="P504" s="237"/>
      <c r="Q504" s="237"/>
      <c r="R504" s="237"/>
      <c r="U504" s="204"/>
      <c r="V504" s="204"/>
      <c r="W504" s="204"/>
      <c r="X504" s="204"/>
    </row>
    <row r="505" customFormat="false" ht="12.75" hidden="false" customHeight="true" outlineLevel="0" collapsed="false">
      <c r="H505" s="236"/>
      <c r="I505" s="236"/>
      <c r="J505" s="236"/>
      <c r="L505" s="237"/>
      <c r="M505" s="237"/>
      <c r="N505" s="237"/>
      <c r="O505" s="237"/>
      <c r="P505" s="237"/>
      <c r="Q505" s="237"/>
      <c r="R505" s="237"/>
      <c r="U505" s="204"/>
      <c r="V505" s="204"/>
      <c r="W505" s="204"/>
      <c r="X505" s="204"/>
    </row>
    <row r="506" customFormat="false" ht="12.75" hidden="false" customHeight="true" outlineLevel="0" collapsed="false">
      <c r="H506" s="236"/>
      <c r="I506" s="236"/>
      <c r="J506" s="236"/>
      <c r="L506" s="237"/>
      <c r="M506" s="237"/>
      <c r="N506" s="237"/>
      <c r="O506" s="237"/>
      <c r="P506" s="237"/>
      <c r="Q506" s="237"/>
      <c r="R506" s="237"/>
      <c r="U506" s="204"/>
      <c r="V506" s="204"/>
      <c r="W506" s="204"/>
      <c r="X506" s="204"/>
    </row>
    <row r="507" customFormat="false" ht="12.75" hidden="false" customHeight="true" outlineLevel="0" collapsed="false">
      <c r="H507" s="236"/>
      <c r="I507" s="236"/>
      <c r="J507" s="236"/>
      <c r="L507" s="237"/>
      <c r="M507" s="237"/>
      <c r="N507" s="237"/>
      <c r="O507" s="237"/>
      <c r="P507" s="237"/>
      <c r="Q507" s="237"/>
      <c r="R507" s="237"/>
      <c r="U507" s="204"/>
      <c r="V507" s="204"/>
      <c r="W507" s="204"/>
      <c r="X507" s="204"/>
    </row>
    <row r="508" customFormat="false" ht="12.75" hidden="false" customHeight="true" outlineLevel="0" collapsed="false">
      <c r="H508" s="236"/>
      <c r="I508" s="236"/>
      <c r="J508" s="236"/>
      <c r="L508" s="237"/>
      <c r="M508" s="237"/>
      <c r="N508" s="237"/>
      <c r="O508" s="237"/>
      <c r="P508" s="237"/>
      <c r="Q508" s="237"/>
      <c r="R508" s="237"/>
      <c r="U508" s="204"/>
      <c r="V508" s="204"/>
      <c r="W508" s="204"/>
      <c r="X508" s="204"/>
    </row>
    <row r="509" customFormat="false" ht="12.75" hidden="false" customHeight="true" outlineLevel="0" collapsed="false">
      <c r="H509" s="236"/>
      <c r="I509" s="236"/>
      <c r="J509" s="236"/>
      <c r="L509" s="237"/>
      <c r="M509" s="237"/>
      <c r="N509" s="237"/>
      <c r="O509" s="237"/>
      <c r="P509" s="237"/>
      <c r="Q509" s="237"/>
      <c r="R509" s="237"/>
      <c r="U509" s="204"/>
      <c r="V509" s="204"/>
      <c r="W509" s="204"/>
      <c r="X509" s="204"/>
    </row>
    <row r="510" customFormat="false" ht="12.75" hidden="false" customHeight="true" outlineLevel="0" collapsed="false">
      <c r="H510" s="236"/>
      <c r="I510" s="236"/>
      <c r="J510" s="236"/>
      <c r="L510" s="237"/>
      <c r="M510" s="237"/>
      <c r="N510" s="237"/>
      <c r="O510" s="237"/>
      <c r="P510" s="237"/>
      <c r="Q510" s="237"/>
      <c r="R510" s="237"/>
      <c r="U510" s="204"/>
      <c r="V510" s="204"/>
      <c r="W510" s="204"/>
      <c r="X510" s="204"/>
    </row>
    <row r="511" customFormat="false" ht="12.75" hidden="false" customHeight="true" outlineLevel="0" collapsed="false">
      <c r="H511" s="236"/>
      <c r="I511" s="236"/>
      <c r="J511" s="236"/>
      <c r="L511" s="237"/>
      <c r="M511" s="237"/>
      <c r="N511" s="237"/>
      <c r="O511" s="237"/>
      <c r="P511" s="237"/>
      <c r="Q511" s="237"/>
      <c r="R511" s="237"/>
      <c r="U511" s="204"/>
      <c r="V511" s="204"/>
      <c r="W511" s="204"/>
      <c r="X511" s="204"/>
    </row>
    <row r="512" customFormat="false" ht="12.75" hidden="false" customHeight="true" outlineLevel="0" collapsed="false">
      <c r="H512" s="236"/>
      <c r="I512" s="236"/>
      <c r="J512" s="236"/>
      <c r="L512" s="237"/>
      <c r="M512" s="237"/>
      <c r="N512" s="237"/>
      <c r="O512" s="237"/>
      <c r="P512" s="237"/>
      <c r="Q512" s="237"/>
      <c r="R512" s="237"/>
      <c r="U512" s="204"/>
      <c r="V512" s="204"/>
      <c r="W512" s="204"/>
      <c r="X512" s="204"/>
    </row>
    <row r="513" customFormat="false" ht="12.75" hidden="false" customHeight="true" outlineLevel="0" collapsed="false">
      <c r="H513" s="236"/>
      <c r="I513" s="236"/>
      <c r="J513" s="236"/>
      <c r="L513" s="237"/>
      <c r="M513" s="237"/>
      <c r="N513" s="237"/>
      <c r="O513" s="237"/>
      <c r="P513" s="237"/>
      <c r="Q513" s="237"/>
      <c r="R513" s="237"/>
      <c r="U513" s="204"/>
      <c r="V513" s="204"/>
      <c r="W513" s="204"/>
      <c r="X513" s="204"/>
    </row>
    <row r="514" customFormat="false" ht="12.75" hidden="false" customHeight="true" outlineLevel="0" collapsed="false">
      <c r="H514" s="236"/>
      <c r="I514" s="236"/>
      <c r="J514" s="236"/>
      <c r="L514" s="237"/>
      <c r="M514" s="237"/>
      <c r="N514" s="237"/>
      <c r="O514" s="237"/>
      <c r="P514" s="237"/>
      <c r="Q514" s="237"/>
      <c r="R514" s="237"/>
      <c r="U514" s="204"/>
      <c r="V514" s="204"/>
      <c r="W514" s="204"/>
      <c r="X514" s="204"/>
    </row>
    <row r="515" customFormat="false" ht="12.75" hidden="false" customHeight="true" outlineLevel="0" collapsed="false">
      <c r="H515" s="236"/>
      <c r="I515" s="236"/>
      <c r="J515" s="236"/>
      <c r="L515" s="237"/>
      <c r="M515" s="237"/>
      <c r="N515" s="237"/>
      <c r="O515" s="237"/>
      <c r="P515" s="237"/>
      <c r="Q515" s="237"/>
      <c r="R515" s="237"/>
      <c r="U515" s="204"/>
      <c r="V515" s="204"/>
      <c r="W515" s="204"/>
      <c r="X515" s="204"/>
    </row>
    <row r="516" customFormat="false" ht="12.75" hidden="false" customHeight="true" outlineLevel="0" collapsed="false">
      <c r="H516" s="236"/>
      <c r="I516" s="236"/>
      <c r="J516" s="236"/>
      <c r="L516" s="237"/>
      <c r="M516" s="237"/>
      <c r="N516" s="237"/>
      <c r="O516" s="237"/>
      <c r="P516" s="237"/>
      <c r="Q516" s="237"/>
      <c r="R516" s="237"/>
      <c r="U516" s="204"/>
      <c r="V516" s="204"/>
      <c r="W516" s="204"/>
      <c r="X516" s="204"/>
    </row>
    <row r="517" customFormat="false" ht="12.75" hidden="false" customHeight="true" outlineLevel="0" collapsed="false">
      <c r="H517" s="236"/>
      <c r="I517" s="236"/>
      <c r="J517" s="236"/>
      <c r="L517" s="237"/>
      <c r="M517" s="237"/>
      <c r="N517" s="237"/>
      <c r="O517" s="237"/>
      <c r="P517" s="237"/>
      <c r="Q517" s="237"/>
      <c r="R517" s="237"/>
      <c r="U517" s="204"/>
      <c r="V517" s="204"/>
      <c r="W517" s="204"/>
      <c r="X517" s="204"/>
    </row>
    <row r="518" customFormat="false" ht="12.75" hidden="false" customHeight="true" outlineLevel="0" collapsed="false">
      <c r="H518" s="236"/>
      <c r="I518" s="236"/>
      <c r="J518" s="236"/>
      <c r="L518" s="237"/>
      <c r="M518" s="237"/>
      <c r="N518" s="237"/>
      <c r="O518" s="237"/>
      <c r="P518" s="237"/>
      <c r="Q518" s="237"/>
      <c r="R518" s="237"/>
      <c r="U518" s="204"/>
      <c r="V518" s="204"/>
      <c r="W518" s="204"/>
      <c r="X518" s="204"/>
    </row>
    <row r="519" customFormat="false" ht="12.75" hidden="false" customHeight="true" outlineLevel="0" collapsed="false">
      <c r="H519" s="236"/>
      <c r="I519" s="236"/>
      <c r="J519" s="236"/>
      <c r="L519" s="237"/>
      <c r="M519" s="237"/>
      <c r="N519" s="237"/>
      <c r="O519" s="237"/>
      <c r="P519" s="237"/>
      <c r="Q519" s="237"/>
      <c r="R519" s="237"/>
      <c r="U519" s="204"/>
      <c r="V519" s="204"/>
      <c r="W519" s="204"/>
      <c r="X519" s="204"/>
    </row>
    <row r="520" customFormat="false" ht="12.75" hidden="false" customHeight="true" outlineLevel="0" collapsed="false">
      <c r="H520" s="236"/>
      <c r="I520" s="236"/>
      <c r="J520" s="236"/>
      <c r="L520" s="237"/>
      <c r="M520" s="237"/>
      <c r="N520" s="237"/>
      <c r="O520" s="237"/>
      <c r="P520" s="237"/>
      <c r="Q520" s="237"/>
      <c r="R520" s="237"/>
      <c r="U520" s="204"/>
      <c r="V520" s="204"/>
      <c r="W520" s="204"/>
      <c r="X520" s="204"/>
    </row>
    <row r="521" customFormat="false" ht="12.75" hidden="false" customHeight="true" outlineLevel="0" collapsed="false">
      <c r="H521" s="236"/>
      <c r="I521" s="236"/>
      <c r="J521" s="236"/>
      <c r="L521" s="237"/>
      <c r="M521" s="237"/>
      <c r="N521" s="237"/>
      <c r="O521" s="237"/>
      <c r="P521" s="237"/>
      <c r="Q521" s="237"/>
      <c r="R521" s="237"/>
      <c r="U521" s="204"/>
      <c r="V521" s="204"/>
      <c r="W521" s="204"/>
      <c r="X521" s="204"/>
    </row>
    <row r="522" customFormat="false" ht="12.75" hidden="false" customHeight="true" outlineLevel="0" collapsed="false">
      <c r="H522" s="236"/>
      <c r="I522" s="236"/>
      <c r="J522" s="236"/>
      <c r="L522" s="237"/>
      <c r="M522" s="237"/>
      <c r="N522" s="237"/>
      <c r="O522" s="237"/>
      <c r="P522" s="237"/>
      <c r="Q522" s="237"/>
      <c r="R522" s="237"/>
      <c r="U522" s="204"/>
      <c r="V522" s="204"/>
      <c r="W522" s="204"/>
      <c r="X522" s="204"/>
    </row>
    <row r="523" customFormat="false" ht="12.75" hidden="false" customHeight="true" outlineLevel="0" collapsed="false">
      <c r="H523" s="236"/>
      <c r="I523" s="236"/>
      <c r="J523" s="236"/>
      <c r="L523" s="237"/>
      <c r="M523" s="237"/>
      <c r="N523" s="237"/>
      <c r="O523" s="237"/>
      <c r="P523" s="237"/>
      <c r="Q523" s="237"/>
      <c r="R523" s="237"/>
      <c r="U523" s="204"/>
      <c r="V523" s="204"/>
      <c r="W523" s="204"/>
      <c r="X523" s="204"/>
    </row>
    <row r="524" customFormat="false" ht="12.75" hidden="false" customHeight="true" outlineLevel="0" collapsed="false">
      <c r="H524" s="236"/>
      <c r="I524" s="236"/>
      <c r="J524" s="236"/>
      <c r="L524" s="237"/>
      <c r="M524" s="237"/>
      <c r="N524" s="237"/>
      <c r="O524" s="237"/>
      <c r="P524" s="237"/>
      <c r="Q524" s="237"/>
      <c r="R524" s="237"/>
      <c r="U524" s="204"/>
      <c r="V524" s="204"/>
      <c r="W524" s="204"/>
      <c r="X524" s="204"/>
    </row>
    <row r="525" customFormat="false" ht="12.75" hidden="false" customHeight="true" outlineLevel="0" collapsed="false">
      <c r="H525" s="236"/>
      <c r="I525" s="236"/>
      <c r="J525" s="236"/>
      <c r="L525" s="237"/>
      <c r="M525" s="237"/>
      <c r="N525" s="237"/>
      <c r="O525" s="237"/>
      <c r="P525" s="237"/>
      <c r="Q525" s="237"/>
      <c r="R525" s="237"/>
      <c r="U525" s="204"/>
      <c r="V525" s="204"/>
      <c r="W525" s="204"/>
      <c r="X525" s="204"/>
    </row>
    <row r="526" customFormat="false" ht="12.75" hidden="false" customHeight="true" outlineLevel="0" collapsed="false">
      <c r="H526" s="236"/>
      <c r="I526" s="236"/>
      <c r="J526" s="236"/>
      <c r="L526" s="237"/>
      <c r="M526" s="237"/>
      <c r="N526" s="237"/>
      <c r="O526" s="237"/>
      <c r="P526" s="237"/>
      <c r="Q526" s="237"/>
      <c r="R526" s="237"/>
      <c r="U526" s="204"/>
      <c r="V526" s="204"/>
      <c r="W526" s="204"/>
      <c r="X526" s="204"/>
    </row>
    <row r="527" customFormat="false" ht="12.75" hidden="false" customHeight="true" outlineLevel="0" collapsed="false">
      <c r="H527" s="236"/>
      <c r="I527" s="236"/>
      <c r="J527" s="236"/>
      <c r="L527" s="237"/>
      <c r="M527" s="237"/>
      <c r="N527" s="237"/>
      <c r="O527" s="237"/>
      <c r="P527" s="237"/>
      <c r="Q527" s="237"/>
      <c r="R527" s="237"/>
      <c r="U527" s="204"/>
      <c r="V527" s="204"/>
      <c r="W527" s="204"/>
      <c r="X527" s="204"/>
    </row>
    <row r="528" customFormat="false" ht="12.75" hidden="false" customHeight="true" outlineLevel="0" collapsed="false">
      <c r="H528" s="236"/>
      <c r="I528" s="236"/>
      <c r="J528" s="236"/>
      <c r="L528" s="237"/>
      <c r="M528" s="237"/>
      <c r="N528" s="237"/>
      <c r="O528" s="237"/>
      <c r="P528" s="237"/>
      <c r="Q528" s="237"/>
      <c r="R528" s="237"/>
      <c r="U528" s="204"/>
      <c r="V528" s="204"/>
      <c r="W528" s="204"/>
      <c r="X528" s="204"/>
    </row>
    <row r="529" customFormat="false" ht="12.75" hidden="false" customHeight="true" outlineLevel="0" collapsed="false">
      <c r="H529" s="236"/>
      <c r="I529" s="236"/>
      <c r="J529" s="236"/>
      <c r="L529" s="237"/>
      <c r="M529" s="237"/>
      <c r="N529" s="237"/>
      <c r="O529" s="237"/>
      <c r="P529" s="237"/>
      <c r="Q529" s="237"/>
      <c r="R529" s="237"/>
      <c r="U529" s="204"/>
      <c r="V529" s="204"/>
      <c r="W529" s="204"/>
      <c r="X529" s="204"/>
    </row>
    <row r="530" customFormat="false" ht="12.75" hidden="false" customHeight="true" outlineLevel="0" collapsed="false">
      <c r="H530" s="236"/>
      <c r="I530" s="236"/>
      <c r="J530" s="236"/>
      <c r="L530" s="237"/>
      <c r="M530" s="237"/>
      <c r="N530" s="237"/>
      <c r="O530" s="237"/>
      <c r="P530" s="237"/>
      <c r="Q530" s="237"/>
      <c r="R530" s="237"/>
      <c r="U530" s="204"/>
      <c r="V530" s="204"/>
      <c r="W530" s="204"/>
      <c r="X530" s="204"/>
    </row>
    <row r="531" customFormat="false" ht="12.75" hidden="false" customHeight="true" outlineLevel="0" collapsed="false">
      <c r="H531" s="236"/>
      <c r="I531" s="236"/>
      <c r="J531" s="236"/>
      <c r="L531" s="237"/>
      <c r="M531" s="237"/>
      <c r="N531" s="237"/>
      <c r="O531" s="237"/>
      <c r="P531" s="237"/>
      <c r="Q531" s="237"/>
      <c r="R531" s="237"/>
      <c r="U531" s="204"/>
      <c r="V531" s="204"/>
      <c r="W531" s="204"/>
      <c r="X531" s="204"/>
    </row>
    <row r="532" customFormat="false" ht="12.75" hidden="false" customHeight="true" outlineLevel="0" collapsed="false">
      <c r="H532" s="236"/>
      <c r="I532" s="236"/>
      <c r="J532" s="236"/>
      <c r="L532" s="237"/>
      <c r="M532" s="237"/>
      <c r="N532" s="237"/>
      <c r="O532" s="237"/>
      <c r="P532" s="237"/>
      <c r="Q532" s="237"/>
      <c r="R532" s="237"/>
      <c r="U532" s="204"/>
      <c r="V532" s="204"/>
      <c r="W532" s="204"/>
      <c r="X532" s="204"/>
    </row>
    <row r="533" customFormat="false" ht="12.75" hidden="false" customHeight="true" outlineLevel="0" collapsed="false">
      <c r="H533" s="236"/>
      <c r="I533" s="236"/>
      <c r="J533" s="236"/>
      <c r="L533" s="237"/>
      <c r="M533" s="237"/>
      <c r="N533" s="237"/>
      <c r="O533" s="237"/>
      <c r="P533" s="237"/>
      <c r="Q533" s="237"/>
      <c r="R533" s="237"/>
      <c r="U533" s="204"/>
      <c r="V533" s="204"/>
      <c r="W533" s="204"/>
      <c r="X533" s="204"/>
    </row>
    <row r="534" customFormat="false" ht="12.75" hidden="false" customHeight="true" outlineLevel="0" collapsed="false">
      <c r="H534" s="236"/>
      <c r="I534" s="236"/>
      <c r="J534" s="236"/>
      <c r="L534" s="237"/>
      <c r="M534" s="237"/>
      <c r="N534" s="237"/>
      <c r="O534" s="237"/>
      <c r="P534" s="237"/>
      <c r="Q534" s="237"/>
      <c r="R534" s="237"/>
      <c r="U534" s="204"/>
      <c r="V534" s="204"/>
      <c r="W534" s="204"/>
      <c r="X534" s="204"/>
    </row>
    <row r="535" customFormat="false" ht="12.75" hidden="false" customHeight="true" outlineLevel="0" collapsed="false">
      <c r="H535" s="236"/>
      <c r="I535" s="236"/>
      <c r="J535" s="236"/>
      <c r="L535" s="237"/>
      <c r="M535" s="237"/>
      <c r="N535" s="237"/>
      <c r="O535" s="237"/>
      <c r="P535" s="237"/>
      <c r="Q535" s="237"/>
      <c r="R535" s="237"/>
      <c r="U535" s="204"/>
      <c r="V535" s="204"/>
      <c r="W535" s="204"/>
      <c r="X535" s="204"/>
    </row>
    <row r="536" customFormat="false" ht="12.75" hidden="false" customHeight="true" outlineLevel="0" collapsed="false">
      <c r="H536" s="236"/>
      <c r="I536" s="236"/>
      <c r="J536" s="236"/>
      <c r="L536" s="237"/>
      <c r="M536" s="237"/>
      <c r="N536" s="237"/>
      <c r="O536" s="237"/>
      <c r="P536" s="237"/>
      <c r="Q536" s="237"/>
      <c r="R536" s="237"/>
      <c r="U536" s="204"/>
      <c r="V536" s="204"/>
      <c r="W536" s="204"/>
      <c r="X536" s="204"/>
    </row>
    <row r="537" customFormat="false" ht="12.75" hidden="false" customHeight="true" outlineLevel="0" collapsed="false">
      <c r="H537" s="236"/>
      <c r="I537" s="236"/>
      <c r="J537" s="236"/>
      <c r="L537" s="237"/>
      <c r="M537" s="237"/>
      <c r="N537" s="237"/>
      <c r="O537" s="237"/>
      <c r="P537" s="237"/>
      <c r="Q537" s="237"/>
      <c r="R537" s="237"/>
      <c r="U537" s="204"/>
      <c r="V537" s="204"/>
      <c r="W537" s="204"/>
      <c r="X537" s="204"/>
    </row>
    <row r="538" customFormat="false" ht="12.75" hidden="false" customHeight="true" outlineLevel="0" collapsed="false">
      <c r="H538" s="236"/>
      <c r="I538" s="236"/>
      <c r="J538" s="236"/>
      <c r="L538" s="237"/>
      <c r="M538" s="237"/>
      <c r="N538" s="237"/>
      <c r="O538" s="237"/>
      <c r="P538" s="237"/>
      <c r="Q538" s="237"/>
      <c r="R538" s="237"/>
      <c r="U538" s="204"/>
      <c r="V538" s="204"/>
      <c r="W538" s="204"/>
      <c r="X538" s="204"/>
    </row>
    <row r="539" customFormat="false" ht="12.75" hidden="false" customHeight="true" outlineLevel="0" collapsed="false">
      <c r="H539" s="236"/>
      <c r="I539" s="236"/>
      <c r="J539" s="236"/>
      <c r="L539" s="237"/>
      <c r="M539" s="237"/>
      <c r="N539" s="237"/>
      <c r="O539" s="237"/>
      <c r="P539" s="237"/>
      <c r="Q539" s="237"/>
      <c r="R539" s="237"/>
      <c r="U539" s="204"/>
      <c r="V539" s="204"/>
      <c r="W539" s="204"/>
      <c r="X539" s="204"/>
    </row>
    <row r="540" customFormat="false" ht="12.75" hidden="false" customHeight="true" outlineLevel="0" collapsed="false">
      <c r="H540" s="236"/>
      <c r="I540" s="236"/>
      <c r="J540" s="236"/>
      <c r="L540" s="237"/>
      <c r="M540" s="237"/>
      <c r="N540" s="237"/>
      <c r="O540" s="237"/>
      <c r="P540" s="237"/>
      <c r="Q540" s="237"/>
      <c r="R540" s="237"/>
      <c r="U540" s="204"/>
      <c r="V540" s="204"/>
      <c r="W540" s="204"/>
      <c r="X540" s="204"/>
    </row>
    <row r="541" customFormat="false" ht="12.75" hidden="false" customHeight="true" outlineLevel="0" collapsed="false">
      <c r="H541" s="236"/>
      <c r="I541" s="236"/>
      <c r="J541" s="236"/>
      <c r="L541" s="237"/>
      <c r="M541" s="237"/>
      <c r="N541" s="237"/>
      <c r="O541" s="237"/>
      <c r="P541" s="237"/>
      <c r="Q541" s="237"/>
      <c r="R541" s="237"/>
      <c r="U541" s="204"/>
      <c r="V541" s="204"/>
      <c r="W541" s="204"/>
      <c r="X541" s="204"/>
    </row>
    <row r="542" customFormat="false" ht="12.75" hidden="false" customHeight="true" outlineLevel="0" collapsed="false">
      <c r="H542" s="236"/>
      <c r="I542" s="236"/>
      <c r="J542" s="236"/>
      <c r="L542" s="237"/>
      <c r="M542" s="237"/>
      <c r="N542" s="237"/>
      <c r="O542" s="237"/>
      <c r="P542" s="237"/>
      <c r="Q542" s="237"/>
      <c r="R542" s="237"/>
      <c r="U542" s="204"/>
      <c r="V542" s="204"/>
      <c r="W542" s="204"/>
      <c r="X542" s="204"/>
    </row>
    <row r="543" customFormat="false" ht="12.75" hidden="false" customHeight="true" outlineLevel="0" collapsed="false">
      <c r="H543" s="236"/>
      <c r="I543" s="236"/>
      <c r="J543" s="236"/>
      <c r="L543" s="237"/>
      <c r="M543" s="237"/>
      <c r="N543" s="237"/>
      <c r="O543" s="237"/>
      <c r="P543" s="237"/>
      <c r="Q543" s="237"/>
      <c r="R543" s="237"/>
      <c r="U543" s="204"/>
      <c r="V543" s="204"/>
      <c r="W543" s="204"/>
      <c r="X543" s="204"/>
    </row>
    <row r="544" customFormat="false" ht="12.75" hidden="false" customHeight="true" outlineLevel="0" collapsed="false">
      <c r="H544" s="236"/>
      <c r="I544" s="236"/>
      <c r="J544" s="236"/>
      <c r="L544" s="237"/>
      <c r="M544" s="237"/>
      <c r="N544" s="237"/>
      <c r="O544" s="237"/>
      <c r="P544" s="237"/>
      <c r="Q544" s="237"/>
      <c r="R544" s="237"/>
      <c r="U544" s="204"/>
      <c r="V544" s="204"/>
      <c r="W544" s="204"/>
      <c r="X544" s="204"/>
    </row>
    <row r="545" customFormat="false" ht="12.75" hidden="false" customHeight="true" outlineLevel="0" collapsed="false">
      <c r="H545" s="236"/>
      <c r="I545" s="236"/>
      <c r="J545" s="236"/>
      <c r="L545" s="237"/>
      <c r="M545" s="237"/>
      <c r="N545" s="237"/>
      <c r="O545" s="237"/>
      <c r="P545" s="237"/>
      <c r="Q545" s="237"/>
      <c r="R545" s="237"/>
      <c r="U545" s="204"/>
      <c r="V545" s="204"/>
      <c r="W545" s="204"/>
      <c r="X545" s="204"/>
    </row>
    <row r="546" customFormat="false" ht="12.75" hidden="false" customHeight="true" outlineLevel="0" collapsed="false">
      <c r="H546" s="236"/>
      <c r="I546" s="236"/>
      <c r="J546" s="236"/>
      <c r="L546" s="237"/>
      <c r="M546" s="237"/>
      <c r="N546" s="237"/>
      <c r="O546" s="237"/>
      <c r="P546" s="237"/>
      <c r="Q546" s="237"/>
      <c r="R546" s="237"/>
      <c r="U546" s="204"/>
      <c r="V546" s="204"/>
      <c r="W546" s="204"/>
      <c r="X546" s="204"/>
    </row>
    <row r="547" customFormat="false" ht="12.75" hidden="false" customHeight="true" outlineLevel="0" collapsed="false">
      <c r="H547" s="236"/>
      <c r="I547" s="236"/>
      <c r="J547" s="236"/>
      <c r="L547" s="237"/>
      <c r="M547" s="237"/>
      <c r="N547" s="237"/>
      <c r="O547" s="237"/>
      <c r="P547" s="237"/>
      <c r="Q547" s="237"/>
      <c r="R547" s="237"/>
      <c r="U547" s="204"/>
      <c r="V547" s="204"/>
      <c r="W547" s="204"/>
      <c r="X547" s="204"/>
    </row>
    <row r="548" customFormat="false" ht="12.75" hidden="false" customHeight="true" outlineLevel="0" collapsed="false">
      <c r="H548" s="236"/>
      <c r="I548" s="236"/>
      <c r="J548" s="236"/>
      <c r="L548" s="237"/>
      <c r="M548" s="237"/>
      <c r="N548" s="237"/>
      <c r="O548" s="237"/>
      <c r="P548" s="237"/>
      <c r="Q548" s="237"/>
      <c r="R548" s="237"/>
      <c r="U548" s="204"/>
      <c r="V548" s="204"/>
      <c r="W548" s="204"/>
      <c r="X548" s="204"/>
    </row>
    <row r="549" customFormat="false" ht="12.75" hidden="false" customHeight="true" outlineLevel="0" collapsed="false">
      <c r="H549" s="236"/>
      <c r="I549" s="236"/>
      <c r="J549" s="236"/>
      <c r="L549" s="237"/>
      <c r="M549" s="237"/>
      <c r="N549" s="237"/>
      <c r="O549" s="237"/>
      <c r="P549" s="237"/>
      <c r="Q549" s="237"/>
      <c r="R549" s="237"/>
      <c r="U549" s="204"/>
      <c r="V549" s="204"/>
      <c r="W549" s="204"/>
      <c r="X549" s="204"/>
    </row>
    <row r="550" customFormat="false" ht="12.75" hidden="false" customHeight="true" outlineLevel="0" collapsed="false">
      <c r="H550" s="236"/>
      <c r="I550" s="236"/>
      <c r="J550" s="236"/>
      <c r="L550" s="237"/>
      <c r="M550" s="237"/>
      <c r="N550" s="237"/>
      <c r="O550" s="237"/>
      <c r="P550" s="237"/>
      <c r="Q550" s="237"/>
      <c r="R550" s="237"/>
      <c r="U550" s="204"/>
      <c r="V550" s="204"/>
      <c r="W550" s="204"/>
      <c r="X550" s="204"/>
    </row>
    <row r="551" customFormat="false" ht="12.75" hidden="false" customHeight="true" outlineLevel="0" collapsed="false">
      <c r="H551" s="236"/>
      <c r="I551" s="236"/>
      <c r="J551" s="236"/>
      <c r="L551" s="237"/>
      <c r="M551" s="237"/>
      <c r="N551" s="237"/>
      <c r="O551" s="237"/>
      <c r="P551" s="237"/>
      <c r="Q551" s="237"/>
      <c r="R551" s="237"/>
      <c r="U551" s="204"/>
      <c r="V551" s="204"/>
      <c r="W551" s="204"/>
      <c r="X551" s="204"/>
    </row>
    <row r="552" customFormat="false" ht="12.75" hidden="false" customHeight="true" outlineLevel="0" collapsed="false">
      <c r="H552" s="236"/>
      <c r="I552" s="236"/>
      <c r="J552" s="236"/>
      <c r="L552" s="237"/>
      <c r="M552" s="237"/>
      <c r="N552" s="237"/>
      <c r="O552" s="237"/>
      <c r="P552" s="237"/>
      <c r="Q552" s="237"/>
      <c r="R552" s="237"/>
      <c r="U552" s="204"/>
      <c r="V552" s="204"/>
      <c r="W552" s="204"/>
      <c r="X552" s="204"/>
    </row>
    <row r="553" customFormat="false" ht="12.75" hidden="false" customHeight="true" outlineLevel="0" collapsed="false">
      <c r="H553" s="236"/>
      <c r="I553" s="236"/>
      <c r="J553" s="236"/>
      <c r="L553" s="237"/>
      <c r="M553" s="237"/>
      <c r="N553" s="237"/>
      <c r="O553" s="237"/>
      <c r="P553" s="237"/>
      <c r="Q553" s="237"/>
      <c r="R553" s="237"/>
      <c r="U553" s="204"/>
      <c r="V553" s="204"/>
      <c r="W553" s="204"/>
      <c r="X553" s="204"/>
    </row>
    <row r="554" customFormat="false" ht="12.75" hidden="false" customHeight="true" outlineLevel="0" collapsed="false">
      <c r="H554" s="236"/>
      <c r="I554" s="236"/>
      <c r="J554" s="236"/>
      <c r="L554" s="237"/>
      <c r="M554" s="237"/>
      <c r="N554" s="237"/>
      <c r="O554" s="237"/>
      <c r="P554" s="237"/>
      <c r="Q554" s="237"/>
      <c r="R554" s="237"/>
      <c r="U554" s="204"/>
      <c r="V554" s="204"/>
      <c r="W554" s="204"/>
      <c r="X554" s="204"/>
    </row>
    <row r="555" customFormat="false" ht="12.75" hidden="false" customHeight="true" outlineLevel="0" collapsed="false">
      <c r="H555" s="236"/>
      <c r="I555" s="236"/>
      <c r="J555" s="236"/>
      <c r="L555" s="237"/>
      <c r="M555" s="237"/>
      <c r="N555" s="237"/>
      <c r="O555" s="237"/>
      <c r="P555" s="237"/>
      <c r="Q555" s="237"/>
      <c r="R555" s="237"/>
      <c r="U555" s="204"/>
      <c r="V555" s="204"/>
      <c r="W555" s="204"/>
      <c r="X555" s="204"/>
    </row>
    <row r="556" customFormat="false" ht="12.75" hidden="false" customHeight="true" outlineLevel="0" collapsed="false">
      <c r="H556" s="236"/>
      <c r="I556" s="236"/>
      <c r="J556" s="236"/>
      <c r="L556" s="237"/>
      <c r="M556" s="237"/>
      <c r="N556" s="237"/>
      <c r="O556" s="237"/>
      <c r="P556" s="237"/>
      <c r="Q556" s="237"/>
      <c r="R556" s="237"/>
      <c r="U556" s="204"/>
      <c r="V556" s="204"/>
      <c r="W556" s="204"/>
      <c r="X556" s="204"/>
    </row>
    <row r="557" customFormat="false" ht="12.75" hidden="false" customHeight="true" outlineLevel="0" collapsed="false">
      <c r="H557" s="236"/>
      <c r="I557" s="236"/>
      <c r="J557" s="236"/>
      <c r="L557" s="237"/>
      <c r="M557" s="237"/>
      <c r="N557" s="237"/>
      <c r="O557" s="237"/>
      <c r="P557" s="237"/>
      <c r="Q557" s="237"/>
      <c r="R557" s="237"/>
      <c r="U557" s="204"/>
      <c r="V557" s="204"/>
      <c r="W557" s="204"/>
      <c r="X557" s="204"/>
    </row>
    <row r="558" customFormat="false" ht="12.75" hidden="false" customHeight="true" outlineLevel="0" collapsed="false">
      <c r="H558" s="236"/>
      <c r="I558" s="236"/>
      <c r="J558" s="236"/>
      <c r="L558" s="237"/>
      <c r="M558" s="237"/>
      <c r="N558" s="237"/>
      <c r="O558" s="237"/>
      <c r="P558" s="237"/>
      <c r="Q558" s="237"/>
      <c r="R558" s="237"/>
      <c r="U558" s="204"/>
      <c r="V558" s="204"/>
      <c r="W558" s="204"/>
      <c r="X558" s="204"/>
    </row>
    <row r="559" customFormat="false" ht="12.75" hidden="false" customHeight="true" outlineLevel="0" collapsed="false">
      <c r="H559" s="236"/>
      <c r="I559" s="236"/>
      <c r="J559" s="236"/>
      <c r="L559" s="237"/>
      <c r="M559" s="237"/>
      <c r="N559" s="237"/>
      <c r="O559" s="237"/>
      <c r="P559" s="237"/>
      <c r="Q559" s="237"/>
      <c r="R559" s="237"/>
      <c r="U559" s="204"/>
      <c r="V559" s="204"/>
      <c r="W559" s="204"/>
      <c r="X559" s="204"/>
    </row>
    <row r="560" customFormat="false" ht="12.75" hidden="false" customHeight="true" outlineLevel="0" collapsed="false">
      <c r="H560" s="236"/>
      <c r="I560" s="236"/>
      <c r="J560" s="236"/>
      <c r="L560" s="237"/>
      <c r="M560" s="237"/>
      <c r="N560" s="237"/>
      <c r="O560" s="237"/>
      <c r="P560" s="237"/>
      <c r="Q560" s="237"/>
      <c r="R560" s="237"/>
      <c r="U560" s="204"/>
      <c r="V560" s="204"/>
      <c r="W560" s="204"/>
      <c r="X560" s="204"/>
    </row>
    <row r="561" customFormat="false" ht="12.75" hidden="false" customHeight="true" outlineLevel="0" collapsed="false">
      <c r="H561" s="236"/>
      <c r="I561" s="236"/>
      <c r="J561" s="236"/>
      <c r="L561" s="237"/>
      <c r="M561" s="237"/>
      <c r="N561" s="237"/>
      <c r="O561" s="237"/>
      <c r="P561" s="237"/>
      <c r="Q561" s="237"/>
      <c r="R561" s="237"/>
      <c r="U561" s="204"/>
      <c r="V561" s="204"/>
      <c r="W561" s="204"/>
      <c r="X561" s="204"/>
    </row>
    <row r="562" customFormat="false" ht="12.75" hidden="false" customHeight="true" outlineLevel="0" collapsed="false">
      <c r="H562" s="236"/>
      <c r="I562" s="236"/>
      <c r="J562" s="236"/>
      <c r="L562" s="237"/>
      <c r="M562" s="237"/>
      <c r="N562" s="237"/>
      <c r="O562" s="237"/>
      <c r="P562" s="237"/>
      <c r="Q562" s="237"/>
      <c r="R562" s="237"/>
      <c r="U562" s="204"/>
      <c r="V562" s="204"/>
      <c r="W562" s="204"/>
      <c r="X562" s="204"/>
    </row>
    <row r="563" customFormat="false" ht="12.75" hidden="false" customHeight="true" outlineLevel="0" collapsed="false">
      <c r="H563" s="236"/>
      <c r="I563" s="236"/>
      <c r="J563" s="236"/>
      <c r="L563" s="237"/>
      <c r="M563" s="237"/>
      <c r="N563" s="237"/>
      <c r="O563" s="237"/>
      <c r="P563" s="237"/>
      <c r="Q563" s="237"/>
      <c r="R563" s="237"/>
      <c r="U563" s="204"/>
      <c r="V563" s="204"/>
      <c r="W563" s="204"/>
      <c r="X563" s="204"/>
    </row>
    <row r="564" customFormat="false" ht="12.75" hidden="false" customHeight="true" outlineLevel="0" collapsed="false">
      <c r="H564" s="236"/>
      <c r="I564" s="236"/>
      <c r="J564" s="236"/>
      <c r="L564" s="237"/>
      <c r="M564" s="237"/>
      <c r="N564" s="237"/>
      <c r="O564" s="237"/>
      <c r="P564" s="237"/>
      <c r="Q564" s="237"/>
      <c r="R564" s="237"/>
      <c r="U564" s="204"/>
      <c r="V564" s="204"/>
      <c r="W564" s="204"/>
      <c r="X564" s="204"/>
    </row>
    <row r="565" customFormat="false" ht="12.75" hidden="false" customHeight="true" outlineLevel="0" collapsed="false">
      <c r="H565" s="236"/>
      <c r="I565" s="236"/>
      <c r="J565" s="236"/>
      <c r="L565" s="237"/>
      <c r="M565" s="237"/>
      <c r="N565" s="237"/>
      <c r="O565" s="237"/>
      <c r="P565" s="237"/>
      <c r="Q565" s="237"/>
      <c r="R565" s="237"/>
      <c r="U565" s="204"/>
      <c r="V565" s="204"/>
      <c r="W565" s="204"/>
      <c r="X565" s="204"/>
    </row>
    <row r="566" customFormat="false" ht="12.75" hidden="false" customHeight="true" outlineLevel="0" collapsed="false">
      <c r="H566" s="236"/>
      <c r="I566" s="236"/>
      <c r="J566" s="236"/>
      <c r="L566" s="237"/>
      <c r="M566" s="237"/>
      <c r="N566" s="237"/>
      <c r="O566" s="237"/>
      <c r="P566" s="237"/>
      <c r="Q566" s="237"/>
      <c r="R566" s="237"/>
      <c r="U566" s="204"/>
      <c r="V566" s="204"/>
      <c r="W566" s="204"/>
      <c r="X566" s="204"/>
    </row>
    <row r="567" customFormat="false" ht="12.75" hidden="false" customHeight="true" outlineLevel="0" collapsed="false">
      <c r="H567" s="236"/>
      <c r="I567" s="236"/>
      <c r="J567" s="236"/>
      <c r="L567" s="237"/>
      <c r="M567" s="237"/>
      <c r="N567" s="237"/>
      <c r="O567" s="237"/>
      <c r="P567" s="237"/>
      <c r="Q567" s="237"/>
      <c r="R567" s="237"/>
      <c r="U567" s="204"/>
      <c r="V567" s="204"/>
      <c r="W567" s="204"/>
      <c r="X567" s="204"/>
    </row>
    <row r="568" customFormat="false" ht="12.75" hidden="false" customHeight="true" outlineLevel="0" collapsed="false">
      <c r="H568" s="236"/>
      <c r="I568" s="236"/>
      <c r="J568" s="236"/>
      <c r="L568" s="237"/>
      <c r="M568" s="237"/>
      <c r="N568" s="237"/>
      <c r="O568" s="237"/>
      <c r="P568" s="237"/>
      <c r="Q568" s="237"/>
      <c r="R568" s="237"/>
      <c r="U568" s="204"/>
      <c r="V568" s="204"/>
      <c r="W568" s="204"/>
      <c r="X568" s="204"/>
    </row>
    <row r="569" customFormat="false" ht="12.75" hidden="false" customHeight="true" outlineLevel="0" collapsed="false">
      <c r="H569" s="236"/>
      <c r="I569" s="236"/>
      <c r="J569" s="236"/>
      <c r="L569" s="237"/>
      <c r="M569" s="237"/>
      <c r="N569" s="237"/>
      <c r="O569" s="237"/>
      <c r="P569" s="237"/>
      <c r="Q569" s="237"/>
      <c r="R569" s="237"/>
      <c r="U569" s="204"/>
      <c r="V569" s="204"/>
      <c r="W569" s="204"/>
      <c r="X569" s="204"/>
    </row>
    <row r="570" customFormat="false" ht="12.75" hidden="false" customHeight="true" outlineLevel="0" collapsed="false">
      <c r="H570" s="236"/>
      <c r="I570" s="236"/>
      <c r="J570" s="236"/>
      <c r="L570" s="237"/>
      <c r="M570" s="237"/>
      <c r="N570" s="237"/>
      <c r="O570" s="237"/>
      <c r="P570" s="237"/>
      <c r="Q570" s="237"/>
      <c r="R570" s="237"/>
      <c r="U570" s="204"/>
      <c r="V570" s="204"/>
      <c r="W570" s="204"/>
      <c r="X570" s="204"/>
    </row>
    <row r="571" customFormat="false" ht="12.75" hidden="false" customHeight="true" outlineLevel="0" collapsed="false">
      <c r="H571" s="236"/>
      <c r="I571" s="236"/>
      <c r="J571" s="236"/>
      <c r="L571" s="237"/>
      <c r="M571" s="237"/>
      <c r="N571" s="237"/>
      <c r="O571" s="237"/>
      <c r="P571" s="237"/>
      <c r="Q571" s="237"/>
      <c r="R571" s="237"/>
      <c r="U571" s="204"/>
      <c r="V571" s="204"/>
      <c r="W571" s="204"/>
      <c r="X571" s="204"/>
    </row>
    <row r="572" customFormat="false" ht="12.75" hidden="false" customHeight="true" outlineLevel="0" collapsed="false">
      <c r="H572" s="236"/>
      <c r="I572" s="236"/>
      <c r="J572" s="236"/>
      <c r="L572" s="237"/>
      <c r="M572" s="237"/>
      <c r="N572" s="237"/>
      <c r="O572" s="237"/>
      <c r="P572" s="237"/>
      <c r="Q572" s="237"/>
      <c r="R572" s="237"/>
      <c r="U572" s="204"/>
      <c r="V572" s="204"/>
      <c r="W572" s="204"/>
      <c r="X572" s="204"/>
    </row>
    <row r="573" customFormat="false" ht="12.75" hidden="false" customHeight="true" outlineLevel="0" collapsed="false">
      <c r="H573" s="236"/>
      <c r="I573" s="236"/>
      <c r="J573" s="236"/>
      <c r="L573" s="237"/>
      <c r="M573" s="237"/>
      <c r="N573" s="237"/>
      <c r="O573" s="237"/>
      <c r="P573" s="237"/>
      <c r="Q573" s="237"/>
      <c r="R573" s="237"/>
      <c r="U573" s="204"/>
      <c r="V573" s="204"/>
      <c r="W573" s="204"/>
      <c r="X573" s="204"/>
    </row>
    <row r="574" customFormat="false" ht="12.75" hidden="false" customHeight="true" outlineLevel="0" collapsed="false">
      <c r="H574" s="236"/>
      <c r="I574" s="236"/>
      <c r="J574" s="236"/>
      <c r="L574" s="237"/>
      <c r="M574" s="237"/>
      <c r="N574" s="237"/>
      <c r="O574" s="237"/>
      <c r="P574" s="237"/>
      <c r="Q574" s="237"/>
      <c r="R574" s="237"/>
      <c r="U574" s="204"/>
      <c r="V574" s="204"/>
      <c r="W574" s="204"/>
      <c r="X574" s="204"/>
    </row>
    <row r="575" customFormat="false" ht="12.75" hidden="false" customHeight="true" outlineLevel="0" collapsed="false">
      <c r="H575" s="236"/>
      <c r="I575" s="236"/>
      <c r="J575" s="236"/>
      <c r="L575" s="237"/>
      <c r="M575" s="237"/>
      <c r="N575" s="237"/>
      <c r="O575" s="237"/>
      <c r="P575" s="237"/>
      <c r="Q575" s="237"/>
      <c r="R575" s="237"/>
      <c r="U575" s="204"/>
      <c r="V575" s="204"/>
      <c r="W575" s="204"/>
      <c r="X575" s="204"/>
    </row>
    <row r="576" customFormat="false" ht="12.75" hidden="false" customHeight="true" outlineLevel="0" collapsed="false">
      <c r="H576" s="236"/>
      <c r="I576" s="236"/>
      <c r="J576" s="236"/>
      <c r="L576" s="237"/>
      <c r="M576" s="237"/>
      <c r="N576" s="237"/>
      <c r="O576" s="237"/>
      <c r="P576" s="237"/>
      <c r="Q576" s="237"/>
      <c r="R576" s="237"/>
      <c r="U576" s="204"/>
      <c r="V576" s="204"/>
      <c r="W576" s="204"/>
      <c r="X576" s="204"/>
    </row>
    <row r="577" customFormat="false" ht="12.75" hidden="false" customHeight="true" outlineLevel="0" collapsed="false">
      <c r="H577" s="236"/>
      <c r="I577" s="236"/>
      <c r="J577" s="236"/>
      <c r="L577" s="237"/>
      <c r="M577" s="237"/>
      <c r="N577" s="237"/>
      <c r="O577" s="237"/>
      <c r="P577" s="237"/>
      <c r="Q577" s="237"/>
      <c r="R577" s="237"/>
      <c r="U577" s="204"/>
      <c r="V577" s="204"/>
      <c r="W577" s="204"/>
      <c r="X577" s="204"/>
    </row>
    <row r="578" customFormat="false" ht="12.75" hidden="false" customHeight="true" outlineLevel="0" collapsed="false">
      <c r="H578" s="236"/>
      <c r="I578" s="236"/>
      <c r="J578" s="236"/>
      <c r="L578" s="237"/>
      <c r="M578" s="237"/>
      <c r="N578" s="237"/>
      <c r="O578" s="237"/>
      <c r="P578" s="237"/>
      <c r="Q578" s="237"/>
      <c r="R578" s="237"/>
      <c r="U578" s="204"/>
      <c r="V578" s="204"/>
      <c r="W578" s="204"/>
      <c r="X578" s="204"/>
    </row>
    <row r="579" customFormat="false" ht="12.75" hidden="false" customHeight="true" outlineLevel="0" collapsed="false">
      <c r="H579" s="236"/>
      <c r="I579" s="236"/>
      <c r="J579" s="236"/>
      <c r="L579" s="237"/>
      <c r="M579" s="237"/>
      <c r="N579" s="237"/>
      <c r="O579" s="237"/>
      <c r="P579" s="237"/>
      <c r="Q579" s="237"/>
      <c r="R579" s="237"/>
      <c r="U579" s="204"/>
      <c r="V579" s="204"/>
      <c r="W579" s="204"/>
      <c r="X579" s="204"/>
    </row>
    <row r="580" customFormat="false" ht="12.75" hidden="false" customHeight="true" outlineLevel="0" collapsed="false">
      <c r="H580" s="236"/>
      <c r="I580" s="236"/>
      <c r="J580" s="236"/>
      <c r="L580" s="237"/>
      <c r="M580" s="237"/>
      <c r="N580" s="237"/>
      <c r="O580" s="237"/>
      <c r="P580" s="237"/>
      <c r="Q580" s="237"/>
      <c r="R580" s="237"/>
      <c r="U580" s="204"/>
      <c r="V580" s="204"/>
      <c r="W580" s="204"/>
      <c r="X580" s="204"/>
    </row>
    <row r="581" customFormat="false" ht="12.75" hidden="false" customHeight="true" outlineLevel="0" collapsed="false">
      <c r="H581" s="236"/>
      <c r="I581" s="236"/>
      <c r="J581" s="236"/>
      <c r="L581" s="237"/>
      <c r="M581" s="237"/>
      <c r="N581" s="237"/>
      <c r="O581" s="237"/>
      <c r="P581" s="237"/>
      <c r="Q581" s="237"/>
      <c r="R581" s="237"/>
      <c r="U581" s="204"/>
      <c r="V581" s="204"/>
      <c r="W581" s="204"/>
      <c r="X581" s="204"/>
    </row>
    <row r="582" customFormat="false" ht="12.75" hidden="false" customHeight="true" outlineLevel="0" collapsed="false">
      <c r="H582" s="236"/>
      <c r="I582" s="236"/>
      <c r="J582" s="236"/>
      <c r="L582" s="237"/>
      <c r="M582" s="237"/>
      <c r="N582" s="237"/>
      <c r="O582" s="237"/>
      <c r="P582" s="237"/>
      <c r="Q582" s="237"/>
      <c r="R582" s="237"/>
      <c r="U582" s="204"/>
      <c r="V582" s="204"/>
      <c r="W582" s="204"/>
      <c r="X582" s="204"/>
    </row>
    <row r="583" customFormat="false" ht="12.75" hidden="false" customHeight="true" outlineLevel="0" collapsed="false">
      <c r="H583" s="236"/>
      <c r="I583" s="236"/>
      <c r="J583" s="236"/>
      <c r="L583" s="237"/>
      <c r="M583" s="237"/>
      <c r="N583" s="237"/>
      <c r="O583" s="237"/>
      <c r="P583" s="237"/>
      <c r="Q583" s="237"/>
      <c r="R583" s="237"/>
      <c r="U583" s="204"/>
      <c r="V583" s="204"/>
      <c r="W583" s="204"/>
      <c r="X583" s="204"/>
    </row>
    <row r="584" customFormat="false" ht="12.75" hidden="false" customHeight="true" outlineLevel="0" collapsed="false">
      <c r="H584" s="236"/>
      <c r="I584" s="236"/>
      <c r="J584" s="236"/>
      <c r="L584" s="237"/>
      <c r="M584" s="237"/>
      <c r="N584" s="237"/>
      <c r="O584" s="237"/>
      <c r="P584" s="237"/>
      <c r="Q584" s="237"/>
      <c r="R584" s="237"/>
      <c r="U584" s="204"/>
      <c r="V584" s="204"/>
      <c r="W584" s="204"/>
      <c r="X584" s="204"/>
    </row>
    <row r="585" customFormat="false" ht="12.75" hidden="false" customHeight="true" outlineLevel="0" collapsed="false">
      <c r="H585" s="236"/>
      <c r="I585" s="236"/>
      <c r="J585" s="236"/>
      <c r="L585" s="237"/>
      <c r="M585" s="237"/>
      <c r="N585" s="237"/>
      <c r="O585" s="237"/>
      <c r="P585" s="237"/>
      <c r="Q585" s="237"/>
      <c r="R585" s="237"/>
      <c r="U585" s="204"/>
      <c r="V585" s="204"/>
      <c r="W585" s="204"/>
      <c r="X585" s="204"/>
    </row>
    <row r="586" customFormat="false" ht="12.75" hidden="false" customHeight="true" outlineLevel="0" collapsed="false">
      <c r="H586" s="236"/>
      <c r="I586" s="236"/>
      <c r="J586" s="236"/>
      <c r="L586" s="237"/>
      <c r="M586" s="237"/>
      <c r="N586" s="237"/>
      <c r="O586" s="237"/>
      <c r="P586" s="237"/>
      <c r="Q586" s="237"/>
      <c r="R586" s="237"/>
      <c r="U586" s="204"/>
      <c r="V586" s="204"/>
      <c r="W586" s="204"/>
      <c r="X586" s="204"/>
    </row>
    <row r="587" customFormat="false" ht="12.75" hidden="false" customHeight="true" outlineLevel="0" collapsed="false">
      <c r="H587" s="236"/>
      <c r="I587" s="236"/>
      <c r="J587" s="236"/>
      <c r="L587" s="237"/>
      <c r="M587" s="237"/>
      <c r="N587" s="237"/>
      <c r="O587" s="237"/>
      <c r="P587" s="237"/>
      <c r="Q587" s="237"/>
      <c r="R587" s="237"/>
      <c r="U587" s="204"/>
      <c r="V587" s="204"/>
      <c r="W587" s="204"/>
      <c r="X587" s="204"/>
    </row>
    <row r="588" customFormat="false" ht="12.75" hidden="false" customHeight="true" outlineLevel="0" collapsed="false">
      <c r="H588" s="236"/>
      <c r="I588" s="236"/>
      <c r="J588" s="236"/>
      <c r="L588" s="237"/>
      <c r="M588" s="237"/>
      <c r="N588" s="237"/>
      <c r="O588" s="237"/>
      <c r="P588" s="237"/>
      <c r="Q588" s="237"/>
      <c r="R588" s="237"/>
      <c r="U588" s="204"/>
      <c r="V588" s="204"/>
      <c r="W588" s="204"/>
      <c r="X588" s="204"/>
    </row>
    <row r="589" customFormat="false" ht="12.75" hidden="false" customHeight="true" outlineLevel="0" collapsed="false">
      <c r="H589" s="236"/>
      <c r="I589" s="236"/>
      <c r="J589" s="236"/>
      <c r="L589" s="237"/>
      <c r="M589" s="237"/>
      <c r="N589" s="237"/>
      <c r="O589" s="237"/>
      <c r="P589" s="237"/>
      <c r="Q589" s="237"/>
      <c r="R589" s="237"/>
      <c r="U589" s="204"/>
      <c r="V589" s="204"/>
      <c r="W589" s="204"/>
      <c r="X589" s="204"/>
    </row>
    <row r="590" customFormat="false" ht="12.75" hidden="false" customHeight="true" outlineLevel="0" collapsed="false">
      <c r="H590" s="236"/>
      <c r="I590" s="236"/>
      <c r="J590" s="236"/>
      <c r="L590" s="237"/>
      <c r="M590" s="237"/>
      <c r="N590" s="237"/>
      <c r="O590" s="237"/>
      <c r="P590" s="237"/>
      <c r="Q590" s="237"/>
      <c r="R590" s="237"/>
      <c r="U590" s="204"/>
      <c r="V590" s="204"/>
      <c r="W590" s="204"/>
      <c r="X590" s="204"/>
    </row>
    <row r="591" customFormat="false" ht="12.75" hidden="false" customHeight="true" outlineLevel="0" collapsed="false">
      <c r="H591" s="236"/>
      <c r="I591" s="236"/>
      <c r="J591" s="236"/>
      <c r="L591" s="237"/>
      <c r="M591" s="237"/>
      <c r="N591" s="237"/>
      <c r="O591" s="237"/>
      <c r="P591" s="237"/>
      <c r="Q591" s="237"/>
      <c r="R591" s="237"/>
      <c r="U591" s="204"/>
      <c r="V591" s="204"/>
      <c r="W591" s="204"/>
      <c r="X591" s="204"/>
    </row>
    <row r="592" customFormat="false" ht="12.75" hidden="false" customHeight="true" outlineLevel="0" collapsed="false">
      <c r="H592" s="236"/>
      <c r="I592" s="236"/>
      <c r="J592" s="236"/>
      <c r="L592" s="237"/>
      <c r="M592" s="237"/>
      <c r="N592" s="237"/>
      <c r="O592" s="237"/>
      <c r="P592" s="237"/>
      <c r="Q592" s="237"/>
      <c r="R592" s="237"/>
      <c r="U592" s="204"/>
      <c r="V592" s="204"/>
      <c r="W592" s="204"/>
      <c r="X592" s="204"/>
    </row>
    <row r="593" customFormat="false" ht="12.75" hidden="false" customHeight="true" outlineLevel="0" collapsed="false">
      <c r="H593" s="236"/>
      <c r="I593" s="236"/>
      <c r="J593" s="236"/>
      <c r="L593" s="237"/>
      <c r="M593" s="237"/>
      <c r="N593" s="237"/>
      <c r="O593" s="237"/>
      <c r="P593" s="237"/>
      <c r="Q593" s="237"/>
      <c r="R593" s="237"/>
      <c r="U593" s="204"/>
      <c r="V593" s="204"/>
      <c r="W593" s="204"/>
      <c r="X593" s="204"/>
    </row>
    <row r="594" customFormat="false" ht="12.75" hidden="false" customHeight="true" outlineLevel="0" collapsed="false">
      <c r="H594" s="236"/>
      <c r="I594" s="236"/>
      <c r="J594" s="236"/>
      <c r="L594" s="237"/>
      <c r="M594" s="237"/>
      <c r="N594" s="237"/>
      <c r="O594" s="237"/>
      <c r="P594" s="237"/>
      <c r="Q594" s="237"/>
      <c r="R594" s="237"/>
      <c r="U594" s="204"/>
      <c r="V594" s="204"/>
      <c r="W594" s="204"/>
      <c r="X594" s="204"/>
    </row>
    <row r="595" customFormat="false" ht="12.75" hidden="false" customHeight="true" outlineLevel="0" collapsed="false">
      <c r="H595" s="236"/>
      <c r="I595" s="236"/>
      <c r="J595" s="236"/>
      <c r="L595" s="237"/>
      <c r="M595" s="237"/>
      <c r="N595" s="237"/>
      <c r="O595" s="237"/>
      <c r="P595" s="237"/>
      <c r="Q595" s="237"/>
      <c r="R595" s="237"/>
      <c r="U595" s="204"/>
      <c r="V595" s="204"/>
      <c r="W595" s="204"/>
      <c r="X595" s="204"/>
    </row>
    <row r="596" customFormat="false" ht="12.75" hidden="false" customHeight="true" outlineLevel="0" collapsed="false">
      <c r="H596" s="236"/>
      <c r="I596" s="236"/>
      <c r="J596" s="236"/>
      <c r="L596" s="237"/>
      <c r="M596" s="237"/>
      <c r="N596" s="237"/>
      <c r="O596" s="237"/>
      <c r="P596" s="237"/>
      <c r="Q596" s="237"/>
      <c r="R596" s="237"/>
      <c r="U596" s="204"/>
      <c r="V596" s="204"/>
      <c r="W596" s="204"/>
      <c r="X596" s="204"/>
    </row>
    <row r="597" customFormat="false" ht="12.75" hidden="false" customHeight="true" outlineLevel="0" collapsed="false">
      <c r="H597" s="236"/>
      <c r="I597" s="236"/>
      <c r="J597" s="236"/>
      <c r="L597" s="237"/>
      <c r="M597" s="237"/>
      <c r="N597" s="237"/>
      <c r="O597" s="237"/>
      <c r="P597" s="237"/>
      <c r="Q597" s="237"/>
      <c r="R597" s="237"/>
      <c r="U597" s="204"/>
      <c r="V597" s="204"/>
      <c r="W597" s="204"/>
      <c r="X597" s="204"/>
    </row>
    <row r="598" customFormat="false" ht="12.75" hidden="false" customHeight="true" outlineLevel="0" collapsed="false">
      <c r="H598" s="236"/>
      <c r="I598" s="236"/>
      <c r="J598" s="236"/>
      <c r="L598" s="237"/>
      <c r="M598" s="237"/>
      <c r="N598" s="237"/>
      <c r="O598" s="237"/>
      <c r="P598" s="237"/>
      <c r="Q598" s="237"/>
      <c r="R598" s="237"/>
      <c r="U598" s="204"/>
      <c r="V598" s="204"/>
      <c r="W598" s="204"/>
      <c r="X598" s="204"/>
    </row>
    <row r="599" customFormat="false" ht="12.75" hidden="false" customHeight="true" outlineLevel="0" collapsed="false">
      <c r="H599" s="236"/>
      <c r="I599" s="236"/>
      <c r="J599" s="236"/>
      <c r="L599" s="237"/>
      <c r="M599" s="237"/>
      <c r="N599" s="237"/>
      <c r="O599" s="237"/>
      <c r="P599" s="237"/>
      <c r="Q599" s="237"/>
      <c r="R599" s="237"/>
      <c r="U599" s="204"/>
      <c r="V599" s="204"/>
      <c r="W599" s="204"/>
      <c r="X599" s="204"/>
    </row>
    <row r="600" customFormat="false" ht="12.75" hidden="false" customHeight="true" outlineLevel="0" collapsed="false">
      <c r="H600" s="236"/>
      <c r="I600" s="236"/>
      <c r="J600" s="236"/>
      <c r="L600" s="237"/>
      <c r="M600" s="237"/>
      <c r="N600" s="237"/>
      <c r="O600" s="237"/>
      <c r="P600" s="237"/>
      <c r="Q600" s="237"/>
      <c r="R600" s="237"/>
      <c r="U600" s="204"/>
      <c r="V600" s="204"/>
      <c r="W600" s="204"/>
      <c r="X600" s="204"/>
    </row>
    <row r="601" customFormat="false" ht="12.75" hidden="false" customHeight="true" outlineLevel="0" collapsed="false">
      <c r="H601" s="236"/>
      <c r="I601" s="236"/>
      <c r="J601" s="236"/>
      <c r="L601" s="237"/>
      <c r="M601" s="237"/>
      <c r="N601" s="237"/>
      <c r="O601" s="237"/>
      <c r="P601" s="237"/>
      <c r="Q601" s="237"/>
      <c r="R601" s="237"/>
      <c r="U601" s="204"/>
      <c r="V601" s="204"/>
      <c r="W601" s="204"/>
      <c r="X601" s="204"/>
    </row>
    <row r="602" customFormat="false" ht="12.75" hidden="false" customHeight="true" outlineLevel="0" collapsed="false">
      <c r="H602" s="236"/>
      <c r="I602" s="236"/>
      <c r="J602" s="236"/>
      <c r="L602" s="237"/>
      <c r="M602" s="237"/>
      <c r="N602" s="237"/>
      <c r="O602" s="237"/>
      <c r="P602" s="237"/>
      <c r="Q602" s="237"/>
      <c r="R602" s="237"/>
      <c r="U602" s="204"/>
      <c r="V602" s="204"/>
      <c r="W602" s="204"/>
      <c r="X602" s="204"/>
    </row>
    <row r="603" customFormat="false" ht="12.75" hidden="false" customHeight="true" outlineLevel="0" collapsed="false">
      <c r="H603" s="236"/>
      <c r="I603" s="236"/>
      <c r="J603" s="236"/>
      <c r="L603" s="237"/>
      <c r="M603" s="237"/>
      <c r="N603" s="237"/>
      <c r="O603" s="237"/>
      <c r="P603" s="237"/>
      <c r="Q603" s="237"/>
      <c r="R603" s="237"/>
      <c r="U603" s="204"/>
      <c r="V603" s="204"/>
      <c r="W603" s="204"/>
      <c r="X603" s="204"/>
    </row>
    <row r="604" customFormat="false" ht="12.75" hidden="false" customHeight="true" outlineLevel="0" collapsed="false">
      <c r="H604" s="236"/>
      <c r="I604" s="236"/>
      <c r="J604" s="236"/>
      <c r="L604" s="237"/>
      <c r="M604" s="237"/>
      <c r="N604" s="237"/>
      <c r="O604" s="237"/>
      <c r="P604" s="237"/>
      <c r="Q604" s="237"/>
      <c r="R604" s="237"/>
      <c r="U604" s="204"/>
      <c r="V604" s="204"/>
      <c r="W604" s="204"/>
      <c r="X604" s="204"/>
    </row>
    <row r="605" customFormat="false" ht="12.75" hidden="false" customHeight="true" outlineLevel="0" collapsed="false">
      <c r="H605" s="236"/>
      <c r="I605" s="236"/>
      <c r="J605" s="236"/>
      <c r="L605" s="237"/>
      <c r="M605" s="237"/>
      <c r="N605" s="237"/>
      <c r="O605" s="237"/>
      <c r="P605" s="237"/>
      <c r="Q605" s="237"/>
      <c r="R605" s="237"/>
      <c r="U605" s="204"/>
      <c r="V605" s="204"/>
      <c r="W605" s="204"/>
      <c r="X605" s="204"/>
    </row>
    <row r="606" customFormat="false" ht="12.75" hidden="false" customHeight="true" outlineLevel="0" collapsed="false">
      <c r="H606" s="236"/>
      <c r="I606" s="236"/>
      <c r="J606" s="236"/>
      <c r="L606" s="237"/>
      <c r="M606" s="237"/>
      <c r="N606" s="237"/>
      <c r="O606" s="237"/>
      <c r="P606" s="237"/>
      <c r="Q606" s="237"/>
      <c r="R606" s="237"/>
      <c r="U606" s="204"/>
      <c r="V606" s="204"/>
      <c r="W606" s="204"/>
      <c r="X606" s="204"/>
    </row>
    <row r="607" customFormat="false" ht="12.75" hidden="false" customHeight="true" outlineLevel="0" collapsed="false">
      <c r="H607" s="236"/>
      <c r="I607" s="236"/>
      <c r="J607" s="236"/>
      <c r="L607" s="237"/>
      <c r="M607" s="237"/>
      <c r="N607" s="237"/>
      <c r="O607" s="237"/>
      <c r="P607" s="237"/>
      <c r="Q607" s="237"/>
      <c r="R607" s="237"/>
      <c r="U607" s="204"/>
      <c r="V607" s="204"/>
      <c r="W607" s="204"/>
      <c r="X607" s="204"/>
    </row>
    <row r="608" customFormat="false" ht="12.75" hidden="false" customHeight="true" outlineLevel="0" collapsed="false">
      <c r="H608" s="236"/>
      <c r="I608" s="236"/>
      <c r="J608" s="236"/>
      <c r="L608" s="237"/>
      <c r="M608" s="237"/>
      <c r="N608" s="237"/>
      <c r="O608" s="237"/>
      <c r="P608" s="237"/>
      <c r="Q608" s="237"/>
      <c r="R608" s="237"/>
      <c r="U608" s="204"/>
      <c r="V608" s="204"/>
      <c r="W608" s="204"/>
      <c r="X608" s="204"/>
    </row>
    <row r="609" customFormat="false" ht="12.75" hidden="false" customHeight="true" outlineLevel="0" collapsed="false">
      <c r="H609" s="236"/>
      <c r="I609" s="236"/>
      <c r="J609" s="236"/>
      <c r="L609" s="237"/>
      <c r="M609" s="237"/>
      <c r="N609" s="237"/>
      <c r="O609" s="237"/>
      <c r="P609" s="237"/>
      <c r="Q609" s="237"/>
      <c r="R609" s="237"/>
      <c r="U609" s="204"/>
      <c r="V609" s="204"/>
      <c r="W609" s="204"/>
      <c r="X609" s="204"/>
    </row>
    <row r="610" customFormat="false" ht="12.75" hidden="false" customHeight="true" outlineLevel="0" collapsed="false">
      <c r="H610" s="236"/>
      <c r="I610" s="236"/>
      <c r="J610" s="236"/>
      <c r="L610" s="237"/>
      <c r="M610" s="237"/>
      <c r="N610" s="237"/>
      <c r="O610" s="237"/>
      <c r="P610" s="237"/>
      <c r="Q610" s="237"/>
      <c r="R610" s="237"/>
      <c r="U610" s="204"/>
      <c r="V610" s="204"/>
      <c r="W610" s="204"/>
      <c r="X610" s="204"/>
    </row>
    <row r="611" customFormat="false" ht="12.75" hidden="false" customHeight="true" outlineLevel="0" collapsed="false">
      <c r="H611" s="236"/>
      <c r="I611" s="236"/>
      <c r="J611" s="236"/>
      <c r="L611" s="237"/>
      <c r="M611" s="237"/>
      <c r="N611" s="237"/>
      <c r="O611" s="237"/>
      <c r="P611" s="237"/>
      <c r="Q611" s="237"/>
      <c r="R611" s="237"/>
      <c r="U611" s="204"/>
      <c r="V611" s="204"/>
      <c r="W611" s="204"/>
      <c r="X611" s="204"/>
    </row>
    <row r="612" customFormat="false" ht="12.75" hidden="false" customHeight="true" outlineLevel="0" collapsed="false">
      <c r="H612" s="236"/>
      <c r="I612" s="236"/>
      <c r="J612" s="236"/>
      <c r="L612" s="237"/>
      <c r="M612" s="237"/>
      <c r="N612" s="237"/>
      <c r="O612" s="237"/>
      <c r="P612" s="237"/>
      <c r="Q612" s="237"/>
      <c r="R612" s="237"/>
      <c r="U612" s="204"/>
      <c r="V612" s="204"/>
      <c r="W612" s="204"/>
      <c r="X612" s="204"/>
    </row>
    <row r="613" customFormat="false" ht="12.75" hidden="false" customHeight="true" outlineLevel="0" collapsed="false">
      <c r="H613" s="236"/>
      <c r="I613" s="236"/>
      <c r="J613" s="236"/>
      <c r="L613" s="237"/>
      <c r="M613" s="237"/>
      <c r="N613" s="237"/>
      <c r="O613" s="237"/>
      <c r="P613" s="237"/>
      <c r="Q613" s="237"/>
      <c r="R613" s="237"/>
      <c r="U613" s="204"/>
      <c r="V613" s="204"/>
      <c r="W613" s="204"/>
      <c r="X613" s="204"/>
    </row>
    <row r="614" customFormat="false" ht="12.75" hidden="false" customHeight="true" outlineLevel="0" collapsed="false">
      <c r="H614" s="236"/>
      <c r="I614" s="236"/>
      <c r="J614" s="236"/>
      <c r="L614" s="237"/>
      <c r="M614" s="237"/>
      <c r="N614" s="237"/>
      <c r="O614" s="237"/>
      <c r="P614" s="237"/>
      <c r="Q614" s="237"/>
      <c r="R614" s="237"/>
      <c r="U614" s="204"/>
      <c r="V614" s="204"/>
      <c r="W614" s="204"/>
      <c r="X614" s="204"/>
    </row>
    <row r="615" customFormat="false" ht="12.75" hidden="false" customHeight="true" outlineLevel="0" collapsed="false">
      <c r="H615" s="236"/>
      <c r="I615" s="236"/>
      <c r="J615" s="236"/>
      <c r="L615" s="237"/>
      <c r="M615" s="237"/>
      <c r="N615" s="237"/>
      <c r="O615" s="237"/>
      <c r="P615" s="237"/>
      <c r="Q615" s="237"/>
      <c r="R615" s="237"/>
      <c r="U615" s="204"/>
      <c r="V615" s="204"/>
      <c r="W615" s="204"/>
      <c r="X615" s="204"/>
    </row>
    <row r="616" customFormat="false" ht="12.75" hidden="false" customHeight="true" outlineLevel="0" collapsed="false">
      <c r="H616" s="236"/>
      <c r="I616" s="236"/>
      <c r="J616" s="236"/>
      <c r="L616" s="237"/>
      <c r="M616" s="237"/>
      <c r="N616" s="237"/>
      <c r="O616" s="237"/>
      <c r="P616" s="237"/>
      <c r="Q616" s="237"/>
      <c r="R616" s="237"/>
      <c r="U616" s="204"/>
      <c r="V616" s="204"/>
      <c r="W616" s="204"/>
      <c r="X616" s="204"/>
    </row>
    <row r="617" customFormat="false" ht="12.75" hidden="false" customHeight="true" outlineLevel="0" collapsed="false">
      <c r="H617" s="236"/>
      <c r="I617" s="236"/>
      <c r="J617" s="236"/>
      <c r="L617" s="237"/>
      <c r="M617" s="237"/>
      <c r="N617" s="237"/>
      <c r="O617" s="237"/>
      <c r="P617" s="237"/>
      <c r="Q617" s="237"/>
      <c r="R617" s="237"/>
      <c r="U617" s="204"/>
      <c r="V617" s="204"/>
      <c r="W617" s="204"/>
      <c r="X617" s="204"/>
    </row>
    <row r="618" customFormat="false" ht="12.75" hidden="false" customHeight="true" outlineLevel="0" collapsed="false">
      <c r="H618" s="236"/>
      <c r="I618" s="236"/>
      <c r="J618" s="236"/>
      <c r="L618" s="237"/>
      <c r="M618" s="237"/>
      <c r="N618" s="237"/>
      <c r="O618" s="237"/>
      <c r="P618" s="237"/>
      <c r="Q618" s="237"/>
      <c r="R618" s="237"/>
      <c r="U618" s="204"/>
      <c r="V618" s="204"/>
      <c r="W618" s="204"/>
      <c r="X618" s="204"/>
    </row>
    <row r="619" customFormat="false" ht="12.75" hidden="false" customHeight="true" outlineLevel="0" collapsed="false">
      <c r="H619" s="236"/>
      <c r="I619" s="236"/>
      <c r="J619" s="236"/>
      <c r="L619" s="237"/>
      <c r="M619" s="237"/>
      <c r="N619" s="237"/>
      <c r="O619" s="237"/>
      <c r="P619" s="237"/>
      <c r="Q619" s="237"/>
      <c r="R619" s="237"/>
      <c r="U619" s="204"/>
      <c r="V619" s="204"/>
      <c r="W619" s="204"/>
      <c r="X619" s="204"/>
    </row>
    <row r="620" customFormat="false" ht="12.75" hidden="false" customHeight="true" outlineLevel="0" collapsed="false">
      <c r="H620" s="236"/>
      <c r="I620" s="236"/>
      <c r="J620" s="236"/>
      <c r="L620" s="237"/>
      <c r="M620" s="237"/>
      <c r="N620" s="237"/>
      <c r="O620" s="237"/>
      <c r="P620" s="237"/>
      <c r="Q620" s="237"/>
      <c r="R620" s="237"/>
      <c r="U620" s="204"/>
      <c r="V620" s="204"/>
      <c r="W620" s="204"/>
      <c r="X620" s="204"/>
    </row>
    <row r="621" customFormat="false" ht="12.75" hidden="false" customHeight="true" outlineLevel="0" collapsed="false">
      <c r="H621" s="236"/>
      <c r="I621" s="236"/>
      <c r="J621" s="236"/>
      <c r="L621" s="237"/>
      <c r="M621" s="237"/>
      <c r="N621" s="237"/>
      <c r="O621" s="237"/>
      <c r="P621" s="237"/>
      <c r="Q621" s="237"/>
      <c r="R621" s="237"/>
      <c r="U621" s="204"/>
      <c r="V621" s="204"/>
      <c r="W621" s="204"/>
      <c r="X621" s="204"/>
    </row>
    <row r="622" customFormat="false" ht="12.75" hidden="false" customHeight="true" outlineLevel="0" collapsed="false">
      <c r="H622" s="236"/>
      <c r="I622" s="236"/>
      <c r="J622" s="236"/>
      <c r="L622" s="237"/>
      <c r="M622" s="237"/>
      <c r="N622" s="237"/>
      <c r="O622" s="237"/>
      <c r="P622" s="237"/>
      <c r="Q622" s="237"/>
      <c r="R622" s="237"/>
      <c r="U622" s="204"/>
      <c r="V622" s="204"/>
      <c r="W622" s="204"/>
      <c r="X622" s="204"/>
    </row>
    <row r="623" customFormat="false" ht="12.75" hidden="false" customHeight="true" outlineLevel="0" collapsed="false">
      <c r="H623" s="236"/>
      <c r="I623" s="236"/>
      <c r="J623" s="236"/>
      <c r="L623" s="237"/>
      <c r="M623" s="237"/>
      <c r="N623" s="237"/>
      <c r="O623" s="237"/>
      <c r="P623" s="237"/>
      <c r="Q623" s="237"/>
      <c r="R623" s="237"/>
      <c r="U623" s="204"/>
      <c r="V623" s="204"/>
      <c r="W623" s="204"/>
      <c r="X623" s="204"/>
    </row>
    <row r="624" customFormat="false" ht="12.75" hidden="false" customHeight="true" outlineLevel="0" collapsed="false">
      <c r="H624" s="236"/>
      <c r="I624" s="236"/>
      <c r="J624" s="236"/>
      <c r="L624" s="237"/>
      <c r="M624" s="237"/>
      <c r="N624" s="237"/>
      <c r="O624" s="237"/>
      <c r="P624" s="237"/>
      <c r="Q624" s="237"/>
      <c r="R624" s="237"/>
      <c r="U624" s="204"/>
      <c r="V624" s="204"/>
      <c r="W624" s="204"/>
      <c r="X624" s="204"/>
    </row>
    <row r="625" customFormat="false" ht="12.75" hidden="false" customHeight="true" outlineLevel="0" collapsed="false">
      <c r="H625" s="236"/>
      <c r="I625" s="236"/>
      <c r="J625" s="236"/>
      <c r="L625" s="237"/>
      <c r="M625" s="237"/>
      <c r="N625" s="237"/>
      <c r="O625" s="237"/>
      <c r="P625" s="237"/>
      <c r="Q625" s="237"/>
      <c r="R625" s="237"/>
      <c r="U625" s="204"/>
      <c r="V625" s="204"/>
      <c r="W625" s="204"/>
      <c r="X625" s="204"/>
    </row>
    <row r="626" customFormat="false" ht="12.75" hidden="false" customHeight="true" outlineLevel="0" collapsed="false">
      <c r="H626" s="236"/>
      <c r="I626" s="236"/>
      <c r="J626" s="236"/>
      <c r="L626" s="237"/>
      <c r="M626" s="237"/>
      <c r="N626" s="237"/>
      <c r="O626" s="237"/>
      <c r="P626" s="237"/>
      <c r="Q626" s="237"/>
      <c r="R626" s="237"/>
      <c r="U626" s="204"/>
      <c r="V626" s="204"/>
      <c r="W626" s="204"/>
      <c r="X626" s="204"/>
    </row>
    <row r="627" customFormat="false" ht="12.75" hidden="false" customHeight="true" outlineLevel="0" collapsed="false">
      <c r="H627" s="236"/>
      <c r="I627" s="236"/>
      <c r="J627" s="236"/>
      <c r="L627" s="237"/>
      <c r="M627" s="237"/>
      <c r="N627" s="237"/>
      <c r="O627" s="237"/>
      <c r="P627" s="237"/>
      <c r="Q627" s="237"/>
      <c r="R627" s="237"/>
      <c r="U627" s="204"/>
      <c r="V627" s="204"/>
      <c r="W627" s="204"/>
      <c r="X627" s="204"/>
    </row>
    <row r="628" customFormat="false" ht="12.75" hidden="false" customHeight="true" outlineLevel="0" collapsed="false">
      <c r="H628" s="236"/>
      <c r="I628" s="236"/>
      <c r="J628" s="236"/>
      <c r="L628" s="237"/>
      <c r="M628" s="237"/>
      <c r="N628" s="237"/>
      <c r="O628" s="237"/>
      <c r="P628" s="237"/>
      <c r="Q628" s="237"/>
      <c r="R628" s="237"/>
      <c r="U628" s="204"/>
      <c r="V628" s="204"/>
      <c r="W628" s="204"/>
      <c r="X628" s="204"/>
    </row>
    <row r="629" customFormat="false" ht="12.75" hidden="false" customHeight="true" outlineLevel="0" collapsed="false">
      <c r="H629" s="236"/>
      <c r="I629" s="236"/>
      <c r="J629" s="236"/>
      <c r="L629" s="237"/>
      <c r="M629" s="237"/>
      <c r="N629" s="237"/>
      <c r="O629" s="237"/>
      <c r="P629" s="237"/>
      <c r="Q629" s="237"/>
      <c r="R629" s="237"/>
      <c r="U629" s="204"/>
      <c r="V629" s="204"/>
      <c r="W629" s="204"/>
      <c r="X629" s="204"/>
    </row>
    <row r="630" customFormat="false" ht="12.75" hidden="false" customHeight="true" outlineLevel="0" collapsed="false">
      <c r="H630" s="236"/>
      <c r="I630" s="236"/>
      <c r="J630" s="236"/>
      <c r="L630" s="237"/>
      <c r="M630" s="237"/>
      <c r="N630" s="237"/>
      <c r="O630" s="237"/>
      <c r="P630" s="237"/>
      <c r="Q630" s="237"/>
      <c r="R630" s="237"/>
      <c r="U630" s="204"/>
      <c r="V630" s="204"/>
      <c r="W630" s="204"/>
      <c r="X630" s="204"/>
    </row>
    <row r="631" customFormat="false" ht="12.75" hidden="false" customHeight="true" outlineLevel="0" collapsed="false">
      <c r="H631" s="236"/>
      <c r="I631" s="236"/>
      <c r="J631" s="236"/>
      <c r="L631" s="237"/>
      <c r="M631" s="237"/>
      <c r="N631" s="237"/>
      <c r="O631" s="237"/>
      <c r="P631" s="237"/>
      <c r="Q631" s="237"/>
      <c r="R631" s="237"/>
      <c r="U631" s="204"/>
      <c r="V631" s="204"/>
      <c r="W631" s="204"/>
      <c r="X631" s="204"/>
    </row>
    <row r="632" customFormat="false" ht="12.75" hidden="false" customHeight="true" outlineLevel="0" collapsed="false">
      <c r="H632" s="236"/>
      <c r="I632" s="236"/>
      <c r="J632" s="236"/>
      <c r="L632" s="237"/>
      <c r="M632" s="237"/>
      <c r="N632" s="237"/>
      <c r="O632" s="237"/>
      <c r="P632" s="237"/>
      <c r="Q632" s="237"/>
      <c r="R632" s="237"/>
      <c r="U632" s="204"/>
      <c r="V632" s="204"/>
      <c r="W632" s="204"/>
      <c r="X632" s="204"/>
    </row>
    <row r="633" customFormat="false" ht="12.75" hidden="false" customHeight="true" outlineLevel="0" collapsed="false">
      <c r="H633" s="236"/>
      <c r="I633" s="236"/>
      <c r="J633" s="236"/>
      <c r="L633" s="237"/>
      <c r="M633" s="237"/>
      <c r="N633" s="237"/>
      <c r="O633" s="237"/>
      <c r="P633" s="237"/>
      <c r="Q633" s="237"/>
      <c r="R633" s="237"/>
      <c r="U633" s="204"/>
      <c r="V633" s="204"/>
      <c r="W633" s="204"/>
      <c r="X633" s="204"/>
    </row>
    <row r="634" customFormat="false" ht="12.75" hidden="false" customHeight="true" outlineLevel="0" collapsed="false">
      <c r="H634" s="236"/>
      <c r="I634" s="236"/>
      <c r="J634" s="236"/>
      <c r="L634" s="237"/>
      <c r="M634" s="237"/>
      <c r="N634" s="237"/>
      <c r="O634" s="237"/>
      <c r="P634" s="237"/>
      <c r="Q634" s="237"/>
      <c r="R634" s="237"/>
      <c r="U634" s="204"/>
      <c r="V634" s="204"/>
      <c r="W634" s="204"/>
      <c r="X634" s="204"/>
    </row>
    <row r="635" customFormat="false" ht="12.75" hidden="false" customHeight="true" outlineLevel="0" collapsed="false">
      <c r="H635" s="236"/>
      <c r="I635" s="236"/>
      <c r="J635" s="236"/>
      <c r="L635" s="237"/>
      <c r="M635" s="237"/>
      <c r="N635" s="237"/>
      <c r="O635" s="237"/>
      <c r="P635" s="237"/>
      <c r="Q635" s="237"/>
      <c r="R635" s="237"/>
      <c r="U635" s="204"/>
      <c r="V635" s="204"/>
      <c r="W635" s="204"/>
      <c r="X635" s="204"/>
    </row>
    <row r="636" customFormat="false" ht="12.75" hidden="false" customHeight="true" outlineLevel="0" collapsed="false">
      <c r="H636" s="236"/>
      <c r="I636" s="236"/>
      <c r="J636" s="236"/>
      <c r="L636" s="237"/>
      <c r="M636" s="237"/>
      <c r="N636" s="237"/>
      <c r="O636" s="237"/>
      <c r="P636" s="237"/>
      <c r="Q636" s="237"/>
      <c r="R636" s="237"/>
      <c r="U636" s="204"/>
      <c r="V636" s="204"/>
      <c r="W636" s="204"/>
      <c r="X636" s="204"/>
    </row>
    <row r="637" customFormat="false" ht="12.75" hidden="false" customHeight="true" outlineLevel="0" collapsed="false">
      <c r="H637" s="236"/>
      <c r="I637" s="236"/>
      <c r="J637" s="236"/>
      <c r="L637" s="237"/>
      <c r="M637" s="237"/>
      <c r="N637" s="237"/>
      <c r="O637" s="237"/>
      <c r="P637" s="237"/>
      <c r="Q637" s="237"/>
      <c r="R637" s="237"/>
      <c r="U637" s="204"/>
      <c r="V637" s="204"/>
      <c r="W637" s="204"/>
      <c r="X637" s="204"/>
    </row>
    <row r="638" customFormat="false" ht="12.75" hidden="false" customHeight="true" outlineLevel="0" collapsed="false">
      <c r="H638" s="236"/>
      <c r="I638" s="236"/>
      <c r="J638" s="236"/>
      <c r="L638" s="237"/>
      <c r="M638" s="237"/>
      <c r="N638" s="237"/>
      <c r="O638" s="237"/>
      <c r="P638" s="237"/>
      <c r="Q638" s="237"/>
      <c r="R638" s="237"/>
      <c r="U638" s="204"/>
      <c r="V638" s="204"/>
      <c r="W638" s="204"/>
      <c r="X638" s="204"/>
    </row>
    <row r="639" customFormat="false" ht="12.75" hidden="false" customHeight="true" outlineLevel="0" collapsed="false">
      <c r="H639" s="236"/>
      <c r="I639" s="236"/>
      <c r="J639" s="236"/>
      <c r="L639" s="237"/>
      <c r="M639" s="237"/>
      <c r="N639" s="237"/>
      <c r="O639" s="237"/>
      <c r="P639" s="237"/>
      <c r="Q639" s="237"/>
      <c r="R639" s="237"/>
      <c r="U639" s="204"/>
      <c r="V639" s="204"/>
      <c r="W639" s="204"/>
      <c r="X639" s="204"/>
    </row>
    <row r="640" customFormat="false" ht="12.75" hidden="false" customHeight="true" outlineLevel="0" collapsed="false">
      <c r="H640" s="236"/>
      <c r="I640" s="236"/>
      <c r="J640" s="236"/>
      <c r="L640" s="237"/>
      <c r="M640" s="237"/>
      <c r="N640" s="237"/>
      <c r="O640" s="237"/>
      <c r="P640" s="237"/>
      <c r="Q640" s="237"/>
      <c r="R640" s="237"/>
      <c r="U640" s="204"/>
      <c r="V640" s="204"/>
      <c r="W640" s="204"/>
      <c r="X640" s="204"/>
    </row>
    <row r="641" customFormat="false" ht="12.75" hidden="false" customHeight="true" outlineLevel="0" collapsed="false">
      <c r="H641" s="236"/>
      <c r="I641" s="236"/>
      <c r="J641" s="236"/>
      <c r="L641" s="237"/>
      <c r="M641" s="237"/>
      <c r="N641" s="237"/>
      <c r="O641" s="237"/>
      <c r="P641" s="237"/>
      <c r="Q641" s="237"/>
      <c r="R641" s="237"/>
      <c r="U641" s="204"/>
      <c r="V641" s="204"/>
      <c r="W641" s="204"/>
      <c r="X641" s="204"/>
    </row>
    <row r="642" customFormat="false" ht="12.75" hidden="false" customHeight="true" outlineLevel="0" collapsed="false">
      <c r="H642" s="236"/>
      <c r="I642" s="236"/>
      <c r="J642" s="236"/>
      <c r="L642" s="237"/>
      <c r="M642" s="237"/>
      <c r="N642" s="237"/>
      <c r="O642" s="237"/>
      <c r="P642" s="237"/>
      <c r="Q642" s="237"/>
      <c r="R642" s="237"/>
      <c r="U642" s="204"/>
      <c r="V642" s="204"/>
      <c r="W642" s="204"/>
      <c r="X642" s="204"/>
    </row>
    <row r="643" customFormat="false" ht="12.75" hidden="false" customHeight="true" outlineLevel="0" collapsed="false">
      <c r="H643" s="236"/>
      <c r="I643" s="236"/>
      <c r="J643" s="236"/>
      <c r="L643" s="237"/>
      <c r="M643" s="237"/>
      <c r="N643" s="237"/>
      <c r="O643" s="237"/>
      <c r="P643" s="237"/>
      <c r="Q643" s="237"/>
      <c r="R643" s="237"/>
      <c r="U643" s="204"/>
      <c r="V643" s="204"/>
      <c r="W643" s="204"/>
      <c r="X643" s="204"/>
    </row>
    <row r="644" customFormat="false" ht="12.75" hidden="false" customHeight="true" outlineLevel="0" collapsed="false">
      <c r="H644" s="236"/>
      <c r="I644" s="236"/>
      <c r="J644" s="236"/>
      <c r="L644" s="237"/>
      <c r="M644" s="237"/>
      <c r="N644" s="237"/>
      <c r="O644" s="237"/>
      <c r="P644" s="237"/>
      <c r="Q644" s="237"/>
      <c r="R644" s="237"/>
      <c r="U644" s="204"/>
      <c r="V644" s="204"/>
      <c r="W644" s="204"/>
      <c r="X644" s="204"/>
    </row>
    <row r="645" customFormat="false" ht="12.75" hidden="false" customHeight="true" outlineLevel="0" collapsed="false">
      <c r="H645" s="236"/>
      <c r="I645" s="236"/>
      <c r="J645" s="236"/>
      <c r="L645" s="237"/>
      <c r="M645" s="237"/>
      <c r="N645" s="237"/>
      <c r="O645" s="237"/>
      <c r="P645" s="237"/>
      <c r="Q645" s="237"/>
      <c r="R645" s="237"/>
      <c r="U645" s="204"/>
      <c r="V645" s="204"/>
      <c r="W645" s="204"/>
      <c r="X645" s="204"/>
    </row>
    <row r="646" customFormat="false" ht="12.75" hidden="false" customHeight="true" outlineLevel="0" collapsed="false">
      <c r="H646" s="236"/>
      <c r="I646" s="236"/>
      <c r="J646" s="236"/>
      <c r="L646" s="237"/>
      <c r="M646" s="237"/>
      <c r="N646" s="237"/>
      <c r="O646" s="237"/>
      <c r="P646" s="237"/>
      <c r="Q646" s="237"/>
      <c r="R646" s="237"/>
      <c r="U646" s="204"/>
      <c r="V646" s="204"/>
      <c r="W646" s="204"/>
      <c r="X646" s="204"/>
    </row>
    <row r="647" customFormat="false" ht="12.75" hidden="false" customHeight="true" outlineLevel="0" collapsed="false">
      <c r="H647" s="236"/>
      <c r="I647" s="236"/>
      <c r="J647" s="236"/>
      <c r="L647" s="237"/>
      <c r="M647" s="237"/>
      <c r="N647" s="237"/>
      <c r="O647" s="237"/>
      <c r="P647" s="237"/>
      <c r="Q647" s="237"/>
      <c r="R647" s="237"/>
      <c r="U647" s="204"/>
      <c r="V647" s="204"/>
      <c r="W647" s="204"/>
      <c r="X647" s="204"/>
    </row>
    <row r="648" customFormat="false" ht="12.75" hidden="false" customHeight="true" outlineLevel="0" collapsed="false">
      <c r="H648" s="236"/>
      <c r="I648" s="236"/>
      <c r="J648" s="236"/>
      <c r="L648" s="237"/>
      <c r="M648" s="237"/>
      <c r="N648" s="237"/>
      <c r="O648" s="237"/>
      <c r="P648" s="237"/>
      <c r="Q648" s="237"/>
      <c r="R648" s="237"/>
      <c r="U648" s="204"/>
      <c r="V648" s="204"/>
      <c r="W648" s="204"/>
      <c r="X648" s="204"/>
    </row>
    <row r="649" customFormat="false" ht="12.75" hidden="false" customHeight="true" outlineLevel="0" collapsed="false">
      <c r="H649" s="236"/>
      <c r="I649" s="236"/>
      <c r="J649" s="236"/>
      <c r="L649" s="237"/>
      <c r="M649" s="237"/>
      <c r="N649" s="237"/>
      <c r="O649" s="237"/>
      <c r="P649" s="237"/>
      <c r="Q649" s="237"/>
      <c r="R649" s="237"/>
      <c r="U649" s="204"/>
      <c r="V649" s="204"/>
      <c r="W649" s="204"/>
      <c r="X649" s="204"/>
    </row>
    <row r="650" customFormat="false" ht="12.75" hidden="false" customHeight="true" outlineLevel="0" collapsed="false">
      <c r="H650" s="236"/>
      <c r="I650" s="236"/>
      <c r="J650" s="236"/>
      <c r="L650" s="237"/>
      <c r="M650" s="237"/>
      <c r="N650" s="237"/>
      <c r="O650" s="237"/>
      <c r="P650" s="237"/>
      <c r="Q650" s="237"/>
      <c r="R650" s="237"/>
      <c r="U650" s="204"/>
      <c r="V650" s="204"/>
      <c r="W650" s="204"/>
      <c r="X650" s="204"/>
    </row>
    <row r="651" customFormat="false" ht="12.75" hidden="false" customHeight="true" outlineLevel="0" collapsed="false">
      <c r="H651" s="236"/>
      <c r="I651" s="236"/>
      <c r="J651" s="236"/>
      <c r="L651" s="237"/>
      <c r="M651" s="237"/>
      <c r="N651" s="237"/>
      <c r="O651" s="237"/>
      <c r="P651" s="237"/>
      <c r="Q651" s="237"/>
      <c r="R651" s="237"/>
      <c r="U651" s="204"/>
      <c r="V651" s="204"/>
      <c r="W651" s="204"/>
      <c r="X651" s="204"/>
    </row>
    <row r="652" customFormat="false" ht="12.75" hidden="false" customHeight="true" outlineLevel="0" collapsed="false">
      <c r="H652" s="236"/>
      <c r="I652" s="236"/>
      <c r="J652" s="236"/>
      <c r="L652" s="237"/>
      <c r="M652" s="237"/>
      <c r="N652" s="237"/>
      <c r="O652" s="237"/>
      <c r="P652" s="237"/>
      <c r="Q652" s="237"/>
      <c r="R652" s="237"/>
      <c r="U652" s="204"/>
      <c r="V652" s="204"/>
      <c r="W652" s="204"/>
      <c r="X652" s="204"/>
    </row>
    <row r="653" customFormat="false" ht="12.75" hidden="false" customHeight="true" outlineLevel="0" collapsed="false">
      <c r="H653" s="236"/>
      <c r="I653" s="236"/>
      <c r="J653" s="236"/>
      <c r="L653" s="237"/>
      <c r="M653" s="237"/>
      <c r="N653" s="237"/>
      <c r="O653" s="237"/>
      <c r="P653" s="237"/>
      <c r="Q653" s="237"/>
      <c r="R653" s="237"/>
      <c r="U653" s="204"/>
      <c r="V653" s="204"/>
      <c r="W653" s="204"/>
      <c r="X653" s="204"/>
    </row>
    <row r="654" customFormat="false" ht="12.75" hidden="false" customHeight="true" outlineLevel="0" collapsed="false">
      <c r="H654" s="236"/>
      <c r="I654" s="236"/>
      <c r="J654" s="236"/>
      <c r="L654" s="237"/>
      <c r="M654" s="237"/>
      <c r="N654" s="237"/>
      <c r="O654" s="237"/>
      <c r="P654" s="237"/>
      <c r="Q654" s="237"/>
      <c r="R654" s="237"/>
      <c r="U654" s="204"/>
      <c r="V654" s="204"/>
      <c r="W654" s="204"/>
      <c r="X654" s="204"/>
    </row>
    <row r="655" customFormat="false" ht="12.75" hidden="false" customHeight="true" outlineLevel="0" collapsed="false">
      <c r="H655" s="236"/>
      <c r="I655" s="236"/>
      <c r="J655" s="236"/>
      <c r="L655" s="237"/>
      <c r="M655" s="237"/>
      <c r="N655" s="237"/>
      <c r="O655" s="237"/>
      <c r="P655" s="237"/>
      <c r="Q655" s="237"/>
      <c r="R655" s="237"/>
      <c r="U655" s="204"/>
      <c r="V655" s="204"/>
      <c r="W655" s="204"/>
      <c r="X655" s="204"/>
    </row>
    <row r="656" customFormat="false" ht="12.75" hidden="false" customHeight="true" outlineLevel="0" collapsed="false">
      <c r="H656" s="236"/>
      <c r="I656" s="236"/>
      <c r="J656" s="236"/>
      <c r="L656" s="237"/>
      <c r="M656" s="237"/>
      <c r="N656" s="237"/>
      <c r="O656" s="237"/>
      <c r="P656" s="237"/>
      <c r="Q656" s="237"/>
      <c r="R656" s="237"/>
      <c r="U656" s="204"/>
      <c r="V656" s="204"/>
      <c r="W656" s="204"/>
      <c r="X656" s="204"/>
    </row>
    <row r="657" customFormat="false" ht="12.75" hidden="false" customHeight="true" outlineLevel="0" collapsed="false">
      <c r="H657" s="236"/>
      <c r="I657" s="236"/>
      <c r="J657" s="236"/>
      <c r="L657" s="237"/>
      <c r="M657" s="237"/>
      <c r="N657" s="237"/>
      <c r="O657" s="237"/>
      <c r="P657" s="237"/>
      <c r="Q657" s="237"/>
      <c r="R657" s="237"/>
      <c r="U657" s="204"/>
      <c r="V657" s="204"/>
      <c r="W657" s="204"/>
      <c r="X657" s="204"/>
    </row>
    <row r="658" customFormat="false" ht="12.75" hidden="false" customHeight="true" outlineLevel="0" collapsed="false">
      <c r="H658" s="236"/>
      <c r="I658" s="236"/>
      <c r="J658" s="236"/>
      <c r="L658" s="237"/>
      <c r="M658" s="237"/>
      <c r="N658" s="237"/>
      <c r="O658" s="237"/>
      <c r="P658" s="237"/>
      <c r="Q658" s="237"/>
      <c r="R658" s="237"/>
      <c r="U658" s="204"/>
      <c r="V658" s="204"/>
      <c r="W658" s="204"/>
      <c r="X658" s="204"/>
    </row>
    <row r="659" customFormat="false" ht="12.75" hidden="false" customHeight="true" outlineLevel="0" collapsed="false">
      <c r="H659" s="236"/>
      <c r="I659" s="236"/>
      <c r="J659" s="236"/>
      <c r="L659" s="237"/>
      <c r="M659" s="237"/>
      <c r="N659" s="237"/>
      <c r="O659" s="237"/>
      <c r="P659" s="237"/>
      <c r="Q659" s="237"/>
      <c r="R659" s="237"/>
      <c r="U659" s="204"/>
      <c r="V659" s="204"/>
      <c r="W659" s="204"/>
      <c r="X659" s="204"/>
    </row>
    <row r="660" customFormat="false" ht="12.75" hidden="false" customHeight="true" outlineLevel="0" collapsed="false">
      <c r="H660" s="236"/>
      <c r="I660" s="236"/>
      <c r="J660" s="236"/>
      <c r="L660" s="237"/>
      <c r="M660" s="237"/>
      <c r="N660" s="237"/>
      <c r="O660" s="237"/>
      <c r="P660" s="237"/>
      <c r="Q660" s="237"/>
      <c r="R660" s="237"/>
      <c r="U660" s="204"/>
      <c r="V660" s="204"/>
      <c r="W660" s="204"/>
      <c r="X660" s="204"/>
    </row>
    <row r="661" customFormat="false" ht="12.75" hidden="false" customHeight="true" outlineLevel="0" collapsed="false">
      <c r="H661" s="236"/>
      <c r="I661" s="236"/>
      <c r="J661" s="236"/>
      <c r="L661" s="237"/>
      <c r="M661" s="237"/>
      <c r="N661" s="237"/>
      <c r="O661" s="237"/>
      <c r="P661" s="237"/>
      <c r="Q661" s="237"/>
      <c r="R661" s="237"/>
      <c r="U661" s="204"/>
      <c r="V661" s="204"/>
      <c r="W661" s="204"/>
      <c r="X661" s="204"/>
    </row>
    <row r="662" customFormat="false" ht="12.75" hidden="false" customHeight="true" outlineLevel="0" collapsed="false">
      <c r="H662" s="236"/>
      <c r="I662" s="236"/>
      <c r="J662" s="236"/>
      <c r="L662" s="237"/>
      <c r="M662" s="237"/>
      <c r="N662" s="237"/>
      <c r="O662" s="237"/>
      <c r="P662" s="237"/>
      <c r="Q662" s="237"/>
      <c r="R662" s="237"/>
      <c r="U662" s="204"/>
      <c r="V662" s="204"/>
      <c r="W662" s="204"/>
      <c r="X662" s="204"/>
    </row>
    <row r="663" customFormat="false" ht="12.75" hidden="false" customHeight="true" outlineLevel="0" collapsed="false">
      <c r="H663" s="236"/>
      <c r="I663" s="236"/>
      <c r="J663" s="236"/>
      <c r="L663" s="237"/>
      <c r="M663" s="237"/>
      <c r="N663" s="237"/>
      <c r="O663" s="237"/>
      <c r="P663" s="237"/>
      <c r="Q663" s="237"/>
      <c r="R663" s="237"/>
      <c r="U663" s="204"/>
      <c r="V663" s="204"/>
      <c r="W663" s="204"/>
      <c r="X663" s="204"/>
    </row>
    <row r="664" customFormat="false" ht="12.75" hidden="false" customHeight="true" outlineLevel="0" collapsed="false">
      <c r="H664" s="236"/>
      <c r="I664" s="236"/>
      <c r="J664" s="236"/>
      <c r="L664" s="237"/>
      <c r="M664" s="237"/>
      <c r="N664" s="237"/>
      <c r="O664" s="237"/>
      <c r="P664" s="237"/>
      <c r="Q664" s="237"/>
      <c r="R664" s="237"/>
      <c r="U664" s="204"/>
      <c r="V664" s="204"/>
      <c r="W664" s="204"/>
      <c r="X664" s="204"/>
    </row>
    <row r="665" customFormat="false" ht="12.75" hidden="false" customHeight="true" outlineLevel="0" collapsed="false">
      <c r="H665" s="236"/>
      <c r="I665" s="236"/>
      <c r="J665" s="236"/>
      <c r="L665" s="237"/>
      <c r="M665" s="237"/>
      <c r="N665" s="237"/>
      <c r="O665" s="237"/>
      <c r="P665" s="237"/>
      <c r="Q665" s="237"/>
      <c r="R665" s="237"/>
      <c r="U665" s="204"/>
      <c r="V665" s="204"/>
      <c r="W665" s="204"/>
      <c r="X665" s="204"/>
    </row>
    <row r="666" customFormat="false" ht="12.75" hidden="false" customHeight="true" outlineLevel="0" collapsed="false">
      <c r="H666" s="236"/>
      <c r="I666" s="236"/>
      <c r="J666" s="236"/>
      <c r="L666" s="237"/>
      <c r="M666" s="237"/>
      <c r="N666" s="237"/>
      <c r="O666" s="237"/>
      <c r="P666" s="237"/>
      <c r="Q666" s="237"/>
      <c r="R666" s="237"/>
      <c r="U666" s="204"/>
      <c r="V666" s="204"/>
      <c r="W666" s="204"/>
      <c r="X666" s="204"/>
    </row>
    <row r="667" customFormat="false" ht="12.75" hidden="false" customHeight="true" outlineLevel="0" collapsed="false">
      <c r="H667" s="236"/>
      <c r="I667" s="236"/>
      <c r="J667" s="236"/>
      <c r="L667" s="237"/>
      <c r="M667" s="237"/>
      <c r="N667" s="237"/>
      <c r="O667" s="237"/>
      <c r="P667" s="237"/>
      <c r="Q667" s="237"/>
      <c r="R667" s="237"/>
      <c r="U667" s="204"/>
      <c r="V667" s="204"/>
      <c r="W667" s="204"/>
      <c r="X667" s="204"/>
    </row>
    <row r="668" customFormat="false" ht="12.75" hidden="false" customHeight="true" outlineLevel="0" collapsed="false">
      <c r="H668" s="236"/>
      <c r="I668" s="236"/>
      <c r="J668" s="236"/>
      <c r="L668" s="237"/>
      <c r="M668" s="237"/>
      <c r="N668" s="237"/>
      <c r="O668" s="237"/>
      <c r="P668" s="237"/>
      <c r="Q668" s="237"/>
      <c r="R668" s="237"/>
      <c r="U668" s="204"/>
      <c r="V668" s="204"/>
      <c r="W668" s="204"/>
      <c r="X668" s="204"/>
    </row>
    <row r="669" customFormat="false" ht="12.75" hidden="false" customHeight="true" outlineLevel="0" collapsed="false">
      <c r="H669" s="236"/>
      <c r="I669" s="236"/>
      <c r="J669" s="236"/>
      <c r="L669" s="237"/>
      <c r="M669" s="237"/>
      <c r="N669" s="237"/>
      <c r="O669" s="237"/>
      <c r="P669" s="237"/>
      <c r="Q669" s="237"/>
      <c r="R669" s="237"/>
      <c r="U669" s="204"/>
      <c r="V669" s="204"/>
      <c r="W669" s="204"/>
      <c r="X669" s="204"/>
    </row>
    <row r="670" customFormat="false" ht="12.75" hidden="false" customHeight="true" outlineLevel="0" collapsed="false">
      <c r="H670" s="236"/>
      <c r="I670" s="236"/>
      <c r="J670" s="236"/>
      <c r="L670" s="237"/>
      <c r="M670" s="237"/>
      <c r="N670" s="237"/>
      <c r="O670" s="237"/>
      <c r="P670" s="237"/>
      <c r="Q670" s="237"/>
      <c r="R670" s="237"/>
      <c r="U670" s="204"/>
      <c r="V670" s="204"/>
      <c r="W670" s="204"/>
      <c r="X670" s="204"/>
    </row>
    <row r="671" customFormat="false" ht="12.75" hidden="false" customHeight="true" outlineLevel="0" collapsed="false">
      <c r="H671" s="236"/>
      <c r="I671" s="236"/>
      <c r="J671" s="236"/>
      <c r="L671" s="237"/>
      <c r="M671" s="237"/>
      <c r="N671" s="237"/>
      <c r="O671" s="237"/>
      <c r="P671" s="237"/>
      <c r="Q671" s="237"/>
      <c r="R671" s="237"/>
      <c r="U671" s="204"/>
      <c r="V671" s="204"/>
      <c r="W671" s="204"/>
      <c r="X671" s="204"/>
    </row>
    <row r="672" customFormat="false" ht="12.75" hidden="false" customHeight="true" outlineLevel="0" collapsed="false">
      <c r="H672" s="236"/>
      <c r="I672" s="236"/>
      <c r="J672" s="236"/>
      <c r="L672" s="237"/>
      <c r="M672" s="237"/>
      <c r="N672" s="237"/>
      <c r="O672" s="237"/>
      <c r="P672" s="237"/>
      <c r="Q672" s="237"/>
      <c r="R672" s="237"/>
      <c r="U672" s="204"/>
      <c r="V672" s="204"/>
      <c r="W672" s="204"/>
      <c r="X672" s="204"/>
    </row>
    <row r="673" customFormat="false" ht="12.75" hidden="false" customHeight="true" outlineLevel="0" collapsed="false">
      <c r="H673" s="236"/>
      <c r="I673" s="236"/>
      <c r="J673" s="236"/>
      <c r="L673" s="237"/>
      <c r="M673" s="237"/>
      <c r="N673" s="237"/>
      <c r="O673" s="237"/>
      <c r="P673" s="237"/>
      <c r="Q673" s="237"/>
      <c r="R673" s="237"/>
      <c r="U673" s="204"/>
      <c r="V673" s="204"/>
      <c r="W673" s="204"/>
      <c r="X673" s="204"/>
    </row>
    <row r="674" customFormat="false" ht="12.75" hidden="false" customHeight="true" outlineLevel="0" collapsed="false">
      <c r="H674" s="236"/>
      <c r="I674" s="236"/>
      <c r="J674" s="236"/>
      <c r="L674" s="237"/>
      <c r="M674" s="237"/>
      <c r="N674" s="237"/>
      <c r="O674" s="237"/>
      <c r="P674" s="237"/>
      <c r="Q674" s="237"/>
      <c r="R674" s="237"/>
      <c r="U674" s="204"/>
      <c r="V674" s="204"/>
      <c r="W674" s="204"/>
      <c r="X674" s="204"/>
    </row>
    <row r="675" customFormat="false" ht="12.75" hidden="false" customHeight="true" outlineLevel="0" collapsed="false">
      <c r="H675" s="236"/>
      <c r="I675" s="236"/>
      <c r="J675" s="236"/>
      <c r="L675" s="237"/>
      <c r="M675" s="237"/>
      <c r="N675" s="237"/>
      <c r="O675" s="237"/>
      <c r="P675" s="237"/>
      <c r="Q675" s="237"/>
      <c r="R675" s="237"/>
      <c r="U675" s="204"/>
      <c r="V675" s="204"/>
      <c r="W675" s="204"/>
      <c r="X675" s="204"/>
    </row>
    <row r="676" customFormat="false" ht="12.75" hidden="false" customHeight="true" outlineLevel="0" collapsed="false">
      <c r="H676" s="236"/>
      <c r="I676" s="236"/>
      <c r="J676" s="236"/>
      <c r="L676" s="237"/>
      <c r="M676" s="237"/>
      <c r="N676" s="237"/>
      <c r="O676" s="237"/>
      <c r="P676" s="237"/>
      <c r="Q676" s="237"/>
      <c r="R676" s="237"/>
      <c r="U676" s="204"/>
      <c r="V676" s="204"/>
      <c r="W676" s="204"/>
      <c r="X676" s="204"/>
    </row>
    <row r="677" customFormat="false" ht="12.75" hidden="false" customHeight="true" outlineLevel="0" collapsed="false">
      <c r="H677" s="236"/>
      <c r="I677" s="236"/>
      <c r="J677" s="236"/>
      <c r="L677" s="237"/>
      <c r="M677" s="237"/>
      <c r="N677" s="237"/>
      <c r="O677" s="237"/>
      <c r="P677" s="237"/>
      <c r="Q677" s="237"/>
      <c r="R677" s="237"/>
      <c r="U677" s="204"/>
      <c r="V677" s="204"/>
      <c r="W677" s="204"/>
      <c r="X677" s="204"/>
    </row>
    <row r="678" customFormat="false" ht="12.75" hidden="false" customHeight="true" outlineLevel="0" collapsed="false">
      <c r="H678" s="236"/>
      <c r="I678" s="236"/>
      <c r="J678" s="236"/>
      <c r="L678" s="237"/>
      <c r="M678" s="237"/>
      <c r="N678" s="237"/>
      <c r="O678" s="237"/>
      <c r="P678" s="237"/>
      <c r="Q678" s="237"/>
      <c r="R678" s="237"/>
      <c r="U678" s="204"/>
      <c r="V678" s="204"/>
      <c r="W678" s="204"/>
      <c r="X678" s="204"/>
    </row>
    <row r="679" customFormat="false" ht="12.75" hidden="false" customHeight="true" outlineLevel="0" collapsed="false">
      <c r="H679" s="236"/>
      <c r="I679" s="236"/>
      <c r="J679" s="236"/>
      <c r="L679" s="237"/>
      <c r="M679" s="237"/>
      <c r="N679" s="237"/>
      <c r="O679" s="237"/>
      <c r="P679" s="237"/>
      <c r="Q679" s="237"/>
      <c r="R679" s="237"/>
      <c r="U679" s="204"/>
      <c r="V679" s="204"/>
      <c r="W679" s="204"/>
      <c r="X679" s="204"/>
    </row>
    <row r="680" customFormat="false" ht="12.75" hidden="false" customHeight="true" outlineLevel="0" collapsed="false">
      <c r="H680" s="236"/>
      <c r="I680" s="236"/>
      <c r="J680" s="236"/>
      <c r="L680" s="237"/>
      <c r="M680" s="237"/>
      <c r="N680" s="237"/>
      <c r="O680" s="237"/>
      <c r="P680" s="237"/>
      <c r="Q680" s="237"/>
      <c r="R680" s="237"/>
      <c r="U680" s="204"/>
      <c r="V680" s="204"/>
      <c r="W680" s="204"/>
      <c r="X680" s="204"/>
    </row>
    <row r="681" customFormat="false" ht="12.75" hidden="false" customHeight="true" outlineLevel="0" collapsed="false">
      <c r="H681" s="236"/>
      <c r="I681" s="236"/>
      <c r="J681" s="236"/>
      <c r="L681" s="237"/>
      <c r="M681" s="237"/>
      <c r="N681" s="237"/>
      <c r="O681" s="237"/>
      <c r="P681" s="237"/>
      <c r="Q681" s="237"/>
      <c r="R681" s="237"/>
      <c r="U681" s="204"/>
      <c r="V681" s="204"/>
      <c r="W681" s="204"/>
      <c r="X681" s="204"/>
    </row>
    <row r="682" customFormat="false" ht="12.75" hidden="false" customHeight="true" outlineLevel="0" collapsed="false">
      <c r="H682" s="236"/>
      <c r="I682" s="236"/>
      <c r="J682" s="236"/>
      <c r="L682" s="237"/>
      <c r="M682" s="237"/>
      <c r="N682" s="237"/>
      <c r="O682" s="237"/>
      <c r="P682" s="237"/>
      <c r="Q682" s="237"/>
      <c r="R682" s="237"/>
      <c r="U682" s="204"/>
      <c r="V682" s="204"/>
      <c r="W682" s="204"/>
      <c r="X682" s="204"/>
    </row>
    <row r="683" customFormat="false" ht="12.75" hidden="false" customHeight="true" outlineLevel="0" collapsed="false">
      <c r="H683" s="236"/>
      <c r="I683" s="236"/>
      <c r="J683" s="236"/>
      <c r="L683" s="237"/>
      <c r="M683" s="237"/>
      <c r="N683" s="237"/>
      <c r="O683" s="237"/>
      <c r="P683" s="237"/>
      <c r="Q683" s="237"/>
      <c r="R683" s="237"/>
      <c r="U683" s="204"/>
      <c r="V683" s="204"/>
      <c r="W683" s="204"/>
      <c r="X683" s="204"/>
    </row>
    <row r="684" customFormat="false" ht="12.75" hidden="false" customHeight="true" outlineLevel="0" collapsed="false">
      <c r="H684" s="236"/>
      <c r="I684" s="236"/>
      <c r="J684" s="236"/>
      <c r="L684" s="237"/>
      <c r="M684" s="237"/>
      <c r="N684" s="237"/>
      <c r="O684" s="237"/>
      <c r="P684" s="237"/>
      <c r="Q684" s="237"/>
      <c r="R684" s="237"/>
      <c r="U684" s="204"/>
      <c r="V684" s="204"/>
      <c r="W684" s="204"/>
      <c r="X684" s="204"/>
    </row>
    <row r="685" customFormat="false" ht="12.75" hidden="false" customHeight="true" outlineLevel="0" collapsed="false">
      <c r="H685" s="236"/>
      <c r="I685" s="236"/>
      <c r="J685" s="236"/>
      <c r="L685" s="237"/>
      <c r="M685" s="237"/>
      <c r="N685" s="237"/>
      <c r="O685" s="237"/>
      <c r="P685" s="237"/>
      <c r="Q685" s="237"/>
      <c r="R685" s="237"/>
      <c r="U685" s="204"/>
      <c r="V685" s="204"/>
      <c r="W685" s="204"/>
      <c r="X685" s="204"/>
    </row>
    <row r="686" customFormat="false" ht="12.75" hidden="false" customHeight="true" outlineLevel="0" collapsed="false">
      <c r="H686" s="236"/>
      <c r="I686" s="236"/>
      <c r="J686" s="236"/>
      <c r="L686" s="237"/>
      <c r="M686" s="237"/>
      <c r="N686" s="237"/>
      <c r="O686" s="237"/>
      <c r="P686" s="237"/>
      <c r="Q686" s="237"/>
      <c r="R686" s="237"/>
      <c r="U686" s="204"/>
      <c r="V686" s="204"/>
      <c r="W686" s="204"/>
      <c r="X686" s="204"/>
    </row>
    <row r="687" customFormat="false" ht="12.75" hidden="false" customHeight="true" outlineLevel="0" collapsed="false">
      <c r="H687" s="236"/>
      <c r="I687" s="236"/>
      <c r="J687" s="236"/>
      <c r="L687" s="237"/>
      <c r="M687" s="237"/>
      <c r="N687" s="237"/>
      <c r="O687" s="237"/>
      <c r="P687" s="237"/>
      <c r="Q687" s="237"/>
      <c r="R687" s="237"/>
      <c r="U687" s="204"/>
      <c r="V687" s="204"/>
      <c r="W687" s="204"/>
      <c r="X687" s="204"/>
    </row>
    <row r="688" customFormat="false" ht="12.75" hidden="false" customHeight="true" outlineLevel="0" collapsed="false">
      <c r="H688" s="236"/>
      <c r="I688" s="236"/>
      <c r="J688" s="236"/>
      <c r="L688" s="237"/>
      <c r="M688" s="237"/>
      <c r="N688" s="237"/>
      <c r="O688" s="237"/>
      <c r="P688" s="237"/>
      <c r="Q688" s="237"/>
      <c r="R688" s="237"/>
      <c r="U688" s="204"/>
      <c r="V688" s="204"/>
      <c r="W688" s="204"/>
      <c r="X688" s="204"/>
    </row>
    <row r="689" customFormat="false" ht="12.75" hidden="false" customHeight="true" outlineLevel="0" collapsed="false">
      <c r="H689" s="236"/>
      <c r="I689" s="236"/>
      <c r="J689" s="236"/>
      <c r="L689" s="237"/>
      <c r="M689" s="237"/>
      <c r="N689" s="237"/>
      <c r="O689" s="237"/>
      <c r="P689" s="237"/>
      <c r="Q689" s="237"/>
      <c r="R689" s="237"/>
      <c r="U689" s="204"/>
      <c r="V689" s="204"/>
      <c r="W689" s="204"/>
      <c r="X689" s="204"/>
    </row>
    <row r="690" customFormat="false" ht="12.75" hidden="false" customHeight="true" outlineLevel="0" collapsed="false">
      <c r="H690" s="236"/>
      <c r="I690" s="236"/>
      <c r="J690" s="236"/>
      <c r="L690" s="237"/>
      <c r="M690" s="237"/>
      <c r="N690" s="237"/>
      <c r="O690" s="237"/>
      <c r="P690" s="237"/>
      <c r="Q690" s="237"/>
      <c r="R690" s="237"/>
      <c r="U690" s="204"/>
      <c r="V690" s="204"/>
      <c r="W690" s="204"/>
      <c r="X690" s="204"/>
    </row>
    <row r="691" customFormat="false" ht="12.75" hidden="false" customHeight="true" outlineLevel="0" collapsed="false">
      <c r="H691" s="236"/>
      <c r="I691" s="236"/>
      <c r="J691" s="236"/>
      <c r="L691" s="237"/>
      <c r="M691" s="237"/>
      <c r="N691" s="237"/>
      <c r="O691" s="237"/>
      <c r="P691" s="237"/>
      <c r="Q691" s="237"/>
      <c r="R691" s="237"/>
      <c r="U691" s="204"/>
      <c r="V691" s="204"/>
      <c r="W691" s="204"/>
      <c r="X691" s="204"/>
    </row>
    <row r="692" customFormat="false" ht="12.75" hidden="false" customHeight="true" outlineLevel="0" collapsed="false">
      <c r="H692" s="236"/>
      <c r="I692" s="236"/>
      <c r="J692" s="236"/>
      <c r="L692" s="237"/>
      <c r="M692" s="237"/>
      <c r="N692" s="237"/>
      <c r="O692" s="237"/>
      <c r="P692" s="237"/>
      <c r="Q692" s="237"/>
      <c r="R692" s="237"/>
      <c r="U692" s="204"/>
      <c r="V692" s="204"/>
      <c r="W692" s="204"/>
      <c r="X692" s="204"/>
    </row>
    <row r="693" customFormat="false" ht="12.75" hidden="false" customHeight="true" outlineLevel="0" collapsed="false">
      <c r="H693" s="236"/>
      <c r="I693" s="236"/>
      <c r="J693" s="236"/>
      <c r="L693" s="237"/>
      <c r="M693" s="237"/>
      <c r="N693" s="237"/>
      <c r="O693" s="237"/>
      <c r="P693" s="237"/>
      <c r="Q693" s="237"/>
      <c r="R693" s="237"/>
      <c r="U693" s="204"/>
      <c r="V693" s="204"/>
      <c r="W693" s="204"/>
      <c r="X693" s="204"/>
    </row>
    <row r="694" customFormat="false" ht="12.75" hidden="false" customHeight="true" outlineLevel="0" collapsed="false">
      <c r="H694" s="236"/>
      <c r="I694" s="236"/>
      <c r="J694" s="236"/>
      <c r="L694" s="237"/>
      <c r="M694" s="237"/>
      <c r="N694" s="237"/>
      <c r="O694" s="237"/>
      <c r="P694" s="237"/>
      <c r="Q694" s="237"/>
      <c r="R694" s="237"/>
      <c r="U694" s="204"/>
      <c r="V694" s="204"/>
      <c r="W694" s="204"/>
      <c r="X694" s="204"/>
    </row>
    <row r="695" customFormat="false" ht="12.75" hidden="false" customHeight="true" outlineLevel="0" collapsed="false">
      <c r="H695" s="236"/>
      <c r="I695" s="236"/>
      <c r="J695" s="236"/>
      <c r="L695" s="237"/>
      <c r="M695" s="237"/>
      <c r="N695" s="237"/>
      <c r="O695" s="237"/>
      <c r="P695" s="237"/>
      <c r="Q695" s="237"/>
      <c r="R695" s="237"/>
      <c r="U695" s="204"/>
      <c r="V695" s="204"/>
      <c r="W695" s="204"/>
      <c r="X695" s="204"/>
    </row>
    <row r="696" customFormat="false" ht="12.75" hidden="false" customHeight="true" outlineLevel="0" collapsed="false">
      <c r="H696" s="236"/>
      <c r="I696" s="236"/>
      <c r="J696" s="236"/>
      <c r="L696" s="237"/>
      <c r="M696" s="237"/>
      <c r="N696" s="237"/>
      <c r="O696" s="237"/>
      <c r="P696" s="237"/>
      <c r="Q696" s="237"/>
      <c r="R696" s="237"/>
      <c r="U696" s="204"/>
      <c r="V696" s="204"/>
      <c r="W696" s="204"/>
      <c r="X696" s="204"/>
    </row>
    <row r="697" customFormat="false" ht="12.75" hidden="false" customHeight="true" outlineLevel="0" collapsed="false">
      <c r="H697" s="236"/>
      <c r="I697" s="236"/>
      <c r="J697" s="236"/>
      <c r="L697" s="237"/>
      <c r="M697" s="237"/>
      <c r="N697" s="237"/>
      <c r="O697" s="237"/>
      <c r="P697" s="237"/>
      <c r="Q697" s="237"/>
      <c r="R697" s="237"/>
      <c r="U697" s="204"/>
      <c r="V697" s="204"/>
      <c r="W697" s="204"/>
      <c r="X697" s="204"/>
    </row>
    <row r="698" customFormat="false" ht="12.75" hidden="false" customHeight="true" outlineLevel="0" collapsed="false">
      <c r="H698" s="236"/>
      <c r="I698" s="236"/>
      <c r="J698" s="236"/>
      <c r="L698" s="237"/>
      <c r="M698" s="237"/>
      <c r="N698" s="237"/>
      <c r="O698" s="237"/>
      <c r="P698" s="237"/>
      <c r="Q698" s="237"/>
      <c r="R698" s="237"/>
      <c r="U698" s="204"/>
      <c r="V698" s="204"/>
      <c r="W698" s="204"/>
      <c r="X698" s="204"/>
    </row>
    <row r="699" customFormat="false" ht="12.75" hidden="false" customHeight="true" outlineLevel="0" collapsed="false">
      <c r="H699" s="236"/>
      <c r="I699" s="236"/>
      <c r="J699" s="236"/>
      <c r="L699" s="237"/>
      <c r="M699" s="237"/>
      <c r="N699" s="237"/>
      <c r="O699" s="237"/>
      <c r="P699" s="237"/>
      <c r="Q699" s="237"/>
      <c r="R699" s="237"/>
      <c r="U699" s="204"/>
      <c r="V699" s="204"/>
      <c r="W699" s="204"/>
      <c r="X699" s="204"/>
    </row>
    <row r="700" customFormat="false" ht="12.75" hidden="false" customHeight="true" outlineLevel="0" collapsed="false">
      <c r="H700" s="236"/>
      <c r="I700" s="236"/>
      <c r="J700" s="236"/>
      <c r="L700" s="237"/>
      <c r="M700" s="237"/>
      <c r="N700" s="237"/>
      <c r="O700" s="237"/>
      <c r="P700" s="237"/>
      <c r="Q700" s="237"/>
      <c r="R700" s="237"/>
      <c r="U700" s="204"/>
      <c r="V700" s="204"/>
      <c r="W700" s="204"/>
      <c r="X700" s="204"/>
    </row>
    <row r="701" customFormat="false" ht="12.75" hidden="false" customHeight="true" outlineLevel="0" collapsed="false">
      <c r="H701" s="236"/>
      <c r="I701" s="236"/>
      <c r="J701" s="236"/>
      <c r="L701" s="237"/>
      <c r="M701" s="237"/>
      <c r="N701" s="237"/>
      <c r="O701" s="237"/>
      <c r="P701" s="237"/>
      <c r="Q701" s="237"/>
      <c r="R701" s="237"/>
      <c r="U701" s="204"/>
      <c r="V701" s="204"/>
      <c r="W701" s="204"/>
      <c r="X701" s="204"/>
    </row>
    <row r="702" customFormat="false" ht="12.75" hidden="false" customHeight="true" outlineLevel="0" collapsed="false">
      <c r="H702" s="236"/>
      <c r="I702" s="236"/>
      <c r="J702" s="236"/>
      <c r="L702" s="237"/>
      <c r="M702" s="237"/>
      <c r="N702" s="237"/>
      <c r="O702" s="237"/>
      <c r="P702" s="237"/>
      <c r="Q702" s="237"/>
      <c r="R702" s="237"/>
      <c r="U702" s="204"/>
      <c r="V702" s="204"/>
      <c r="W702" s="204"/>
      <c r="X702" s="204"/>
    </row>
    <row r="703" customFormat="false" ht="12.75" hidden="false" customHeight="true" outlineLevel="0" collapsed="false">
      <c r="H703" s="236"/>
      <c r="I703" s="236"/>
      <c r="J703" s="236"/>
      <c r="L703" s="237"/>
      <c r="M703" s="237"/>
      <c r="N703" s="237"/>
      <c r="O703" s="237"/>
      <c r="P703" s="237"/>
      <c r="Q703" s="237"/>
      <c r="R703" s="237"/>
      <c r="U703" s="204"/>
      <c r="V703" s="204"/>
      <c r="W703" s="204"/>
      <c r="X703" s="204"/>
    </row>
    <row r="704" customFormat="false" ht="12.75" hidden="false" customHeight="true" outlineLevel="0" collapsed="false">
      <c r="H704" s="236"/>
      <c r="I704" s="236"/>
      <c r="J704" s="236"/>
      <c r="L704" s="237"/>
      <c r="M704" s="237"/>
      <c r="N704" s="237"/>
      <c r="O704" s="237"/>
      <c r="P704" s="237"/>
      <c r="Q704" s="237"/>
      <c r="R704" s="237"/>
      <c r="U704" s="204"/>
      <c r="V704" s="204"/>
      <c r="W704" s="204"/>
      <c r="X704" s="204"/>
    </row>
    <row r="705" customFormat="false" ht="12.75" hidden="false" customHeight="true" outlineLevel="0" collapsed="false">
      <c r="H705" s="236"/>
      <c r="I705" s="236"/>
      <c r="J705" s="236"/>
      <c r="L705" s="237"/>
      <c r="M705" s="237"/>
      <c r="N705" s="237"/>
      <c r="O705" s="237"/>
      <c r="P705" s="237"/>
      <c r="Q705" s="237"/>
      <c r="R705" s="237"/>
      <c r="U705" s="204"/>
      <c r="V705" s="204"/>
      <c r="W705" s="204"/>
      <c r="X705" s="204"/>
    </row>
    <row r="706" customFormat="false" ht="12.75" hidden="false" customHeight="true" outlineLevel="0" collapsed="false">
      <c r="H706" s="236"/>
      <c r="I706" s="236"/>
      <c r="J706" s="236"/>
      <c r="L706" s="237"/>
      <c r="M706" s="237"/>
      <c r="N706" s="237"/>
      <c r="O706" s="237"/>
      <c r="P706" s="237"/>
      <c r="Q706" s="237"/>
      <c r="R706" s="237"/>
      <c r="U706" s="204"/>
      <c r="V706" s="204"/>
      <c r="W706" s="204"/>
      <c r="X706" s="204"/>
    </row>
    <row r="707" customFormat="false" ht="12.75" hidden="false" customHeight="true" outlineLevel="0" collapsed="false">
      <c r="H707" s="236"/>
      <c r="I707" s="236"/>
      <c r="J707" s="236"/>
      <c r="L707" s="237"/>
      <c r="M707" s="237"/>
      <c r="N707" s="237"/>
      <c r="O707" s="237"/>
      <c r="P707" s="237"/>
      <c r="Q707" s="237"/>
      <c r="R707" s="237"/>
      <c r="U707" s="204"/>
      <c r="V707" s="204"/>
      <c r="W707" s="204"/>
      <c r="X707" s="204"/>
    </row>
    <row r="708" customFormat="false" ht="12.75" hidden="false" customHeight="true" outlineLevel="0" collapsed="false">
      <c r="H708" s="236"/>
      <c r="I708" s="236"/>
      <c r="J708" s="236"/>
      <c r="L708" s="237"/>
      <c r="M708" s="237"/>
      <c r="N708" s="237"/>
      <c r="O708" s="237"/>
      <c r="P708" s="237"/>
      <c r="Q708" s="237"/>
      <c r="R708" s="237"/>
      <c r="U708" s="204"/>
      <c r="V708" s="204"/>
      <c r="W708" s="204"/>
      <c r="X708" s="204"/>
    </row>
    <row r="709" customFormat="false" ht="12.75" hidden="false" customHeight="true" outlineLevel="0" collapsed="false">
      <c r="H709" s="236"/>
      <c r="I709" s="236"/>
      <c r="J709" s="236"/>
      <c r="L709" s="237"/>
      <c r="M709" s="237"/>
      <c r="N709" s="237"/>
      <c r="O709" s="237"/>
      <c r="P709" s="237"/>
      <c r="Q709" s="237"/>
      <c r="R709" s="237"/>
      <c r="U709" s="204"/>
      <c r="V709" s="204"/>
      <c r="W709" s="204"/>
      <c r="X709" s="204"/>
    </row>
    <row r="710" customFormat="false" ht="12.75" hidden="false" customHeight="true" outlineLevel="0" collapsed="false">
      <c r="H710" s="236"/>
      <c r="I710" s="236"/>
      <c r="J710" s="236"/>
      <c r="L710" s="237"/>
      <c r="M710" s="237"/>
      <c r="N710" s="237"/>
      <c r="O710" s="237"/>
      <c r="P710" s="237"/>
      <c r="Q710" s="237"/>
      <c r="R710" s="237"/>
      <c r="U710" s="204"/>
      <c r="V710" s="204"/>
      <c r="W710" s="204"/>
      <c r="X710" s="204"/>
    </row>
    <row r="711" customFormat="false" ht="12.75" hidden="false" customHeight="true" outlineLevel="0" collapsed="false">
      <c r="H711" s="236"/>
      <c r="I711" s="236"/>
      <c r="J711" s="236"/>
      <c r="L711" s="237"/>
      <c r="M711" s="237"/>
      <c r="N711" s="237"/>
      <c r="O711" s="237"/>
      <c r="P711" s="237"/>
      <c r="Q711" s="237"/>
      <c r="R711" s="237"/>
      <c r="U711" s="204"/>
      <c r="V711" s="204"/>
      <c r="W711" s="204"/>
      <c r="X711" s="204"/>
    </row>
    <row r="712" customFormat="false" ht="12.75" hidden="false" customHeight="true" outlineLevel="0" collapsed="false">
      <c r="H712" s="236"/>
      <c r="I712" s="236"/>
      <c r="J712" s="236"/>
      <c r="L712" s="237"/>
      <c r="M712" s="237"/>
      <c r="N712" s="237"/>
      <c r="O712" s="237"/>
      <c r="P712" s="237"/>
      <c r="Q712" s="237"/>
      <c r="R712" s="237"/>
      <c r="U712" s="204"/>
      <c r="V712" s="204"/>
      <c r="W712" s="204"/>
      <c r="X712" s="204"/>
    </row>
    <row r="713" customFormat="false" ht="12.75" hidden="false" customHeight="true" outlineLevel="0" collapsed="false">
      <c r="H713" s="236"/>
      <c r="I713" s="236"/>
      <c r="J713" s="236"/>
      <c r="L713" s="237"/>
      <c r="M713" s="237"/>
      <c r="N713" s="237"/>
      <c r="O713" s="237"/>
      <c r="P713" s="237"/>
      <c r="Q713" s="237"/>
      <c r="R713" s="237"/>
      <c r="U713" s="204"/>
      <c r="V713" s="204"/>
      <c r="W713" s="204"/>
      <c r="X713" s="204"/>
    </row>
    <row r="714" customFormat="false" ht="12.75" hidden="false" customHeight="true" outlineLevel="0" collapsed="false">
      <c r="H714" s="236"/>
      <c r="I714" s="236"/>
      <c r="J714" s="236"/>
      <c r="L714" s="237"/>
      <c r="M714" s="237"/>
      <c r="N714" s="237"/>
      <c r="O714" s="237"/>
      <c r="P714" s="237"/>
      <c r="Q714" s="237"/>
      <c r="R714" s="237"/>
      <c r="U714" s="204"/>
      <c r="V714" s="204"/>
      <c r="W714" s="204"/>
      <c r="X714" s="204"/>
    </row>
    <row r="715" customFormat="false" ht="12.75" hidden="false" customHeight="true" outlineLevel="0" collapsed="false">
      <c r="H715" s="236"/>
      <c r="I715" s="236"/>
      <c r="J715" s="236"/>
      <c r="L715" s="237"/>
      <c r="M715" s="237"/>
      <c r="N715" s="237"/>
      <c r="O715" s="237"/>
      <c r="P715" s="237"/>
      <c r="Q715" s="237"/>
      <c r="R715" s="237"/>
      <c r="U715" s="204"/>
      <c r="V715" s="204"/>
      <c r="W715" s="204"/>
      <c r="X715" s="204"/>
    </row>
    <row r="716" customFormat="false" ht="12.75" hidden="false" customHeight="true" outlineLevel="0" collapsed="false">
      <c r="H716" s="236"/>
      <c r="I716" s="236"/>
      <c r="J716" s="236"/>
      <c r="L716" s="237"/>
      <c r="M716" s="237"/>
      <c r="N716" s="237"/>
      <c r="O716" s="237"/>
      <c r="P716" s="237"/>
      <c r="Q716" s="237"/>
      <c r="R716" s="237"/>
      <c r="U716" s="204"/>
      <c r="V716" s="204"/>
      <c r="W716" s="204"/>
      <c r="X716" s="204"/>
    </row>
    <row r="717" customFormat="false" ht="12.75" hidden="false" customHeight="true" outlineLevel="0" collapsed="false">
      <c r="H717" s="236"/>
      <c r="I717" s="236"/>
      <c r="J717" s="236"/>
      <c r="L717" s="237"/>
      <c r="M717" s="237"/>
      <c r="N717" s="237"/>
      <c r="O717" s="237"/>
      <c r="P717" s="237"/>
      <c r="Q717" s="237"/>
      <c r="R717" s="237"/>
      <c r="U717" s="204"/>
      <c r="V717" s="204"/>
      <c r="W717" s="204"/>
      <c r="X717" s="204"/>
    </row>
    <row r="718" customFormat="false" ht="12.75" hidden="false" customHeight="true" outlineLevel="0" collapsed="false">
      <c r="H718" s="236"/>
      <c r="I718" s="236"/>
      <c r="J718" s="236"/>
      <c r="L718" s="237"/>
      <c r="M718" s="237"/>
      <c r="N718" s="237"/>
      <c r="O718" s="237"/>
      <c r="P718" s="237"/>
      <c r="Q718" s="237"/>
      <c r="R718" s="237"/>
      <c r="U718" s="204"/>
      <c r="V718" s="204"/>
      <c r="W718" s="204"/>
      <c r="X718" s="204"/>
    </row>
    <row r="719" customFormat="false" ht="12.75" hidden="false" customHeight="true" outlineLevel="0" collapsed="false">
      <c r="H719" s="236"/>
      <c r="I719" s="236"/>
      <c r="J719" s="236"/>
      <c r="L719" s="237"/>
      <c r="M719" s="237"/>
      <c r="N719" s="237"/>
      <c r="O719" s="237"/>
      <c r="P719" s="237"/>
      <c r="Q719" s="237"/>
      <c r="R719" s="237"/>
      <c r="U719" s="204"/>
      <c r="V719" s="204"/>
      <c r="W719" s="204"/>
      <c r="X719" s="204"/>
    </row>
    <row r="720" customFormat="false" ht="12.75" hidden="false" customHeight="true" outlineLevel="0" collapsed="false">
      <c r="H720" s="236"/>
      <c r="I720" s="236"/>
      <c r="J720" s="236"/>
      <c r="L720" s="237"/>
      <c r="M720" s="237"/>
      <c r="N720" s="237"/>
      <c r="O720" s="237"/>
      <c r="P720" s="237"/>
      <c r="Q720" s="237"/>
      <c r="R720" s="237"/>
      <c r="U720" s="204"/>
      <c r="V720" s="204"/>
      <c r="W720" s="204"/>
      <c r="X720" s="204"/>
    </row>
    <row r="721" customFormat="false" ht="12.75" hidden="false" customHeight="true" outlineLevel="0" collapsed="false">
      <c r="H721" s="236"/>
      <c r="I721" s="236"/>
      <c r="J721" s="236"/>
      <c r="L721" s="237"/>
      <c r="M721" s="237"/>
      <c r="N721" s="237"/>
      <c r="O721" s="237"/>
      <c r="P721" s="237"/>
      <c r="Q721" s="237"/>
      <c r="R721" s="237"/>
      <c r="U721" s="204"/>
      <c r="V721" s="204"/>
      <c r="W721" s="204"/>
      <c r="X721" s="204"/>
    </row>
    <row r="722" customFormat="false" ht="12.75" hidden="false" customHeight="true" outlineLevel="0" collapsed="false">
      <c r="H722" s="236"/>
      <c r="I722" s="236"/>
      <c r="J722" s="236"/>
      <c r="L722" s="237"/>
      <c r="M722" s="237"/>
      <c r="N722" s="237"/>
      <c r="O722" s="237"/>
      <c r="P722" s="237"/>
      <c r="Q722" s="237"/>
      <c r="R722" s="237"/>
      <c r="U722" s="204"/>
      <c r="V722" s="204"/>
      <c r="W722" s="204"/>
      <c r="X722" s="204"/>
    </row>
    <row r="723" customFormat="false" ht="12.75" hidden="false" customHeight="true" outlineLevel="0" collapsed="false">
      <c r="H723" s="236"/>
      <c r="I723" s="236"/>
      <c r="J723" s="236"/>
      <c r="L723" s="237"/>
      <c r="M723" s="237"/>
      <c r="N723" s="237"/>
      <c r="O723" s="237"/>
      <c r="P723" s="237"/>
      <c r="Q723" s="237"/>
      <c r="R723" s="237"/>
      <c r="U723" s="204"/>
      <c r="V723" s="204"/>
      <c r="W723" s="204"/>
      <c r="X723" s="204"/>
    </row>
    <row r="724" customFormat="false" ht="12.75" hidden="false" customHeight="true" outlineLevel="0" collapsed="false">
      <c r="H724" s="236"/>
      <c r="I724" s="236"/>
      <c r="J724" s="236"/>
      <c r="L724" s="237"/>
      <c r="M724" s="237"/>
      <c r="N724" s="237"/>
      <c r="O724" s="237"/>
      <c r="P724" s="237"/>
      <c r="Q724" s="237"/>
      <c r="R724" s="237"/>
      <c r="U724" s="204"/>
      <c r="V724" s="204"/>
      <c r="W724" s="204"/>
      <c r="X724" s="204"/>
    </row>
    <row r="725" customFormat="false" ht="12.75" hidden="false" customHeight="true" outlineLevel="0" collapsed="false">
      <c r="H725" s="236"/>
      <c r="I725" s="236"/>
      <c r="J725" s="236"/>
      <c r="L725" s="237"/>
      <c r="M725" s="237"/>
      <c r="N725" s="237"/>
      <c r="O725" s="237"/>
      <c r="P725" s="237"/>
      <c r="Q725" s="237"/>
      <c r="R725" s="237"/>
      <c r="U725" s="204"/>
      <c r="V725" s="204"/>
      <c r="W725" s="204"/>
      <c r="X725" s="204"/>
    </row>
    <row r="726" customFormat="false" ht="12.75" hidden="false" customHeight="true" outlineLevel="0" collapsed="false">
      <c r="H726" s="236"/>
      <c r="I726" s="236"/>
      <c r="J726" s="236"/>
      <c r="L726" s="237"/>
      <c r="M726" s="237"/>
      <c r="N726" s="237"/>
      <c r="O726" s="237"/>
      <c r="P726" s="237"/>
      <c r="Q726" s="237"/>
      <c r="R726" s="237"/>
      <c r="U726" s="204"/>
      <c r="V726" s="204"/>
      <c r="W726" s="204"/>
      <c r="X726" s="204"/>
    </row>
    <row r="727" customFormat="false" ht="12.75" hidden="false" customHeight="true" outlineLevel="0" collapsed="false">
      <c r="H727" s="236"/>
      <c r="I727" s="236"/>
      <c r="J727" s="236"/>
      <c r="L727" s="237"/>
      <c r="M727" s="237"/>
      <c r="N727" s="237"/>
      <c r="O727" s="237"/>
      <c r="P727" s="237"/>
      <c r="Q727" s="237"/>
      <c r="R727" s="237"/>
      <c r="U727" s="204"/>
      <c r="V727" s="204"/>
      <c r="W727" s="204"/>
      <c r="X727" s="204"/>
    </row>
    <row r="728" customFormat="false" ht="12.75" hidden="false" customHeight="true" outlineLevel="0" collapsed="false">
      <c r="H728" s="236"/>
      <c r="I728" s="236"/>
      <c r="J728" s="236"/>
      <c r="L728" s="237"/>
      <c r="M728" s="237"/>
      <c r="N728" s="237"/>
      <c r="O728" s="237"/>
      <c r="P728" s="237"/>
      <c r="Q728" s="237"/>
      <c r="R728" s="237"/>
      <c r="U728" s="204"/>
      <c r="V728" s="204"/>
      <c r="W728" s="204"/>
      <c r="X728" s="204"/>
    </row>
    <row r="729" customFormat="false" ht="12.75" hidden="false" customHeight="true" outlineLevel="0" collapsed="false">
      <c r="H729" s="236"/>
      <c r="I729" s="236"/>
      <c r="J729" s="236"/>
      <c r="L729" s="237"/>
      <c r="M729" s="237"/>
      <c r="N729" s="237"/>
      <c r="O729" s="237"/>
      <c r="P729" s="237"/>
      <c r="Q729" s="237"/>
      <c r="R729" s="237"/>
      <c r="U729" s="204"/>
      <c r="V729" s="204"/>
      <c r="W729" s="204"/>
      <c r="X729" s="204"/>
    </row>
    <row r="730" customFormat="false" ht="12.75" hidden="false" customHeight="true" outlineLevel="0" collapsed="false">
      <c r="H730" s="236"/>
      <c r="I730" s="236"/>
      <c r="J730" s="236"/>
      <c r="L730" s="237"/>
      <c r="M730" s="237"/>
      <c r="N730" s="237"/>
      <c r="O730" s="237"/>
      <c r="P730" s="237"/>
      <c r="Q730" s="237"/>
      <c r="R730" s="237"/>
      <c r="U730" s="204"/>
      <c r="V730" s="204"/>
      <c r="W730" s="204"/>
      <c r="X730" s="204"/>
    </row>
    <row r="731" customFormat="false" ht="12.75" hidden="false" customHeight="true" outlineLevel="0" collapsed="false">
      <c r="H731" s="236"/>
      <c r="I731" s="236"/>
      <c r="J731" s="236"/>
      <c r="L731" s="237"/>
      <c r="M731" s="237"/>
      <c r="N731" s="237"/>
      <c r="O731" s="237"/>
      <c r="P731" s="237"/>
      <c r="Q731" s="237"/>
      <c r="R731" s="237"/>
      <c r="U731" s="204"/>
      <c r="V731" s="204"/>
      <c r="W731" s="204"/>
      <c r="X731" s="204"/>
    </row>
    <row r="732" customFormat="false" ht="12.75" hidden="false" customHeight="true" outlineLevel="0" collapsed="false">
      <c r="H732" s="236"/>
      <c r="I732" s="236"/>
      <c r="J732" s="236"/>
      <c r="L732" s="237"/>
      <c r="M732" s="237"/>
      <c r="N732" s="237"/>
      <c r="O732" s="237"/>
      <c r="P732" s="237"/>
      <c r="Q732" s="237"/>
      <c r="R732" s="237"/>
      <c r="U732" s="204"/>
      <c r="V732" s="204"/>
      <c r="W732" s="204"/>
      <c r="X732" s="204"/>
    </row>
    <row r="733" customFormat="false" ht="12.75" hidden="false" customHeight="true" outlineLevel="0" collapsed="false">
      <c r="H733" s="236"/>
      <c r="I733" s="236"/>
      <c r="J733" s="236"/>
      <c r="L733" s="237"/>
      <c r="M733" s="237"/>
      <c r="N733" s="237"/>
      <c r="O733" s="237"/>
      <c r="P733" s="237"/>
      <c r="Q733" s="237"/>
      <c r="R733" s="237"/>
      <c r="U733" s="204"/>
      <c r="V733" s="204"/>
      <c r="W733" s="204"/>
      <c r="X733" s="204"/>
    </row>
    <row r="734" customFormat="false" ht="12.75" hidden="false" customHeight="true" outlineLevel="0" collapsed="false">
      <c r="H734" s="236"/>
      <c r="I734" s="236"/>
      <c r="J734" s="236"/>
      <c r="L734" s="237"/>
      <c r="M734" s="237"/>
      <c r="N734" s="237"/>
      <c r="O734" s="237"/>
      <c r="P734" s="237"/>
      <c r="Q734" s="237"/>
      <c r="R734" s="237"/>
      <c r="U734" s="204"/>
      <c r="V734" s="204"/>
      <c r="W734" s="204"/>
      <c r="X734" s="204"/>
    </row>
    <row r="735" customFormat="false" ht="12.75" hidden="false" customHeight="true" outlineLevel="0" collapsed="false">
      <c r="H735" s="236"/>
      <c r="I735" s="236"/>
      <c r="J735" s="236"/>
      <c r="L735" s="237"/>
      <c r="M735" s="237"/>
      <c r="N735" s="237"/>
      <c r="O735" s="237"/>
      <c r="P735" s="237"/>
      <c r="Q735" s="237"/>
      <c r="R735" s="237"/>
      <c r="U735" s="204"/>
      <c r="V735" s="204"/>
      <c r="W735" s="204"/>
      <c r="X735" s="204"/>
    </row>
    <row r="736" customFormat="false" ht="12.75" hidden="false" customHeight="true" outlineLevel="0" collapsed="false">
      <c r="H736" s="236"/>
      <c r="I736" s="236"/>
      <c r="J736" s="236"/>
      <c r="L736" s="237"/>
      <c r="M736" s="237"/>
      <c r="N736" s="237"/>
      <c r="O736" s="237"/>
      <c r="P736" s="237"/>
      <c r="Q736" s="237"/>
      <c r="R736" s="237"/>
      <c r="U736" s="204"/>
      <c r="V736" s="204"/>
      <c r="W736" s="204"/>
      <c r="X736" s="204"/>
    </row>
    <row r="737" customFormat="false" ht="12.75" hidden="false" customHeight="true" outlineLevel="0" collapsed="false">
      <c r="H737" s="236"/>
      <c r="I737" s="236"/>
      <c r="J737" s="236"/>
      <c r="L737" s="237"/>
      <c r="M737" s="237"/>
      <c r="N737" s="237"/>
      <c r="O737" s="237"/>
      <c r="P737" s="237"/>
      <c r="Q737" s="237"/>
      <c r="R737" s="237"/>
      <c r="U737" s="204"/>
      <c r="V737" s="204"/>
      <c r="W737" s="204"/>
      <c r="X737" s="204"/>
    </row>
    <row r="738" customFormat="false" ht="12.75" hidden="false" customHeight="true" outlineLevel="0" collapsed="false">
      <c r="H738" s="236"/>
      <c r="I738" s="236"/>
      <c r="J738" s="236"/>
      <c r="L738" s="237"/>
      <c r="M738" s="237"/>
      <c r="N738" s="237"/>
      <c r="O738" s="237"/>
      <c r="P738" s="237"/>
      <c r="Q738" s="237"/>
      <c r="R738" s="237"/>
      <c r="U738" s="204"/>
      <c r="V738" s="204"/>
      <c r="W738" s="204"/>
      <c r="X738" s="204"/>
    </row>
    <row r="739" customFormat="false" ht="12.75" hidden="false" customHeight="true" outlineLevel="0" collapsed="false">
      <c r="H739" s="236"/>
      <c r="I739" s="236"/>
      <c r="J739" s="236"/>
      <c r="L739" s="237"/>
      <c r="M739" s="237"/>
      <c r="N739" s="237"/>
      <c r="O739" s="237"/>
      <c r="P739" s="237"/>
      <c r="Q739" s="237"/>
      <c r="R739" s="237"/>
      <c r="U739" s="204"/>
      <c r="V739" s="204"/>
      <c r="W739" s="204"/>
      <c r="X739" s="204"/>
    </row>
    <row r="740" customFormat="false" ht="12.75" hidden="false" customHeight="true" outlineLevel="0" collapsed="false">
      <c r="H740" s="236"/>
      <c r="I740" s="236"/>
      <c r="J740" s="236"/>
      <c r="L740" s="237"/>
      <c r="M740" s="237"/>
      <c r="N740" s="237"/>
      <c r="O740" s="237"/>
      <c r="P740" s="237"/>
      <c r="Q740" s="237"/>
      <c r="R740" s="237"/>
      <c r="U740" s="204"/>
      <c r="V740" s="204"/>
      <c r="W740" s="204"/>
      <c r="X740" s="204"/>
    </row>
    <row r="741" customFormat="false" ht="12.75" hidden="false" customHeight="true" outlineLevel="0" collapsed="false">
      <c r="H741" s="236"/>
      <c r="I741" s="236"/>
      <c r="J741" s="236"/>
      <c r="L741" s="237"/>
      <c r="M741" s="237"/>
      <c r="N741" s="237"/>
      <c r="O741" s="237"/>
      <c r="P741" s="237"/>
      <c r="Q741" s="237"/>
      <c r="R741" s="237"/>
      <c r="U741" s="204"/>
      <c r="V741" s="204"/>
      <c r="W741" s="204"/>
      <c r="X741" s="204"/>
    </row>
    <row r="742" customFormat="false" ht="12.75" hidden="false" customHeight="true" outlineLevel="0" collapsed="false">
      <c r="H742" s="236"/>
      <c r="I742" s="236"/>
      <c r="J742" s="236"/>
      <c r="L742" s="237"/>
      <c r="M742" s="237"/>
      <c r="N742" s="237"/>
      <c r="O742" s="237"/>
      <c r="P742" s="237"/>
      <c r="Q742" s="237"/>
      <c r="R742" s="237"/>
      <c r="U742" s="204"/>
      <c r="V742" s="204"/>
      <c r="W742" s="204"/>
      <c r="X742" s="204"/>
    </row>
    <row r="743" customFormat="false" ht="12.75" hidden="false" customHeight="true" outlineLevel="0" collapsed="false">
      <c r="H743" s="236"/>
      <c r="I743" s="236"/>
      <c r="J743" s="236"/>
      <c r="L743" s="237"/>
      <c r="M743" s="237"/>
      <c r="N743" s="237"/>
      <c r="O743" s="237"/>
      <c r="P743" s="237"/>
      <c r="Q743" s="237"/>
      <c r="R743" s="237"/>
      <c r="U743" s="204"/>
      <c r="V743" s="204"/>
      <c r="W743" s="204"/>
      <c r="X743" s="204"/>
    </row>
    <row r="744" customFormat="false" ht="12.75" hidden="false" customHeight="true" outlineLevel="0" collapsed="false">
      <c r="H744" s="236"/>
      <c r="I744" s="236"/>
      <c r="J744" s="236"/>
      <c r="L744" s="237"/>
      <c r="M744" s="237"/>
      <c r="N744" s="237"/>
      <c r="O744" s="237"/>
      <c r="P744" s="237"/>
      <c r="Q744" s="237"/>
      <c r="R744" s="237"/>
      <c r="U744" s="204"/>
      <c r="V744" s="204"/>
      <c r="W744" s="204"/>
      <c r="X744" s="204"/>
    </row>
    <row r="745" customFormat="false" ht="12.75" hidden="false" customHeight="true" outlineLevel="0" collapsed="false">
      <c r="H745" s="236"/>
      <c r="I745" s="236"/>
      <c r="J745" s="236"/>
      <c r="L745" s="237"/>
      <c r="M745" s="237"/>
      <c r="N745" s="237"/>
      <c r="O745" s="237"/>
      <c r="P745" s="237"/>
      <c r="Q745" s="237"/>
      <c r="R745" s="237"/>
      <c r="U745" s="204"/>
      <c r="V745" s="204"/>
      <c r="W745" s="204"/>
      <c r="X745" s="204"/>
    </row>
    <row r="746" customFormat="false" ht="12.75" hidden="false" customHeight="true" outlineLevel="0" collapsed="false">
      <c r="H746" s="236"/>
      <c r="I746" s="236"/>
      <c r="J746" s="236"/>
      <c r="L746" s="237"/>
      <c r="M746" s="237"/>
      <c r="N746" s="237"/>
      <c r="O746" s="237"/>
      <c r="P746" s="237"/>
      <c r="Q746" s="237"/>
      <c r="R746" s="237"/>
      <c r="U746" s="204"/>
      <c r="V746" s="204"/>
      <c r="W746" s="204"/>
      <c r="X746" s="204"/>
    </row>
    <row r="747" customFormat="false" ht="12.75" hidden="false" customHeight="true" outlineLevel="0" collapsed="false">
      <c r="H747" s="236"/>
      <c r="I747" s="236"/>
      <c r="J747" s="236"/>
      <c r="L747" s="237"/>
      <c r="M747" s="237"/>
      <c r="N747" s="237"/>
      <c r="O747" s="237"/>
      <c r="P747" s="237"/>
      <c r="Q747" s="237"/>
      <c r="R747" s="237"/>
      <c r="U747" s="204"/>
      <c r="V747" s="204"/>
      <c r="W747" s="204"/>
      <c r="X747" s="204"/>
    </row>
    <row r="748" customFormat="false" ht="12.75" hidden="false" customHeight="true" outlineLevel="0" collapsed="false">
      <c r="H748" s="236"/>
      <c r="I748" s="236"/>
      <c r="J748" s="236"/>
      <c r="L748" s="237"/>
      <c r="M748" s="237"/>
      <c r="N748" s="237"/>
      <c r="O748" s="237"/>
      <c r="P748" s="237"/>
      <c r="Q748" s="237"/>
      <c r="R748" s="237"/>
      <c r="U748" s="204"/>
      <c r="V748" s="204"/>
      <c r="W748" s="204"/>
      <c r="X748" s="204"/>
    </row>
    <row r="749" customFormat="false" ht="12.75" hidden="false" customHeight="true" outlineLevel="0" collapsed="false">
      <c r="H749" s="236"/>
      <c r="I749" s="236"/>
      <c r="J749" s="236"/>
      <c r="L749" s="237"/>
      <c r="M749" s="237"/>
      <c r="N749" s="237"/>
      <c r="O749" s="237"/>
      <c r="P749" s="237"/>
      <c r="Q749" s="237"/>
      <c r="R749" s="237"/>
      <c r="U749" s="204"/>
      <c r="V749" s="204"/>
      <c r="W749" s="204"/>
      <c r="X749" s="204"/>
    </row>
    <row r="750" customFormat="false" ht="12.75" hidden="false" customHeight="true" outlineLevel="0" collapsed="false">
      <c r="H750" s="236"/>
      <c r="I750" s="236"/>
      <c r="J750" s="236"/>
      <c r="L750" s="237"/>
      <c r="M750" s="237"/>
      <c r="N750" s="237"/>
      <c r="O750" s="237"/>
      <c r="P750" s="237"/>
      <c r="Q750" s="237"/>
      <c r="R750" s="237"/>
      <c r="U750" s="204"/>
      <c r="V750" s="204"/>
      <c r="W750" s="204"/>
      <c r="X750" s="204"/>
    </row>
    <row r="751" customFormat="false" ht="12.75" hidden="false" customHeight="true" outlineLevel="0" collapsed="false">
      <c r="H751" s="236"/>
      <c r="I751" s="236"/>
      <c r="J751" s="236"/>
      <c r="L751" s="237"/>
      <c r="M751" s="237"/>
      <c r="N751" s="237"/>
      <c r="O751" s="237"/>
      <c r="P751" s="237"/>
      <c r="Q751" s="237"/>
      <c r="R751" s="237"/>
      <c r="U751" s="204"/>
      <c r="V751" s="204"/>
      <c r="W751" s="204"/>
      <c r="X751" s="204"/>
    </row>
    <row r="752" customFormat="false" ht="12.75" hidden="false" customHeight="true" outlineLevel="0" collapsed="false">
      <c r="H752" s="236"/>
      <c r="I752" s="236"/>
      <c r="J752" s="236"/>
      <c r="L752" s="237"/>
      <c r="M752" s="237"/>
      <c r="N752" s="237"/>
      <c r="O752" s="237"/>
      <c r="P752" s="237"/>
      <c r="Q752" s="237"/>
      <c r="R752" s="237"/>
      <c r="U752" s="204"/>
      <c r="V752" s="204"/>
      <c r="W752" s="204"/>
      <c r="X752" s="204"/>
    </row>
    <row r="753" customFormat="false" ht="12.75" hidden="false" customHeight="true" outlineLevel="0" collapsed="false">
      <c r="H753" s="236"/>
      <c r="I753" s="236"/>
      <c r="J753" s="236"/>
      <c r="L753" s="237"/>
      <c r="M753" s="237"/>
      <c r="N753" s="237"/>
      <c r="O753" s="237"/>
      <c r="P753" s="237"/>
      <c r="Q753" s="237"/>
      <c r="R753" s="237"/>
      <c r="U753" s="204"/>
      <c r="V753" s="204"/>
      <c r="W753" s="204"/>
      <c r="X753" s="204"/>
    </row>
    <row r="754" customFormat="false" ht="12.75" hidden="false" customHeight="true" outlineLevel="0" collapsed="false">
      <c r="H754" s="236"/>
      <c r="I754" s="236"/>
      <c r="J754" s="236"/>
      <c r="L754" s="237"/>
      <c r="M754" s="237"/>
      <c r="N754" s="237"/>
      <c r="O754" s="237"/>
      <c r="P754" s="237"/>
      <c r="Q754" s="237"/>
      <c r="R754" s="237"/>
      <c r="U754" s="204"/>
      <c r="V754" s="204"/>
      <c r="W754" s="204"/>
      <c r="X754" s="204"/>
    </row>
    <row r="755" customFormat="false" ht="12.75" hidden="false" customHeight="true" outlineLevel="0" collapsed="false">
      <c r="H755" s="236"/>
      <c r="I755" s="236"/>
      <c r="J755" s="236"/>
      <c r="L755" s="237"/>
      <c r="M755" s="237"/>
      <c r="N755" s="237"/>
      <c r="O755" s="237"/>
      <c r="P755" s="237"/>
      <c r="Q755" s="237"/>
      <c r="R755" s="237"/>
      <c r="U755" s="204"/>
      <c r="V755" s="204"/>
      <c r="W755" s="204"/>
      <c r="X755" s="204"/>
    </row>
    <row r="756" customFormat="false" ht="12.75" hidden="false" customHeight="true" outlineLevel="0" collapsed="false">
      <c r="H756" s="236"/>
      <c r="I756" s="236"/>
      <c r="J756" s="236"/>
      <c r="L756" s="237"/>
      <c r="M756" s="237"/>
      <c r="N756" s="237"/>
      <c r="O756" s="237"/>
      <c r="P756" s="237"/>
      <c r="Q756" s="237"/>
      <c r="R756" s="237"/>
      <c r="U756" s="204"/>
      <c r="V756" s="204"/>
      <c r="W756" s="204"/>
      <c r="X756" s="204"/>
    </row>
    <row r="757" customFormat="false" ht="12.75" hidden="false" customHeight="true" outlineLevel="0" collapsed="false">
      <c r="H757" s="236"/>
      <c r="I757" s="236"/>
      <c r="J757" s="236"/>
      <c r="L757" s="237"/>
      <c r="M757" s="237"/>
      <c r="N757" s="237"/>
      <c r="O757" s="237"/>
      <c r="P757" s="237"/>
      <c r="Q757" s="237"/>
      <c r="R757" s="237"/>
      <c r="U757" s="204"/>
      <c r="V757" s="204"/>
      <c r="W757" s="204"/>
      <c r="X757" s="204"/>
    </row>
    <row r="758" customFormat="false" ht="12.75" hidden="false" customHeight="true" outlineLevel="0" collapsed="false">
      <c r="H758" s="236"/>
      <c r="I758" s="236"/>
      <c r="J758" s="236"/>
      <c r="L758" s="237"/>
      <c r="M758" s="237"/>
      <c r="N758" s="237"/>
      <c r="O758" s="237"/>
      <c r="P758" s="237"/>
      <c r="Q758" s="237"/>
      <c r="R758" s="237"/>
      <c r="U758" s="204"/>
      <c r="V758" s="204"/>
      <c r="W758" s="204"/>
      <c r="X758" s="204"/>
    </row>
    <row r="759" customFormat="false" ht="12.75" hidden="false" customHeight="true" outlineLevel="0" collapsed="false">
      <c r="H759" s="236"/>
      <c r="I759" s="236"/>
      <c r="J759" s="236"/>
      <c r="L759" s="237"/>
      <c r="M759" s="237"/>
      <c r="N759" s="237"/>
      <c r="O759" s="237"/>
      <c r="P759" s="237"/>
      <c r="Q759" s="237"/>
      <c r="R759" s="237"/>
      <c r="U759" s="204"/>
      <c r="V759" s="204"/>
      <c r="W759" s="204"/>
      <c r="X759" s="204"/>
    </row>
    <row r="760" customFormat="false" ht="12.75" hidden="false" customHeight="true" outlineLevel="0" collapsed="false">
      <c r="H760" s="236"/>
      <c r="I760" s="236"/>
      <c r="J760" s="236"/>
      <c r="L760" s="237"/>
      <c r="M760" s="237"/>
      <c r="N760" s="237"/>
      <c r="O760" s="237"/>
      <c r="P760" s="237"/>
      <c r="Q760" s="237"/>
      <c r="R760" s="237"/>
      <c r="U760" s="204"/>
      <c r="V760" s="204"/>
      <c r="W760" s="204"/>
      <c r="X760" s="204"/>
    </row>
    <row r="761" customFormat="false" ht="12.75" hidden="false" customHeight="true" outlineLevel="0" collapsed="false">
      <c r="H761" s="236"/>
      <c r="I761" s="236"/>
      <c r="J761" s="236"/>
      <c r="L761" s="237"/>
      <c r="M761" s="237"/>
      <c r="N761" s="237"/>
      <c r="O761" s="237"/>
      <c r="P761" s="237"/>
      <c r="Q761" s="237"/>
      <c r="R761" s="237"/>
      <c r="U761" s="204"/>
      <c r="V761" s="204"/>
      <c r="W761" s="204"/>
      <c r="X761" s="204"/>
    </row>
    <row r="762" customFormat="false" ht="12.75" hidden="false" customHeight="true" outlineLevel="0" collapsed="false">
      <c r="H762" s="236"/>
      <c r="I762" s="236"/>
      <c r="J762" s="236"/>
      <c r="L762" s="237"/>
      <c r="M762" s="237"/>
      <c r="N762" s="237"/>
      <c r="O762" s="237"/>
      <c r="P762" s="237"/>
      <c r="Q762" s="237"/>
      <c r="R762" s="237"/>
      <c r="U762" s="204"/>
      <c r="V762" s="204"/>
      <c r="W762" s="204"/>
      <c r="X762" s="204"/>
    </row>
    <row r="763" customFormat="false" ht="12.75" hidden="false" customHeight="true" outlineLevel="0" collapsed="false">
      <c r="H763" s="236"/>
      <c r="I763" s="236"/>
      <c r="J763" s="236"/>
      <c r="L763" s="237"/>
      <c r="M763" s="237"/>
      <c r="N763" s="237"/>
      <c r="O763" s="237"/>
      <c r="P763" s="237"/>
      <c r="Q763" s="237"/>
      <c r="R763" s="237"/>
      <c r="U763" s="204"/>
      <c r="V763" s="204"/>
      <c r="W763" s="204"/>
      <c r="X763" s="204"/>
    </row>
    <row r="764" customFormat="false" ht="12.75" hidden="false" customHeight="true" outlineLevel="0" collapsed="false">
      <c r="H764" s="236"/>
      <c r="I764" s="236"/>
      <c r="J764" s="236"/>
      <c r="L764" s="237"/>
      <c r="M764" s="237"/>
      <c r="N764" s="237"/>
      <c r="O764" s="237"/>
      <c r="P764" s="237"/>
      <c r="Q764" s="237"/>
      <c r="R764" s="237"/>
      <c r="U764" s="204"/>
      <c r="V764" s="204"/>
      <c r="W764" s="204"/>
      <c r="X764" s="204"/>
    </row>
    <row r="765" customFormat="false" ht="12.75" hidden="false" customHeight="true" outlineLevel="0" collapsed="false">
      <c r="H765" s="236"/>
      <c r="I765" s="236"/>
      <c r="J765" s="236"/>
      <c r="L765" s="237"/>
      <c r="M765" s="237"/>
      <c r="N765" s="237"/>
      <c r="O765" s="237"/>
      <c r="P765" s="237"/>
      <c r="Q765" s="237"/>
      <c r="R765" s="237"/>
      <c r="U765" s="204"/>
      <c r="V765" s="204"/>
      <c r="W765" s="204"/>
      <c r="X765" s="204"/>
    </row>
    <row r="766" customFormat="false" ht="12.75" hidden="false" customHeight="true" outlineLevel="0" collapsed="false">
      <c r="H766" s="236"/>
      <c r="I766" s="236"/>
      <c r="J766" s="236"/>
      <c r="L766" s="237"/>
      <c r="M766" s="237"/>
      <c r="N766" s="237"/>
      <c r="O766" s="237"/>
      <c r="P766" s="237"/>
      <c r="Q766" s="237"/>
      <c r="R766" s="237"/>
      <c r="U766" s="204"/>
      <c r="V766" s="204"/>
      <c r="W766" s="204"/>
      <c r="X766" s="204"/>
    </row>
    <row r="767" customFormat="false" ht="12.75" hidden="false" customHeight="true" outlineLevel="0" collapsed="false">
      <c r="H767" s="236"/>
      <c r="I767" s="236"/>
      <c r="J767" s="236"/>
      <c r="L767" s="237"/>
      <c r="M767" s="237"/>
      <c r="N767" s="237"/>
      <c r="O767" s="237"/>
      <c r="P767" s="237"/>
      <c r="Q767" s="237"/>
      <c r="R767" s="237"/>
      <c r="U767" s="204"/>
      <c r="V767" s="204"/>
      <c r="W767" s="204"/>
      <c r="X767" s="204"/>
    </row>
    <row r="768" customFormat="false" ht="12.75" hidden="false" customHeight="true" outlineLevel="0" collapsed="false">
      <c r="H768" s="236"/>
      <c r="I768" s="236"/>
      <c r="J768" s="236"/>
      <c r="L768" s="237"/>
      <c r="M768" s="237"/>
      <c r="N768" s="237"/>
      <c r="O768" s="237"/>
      <c r="P768" s="237"/>
      <c r="Q768" s="237"/>
      <c r="R768" s="237"/>
      <c r="U768" s="204"/>
      <c r="V768" s="204"/>
      <c r="W768" s="204"/>
      <c r="X768" s="204"/>
    </row>
    <row r="769" customFormat="false" ht="12.75" hidden="false" customHeight="true" outlineLevel="0" collapsed="false">
      <c r="H769" s="236"/>
      <c r="I769" s="236"/>
      <c r="J769" s="236"/>
      <c r="L769" s="237"/>
      <c r="M769" s="237"/>
      <c r="N769" s="237"/>
      <c r="O769" s="237"/>
      <c r="P769" s="237"/>
      <c r="Q769" s="237"/>
      <c r="R769" s="237"/>
      <c r="U769" s="204"/>
      <c r="V769" s="204"/>
      <c r="W769" s="204"/>
      <c r="X769" s="204"/>
    </row>
    <row r="770" customFormat="false" ht="12.75" hidden="false" customHeight="true" outlineLevel="0" collapsed="false">
      <c r="H770" s="236"/>
      <c r="I770" s="236"/>
      <c r="J770" s="236"/>
      <c r="L770" s="237"/>
      <c r="M770" s="237"/>
      <c r="N770" s="237"/>
      <c r="O770" s="237"/>
      <c r="P770" s="237"/>
      <c r="Q770" s="237"/>
      <c r="R770" s="237"/>
      <c r="U770" s="204"/>
      <c r="V770" s="204"/>
      <c r="W770" s="204"/>
      <c r="X770" s="204"/>
    </row>
    <row r="771" customFormat="false" ht="12.75" hidden="false" customHeight="true" outlineLevel="0" collapsed="false">
      <c r="H771" s="236"/>
      <c r="I771" s="236"/>
      <c r="J771" s="236"/>
      <c r="L771" s="237"/>
      <c r="M771" s="237"/>
      <c r="N771" s="237"/>
      <c r="O771" s="237"/>
      <c r="P771" s="237"/>
      <c r="Q771" s="237"/>
      <c r="R771" s="237"/>
      <c r="U771" s="204"/>
      <c r="V771" s="204"/>
      <c r="W771" s="204"/>
      <c r="X771" s="204"/>
    </row>
    <row r="772" customFormat="false" ht="12.75" hidden="false" customHeight="true" outlineLevel="0" collapsed="false">
      <c r="H772" s="236"/>
      <c r="I772" s="236"/>
      <c r="J772" s="236"/>
      <c r="L772" s="237"/>
      <c r="M772" s="237"/>
      <c r="N772" s="237"/>
      <c r="O772" s="237"/>
      <c r="P772" s="237"/>
      <c r="Q772" s="237"/>
      <c r="R772" s="237"/>
      <c r="U772" s="204"/>
      <c r="V772" s="204"/>
      <c r="W772" s="204"/>
      <c r="X772" s="204"/>
    </row>
    <row r="773" customFormat="false" ht="12.75" hidden="false" customHeight="true" outlineLevel="0" collapsed="false">
      <c r="H773" s="236"/>
      <c r="I773" s="236"/>
      <c r="J773" s="236"/>
      <c r="L773" s="237"/>
      <c r="M773" s="237"/>
      <c r="N773" s="237"/>
      <c r="O773" s="237"/>
      <c r="P773" s="237"/>
      <c r="Q773" s="237"/>
      <c r="R773" s="237"/>
      <c r="U773" s="204"/>
      <c r="V773" s="204"/>
      <c r="W773" s="204"/>
      <c r="X773" s="204"/>
    </row>
    <row r="774" customFormat="false" ht="12.75" hidden="false" customHeight="true" outlineLevel="0" collapsed="false">
      <c r="H774" s="236"/>
      <c r="I774" s="236"/>
      <c r="J774" s="236"/>
      <c r="L774" s="237"/>
      <c r="M774" s="237"/>
      <c r="N774" s="237"/>
      <c r="O774" s="237"/>
      <c r="P774" s="237"/>
      <c r="Q774" s="237"/>
      <c r="R774" s="237"/>
      <c r="U774" s="204"/>
      <c r="V774" s="204"/>
      <c r="W774" s="204"/>
      <c r="X774" s="204"/>
    </row>
    <row r="775" customFormat="false" ht="12.75" hidden="false" customHeight="true" outlineLevel="0" collapsed="false">
      <c r="H775" s="236"/>
      <c r="I775" s="236"/>
      <c r="J775" s="236"/>
      <c r="L775" s="237"/>
      <c r="M775" s="237"/>
      <c r="N775" s="237"/>
      <c r="O775" s="237"/>
      <c r="P775" s="237"/>
      <c r="Q775" s="237"/>
      <c r="R775" s="237"/>
      <c r="U775" s="204"/>
      <c r="V775" s="204"/>
      <c r="W775" s="204"/>
      <c r="X775" s="204"/>
    </row>
    <row r="776" customFormat="false" ht="12.75" hidden="false" customHeight="true" outlineLevel="0" collapsed="false">
      <c r="H776" s="236"/>
      <c r="I776" s="236"/>
      <c r="J776" s="236"/>
      <c r="L776" s="237"/>
      <c r="M776" s="237"/>
      <c r="N776" s="237"/>
      <c r="O776" s="237"/>
      <c r="P776" s="237"/>
      <c r="Q776" s="237"/>
      <c r="R776" s="237"/>
      <c r="U776" s="204"/>
      <c r="V776" s="204"/>
      <c r="W776" s="204"/>
      <c r="X776" s="204"/>
    </row>
    <row r="777" customFormat="false" ht="12.75" hidden="false" customHeight="true" outlineLevel="0" collapsed="false">
      <c r="H777" s="236"/>
      <c r="I777" s="236"/>
      <c r="J777" s="236"/>
      <c r="L777" s="237"/>
      <c r="M777" s="237"/>
      <c r="N777" s="237"/>
      <c r="O777" s="237"/>
      <c r="P777" s="237"/>
      <c r="Q777" s="237"/>
      <c r="R777" s="237"/>
      <c r="U777" s="204"/>
      <c r="V777" s="204"/>
      <c r="W777" s="204"/>
      <c r="X777" s="204"/>
    </row>
    <row r="778" customFormat="false" ht="12.75" hidden="false" customHeight="true" outlineLevel="0" collapsed="false">
      <c r="H778" s="236"/>
      <c r="I778" s="236"/>
      <c r="J778" s="236"/>
      <c r="L778" s="237"/>
      <c r="M778" s="237"/>
      <c r="N778" s="237"/>
      <c r="O778" s="237"/>
      <c r="P778" s="237"/>
      <c r="Q778" s="237"/>
      <c r="R778" s="237"/>
      <c r="U778" s="204"/>
      <c r="V778" s="204"/>
      <c r="W778" s="204"/>
      <c r="X778" s="204"/>
    </row>
    <row r="779" customFormat="false" ht="12.75" hidden="false" customHeight="true" outlineLevel="0" collapsed="false">
      <c r="H779" s="236"/>
      <c r="I779" s="236"/>
      <c r="J779" s="236"/>
      <c r="L779" s="237"/>
      <c r="M779" s="237"/>
      <c r="N779" s="237"/>
      <c r="O779" s="237"/>
      <c r="P779" s="237"/>
      <c r="Q779" s="237"/>
      <c r="R779" s="237"/>
      <c r="U779" s="204"/>
      <c r="V779" s="204"/>
      <c r="W779" s="204"/>
      <c r="X779" s="204"/>
    </row>
    <row r="780" customFormat="false" ht="12.75" hidden="false" customHeight="true" outlineLevel="0" collapsed="false">
      <c r="H780" s="236"/>
      <c r="I780" s="236"/>
      <c r="J780" s="236"/>
      <c r="L780" s="237"/>
      <c r="M780" s="237"/>
      <c r="N780" s="237"/>
      <c r="O780" s="237"/>
      <c r="P780" s="237"/>
      <c r="Q780" s="237"/>
      <c r="R780" s="237"/>
      <c r="U780" s="204"/>
      <c r="V780" s="204"/>
      <c r="W780" s="204"/>
      <c r="X780" s="204"/>
    </row>
    <row r="781" customFormat="false" ht="12.75" hidden="false" customHeight="true" outlineLevel="0" collapsed="false">
      <c r="H781" s="236"/>
      <c r="I781" s="236"/>
      <c r="J781" s="236"/>
      <c r="L781" s="237"/>
      <c r="M781" s="237"/>
      <c r="N781" s="237"/>
      <c r="O781" s="237"/>
      <c r="P781" s="237"/>
      <c r="Q781" s="237"/>
      <c r="R781" s="237"/>
      <c r="U781" s="204"/>
      <c r="V781" s="204"/>
      <c r="W781" s="204"/>
      <c r="X781" s="204"/>
    </row>
    <row r="782" customFormat="false" ht="12.75" hidden="false" customHeight="true" outlineLevel="0" collapsed="false">
      <c r="H782" s="236"/>
      <c r="I782" s="236"/>
      <c r="J782" s="236"/>
      <c r="L782" s="237"/>
      <c r="M782" s="237"/>
      <c r="N782" s="237"/>
      <c r="O782" s="237"/>
      <c r="P782" s="237"/>
      <c r="Q782" s="237"/>
      <c r="R782" s="237"/>
      <c r="U782" s="204"/>
      <c r="V782" s="204"/>
      <c r="W782" s="204"/>
      <c r="X782" s="204"/>
    </row>
    <row r="783" customFormat="false" ht="12.75" hidden="false" customHeight="true" outlineLevel="0" collapsed="false">
      <c r="H783" s="236"/>
      <c r="I783" s="236"/>
      <c r="J783" s="236"/>
      <c r="L783" s="237"/>
      <c r="M783" s="237"/>
      <c r="N783" s="237"/>
      <c r="O783" s="237"/>
      <c r="P783" s="237"/>
      <c r="Q783" s="237"/>
      <c r="R783" s="237"/>
      <c r="U783" s="204"/>
      <c r="V783" s="204"/>
      <c r="W783" s="204"/>
      <c r="X783" s="204"/>
    </row>
    <row r="784" customFormat="false" ht="12.75" hidden="false" customHeight="true" outlineLevel="0" collapsed="false">
      <c r="H784" s="236"/>
      <c r="I784" s="236"/>
      <c r="J784" s="236"/>
      <c r="L784" s="237"/>
      <c r="M784" s="237"/>
      <c r="N784" s="237"/>
      <c r="O784" s="237"/>
      <c r="P784" s="237"/>
      <c r="Q784" s="237"/>
      <c r="R784" s="237"/>
      <c r="U784" s="204"/>
      <c r="V784" s="204"/>
      <c r="W784" s="204"/>
      <c r="X784" s="204"/>
    </row>
    <row r="785" customFormat="false" ht="12.75" hidden="false" customHeight="true" outlineLevel="0" collapsed="false">
      <c r="H785" s="236"/>
      <c r="I785" s="236"/>
      <c r="J785" s="236"/>
      <c r="L785" s="237"/>
      <c r="M785" s="237"/>
      <c r="N785" s="237"/>
      <c r="O785" s="237"/>
      <c r="P785" s="237"/>
      <c r="Q785" s="237"/>
      <c r="R785" s="237"/>
      <c r="U785" s="204"/>
      <c r="V785" s="204"/>
      <c r="W785" s="204"/>
      <c r="X785" s="204"/>
    </row>
    <row r="786" customFormat="false" ht="12.75" hidden="false" customHeight="true" outlineLevel="0" collapsed="false">
      <c r="H786" s="236"/>
      <c r="I786" s="236"/>
      <c r="J786" s="236"/>
      <c r="L786" s="237"/>
      <c r="M786" s="237"/>
      <c r="N786" s="237"/>
      <c r="O786" s="237"/>
      <c r="P786" s="237"/>
      <c r="Q786" s="237"/>
      <c r="R786" s="237"/>
      <c r="U786" s="204"/>
      <c r="V786" s="204"/>
      <c r="W786" s="204"/>
      <c r="X786" s="204"/>
    </row>
    <row r="787" customFormat="false" ht="12.75" hidden="false" customHeight="true" outlineLevel="0" collapsed="false">
      <c r="H787" s="236"/>
      <c r="I787" s="236"/>
      <c r="J787" s="236"/>
      <c r="L787" s="237"/>
      <c r="M787" s="237"/>
      <c r="N787" s="237"/>
      <c r="O787" s="237"/>
      <c r="P787" s="237"/>
      <c r="Q787" s="237"/>
      <c r="R787" s="237"/>
      <c r="U787" s="204"/>
      <c r="V787" s="204"/>
      <c r="W787" s="204"/>
      <c r="X787" s="204"/>
    </row>
    <row r="788" customFormat="false" ht="12.75" hidden="false" customHeight="true" outlineLevel="0" collapsed="false">
      <c r="H788" s="236"/>
      <c r="I788" s="236"/>
      <c r="J788" s="236"/>
      <c r="L788" s="237"/>
      <c r="M788" s="237"/>
      <c r="N788" s="237"/>
      <c r="O788" s="237"/>
      <c r="P788" s="237"/>
      <c r="Q788" s="237"/>
      <c r="R788" s="237"/>
      <c r="U788" s="204"/>
      <c r="V788" s="204"/>
      <c r="W788" s="204"/>
      <c r="X788" s="204"/>
    </row>
    <row r="789" customFormat="false" ht="12.75" hidden="false" customHeight="true" outlineLevel="0" collapsed="false">
      <c r="H789" s="236"/>
      <c r="I789" s="236"/>
      <c r="J789" s="236"/>
      <c r="L789" s="237"/>
      <c r="M789" s="237"/>
      <c r="N789" s="237"/>
      <c r="O789" s="237"/>
      <c r="P789" s="237"/>
      <c r="Q789" s="237"/>
      <c r="R789" s="237"/>
      <c r="U789" s="204"/>
      <c r="V789" s="204"/>
      <c r="W789" s="204"/>
      <c r="X789" s="204"/>
    </row>
    <row r="790" customFormat="false" ht="12.75" hidden="false" customHeight="true" outlineLevel="0" collapsed="false">
      <c r="H790" s="236"/>
      <c r="I790" s="236"/>
      <c r="J790" s="236"/>
      <c r="L790" s="237"/>
      <c r="M790" s="237"/>
      <c r="N790" s="237"/>
      <c r="O790" s="237"/>
      <c r="P790" s="237"/>
      <c r="Q790" s="237"/>
      <c r="R790" s="237"/>
      <c r="U790" s="204"/>
      <c r="V790" s="204"/>
      <c r="W790" s="204"/>
      <c r="X790" s="204"/>
    </row>
    <row r="791" customFormat="false" ht="12.75" hidden="false" customHeight="true" outlineLevel="0" collapsed="false">
      <c r="H791" s="236"/>
      <c r="I791" s="236"/>
      <c r="J791" s="236"/>
      <c r="L791" s="237"/>
      <c r="M791" s="237"/>
      <c r="N791" s="237"/>
      <c r="O791" s="237"/>
      <c r="P791" s="237"/>
      <c r="Q791" s="237"/>
      <c r="R791" s="237"/>
      <c r="U791" s="204"/>
      <c r="V791" s="204"/>
      <c r="W791" s="204"/>
      <c r="X791" s="204"/>
    </row>
    <row r="792" customFormat="false" ht="12.75" hidden="false" customHeight="true" outlineLevel="0" collapsed="false">
      <c r="H792" s="236"/>
      <c r="I792" s="236"/>
      <c r="J792" s="236"/>
      <c r="L792" s="237"/>
      <c r="M792" s="237"/>
      <c r="N792" s="237"/>
      <c r="O792" s="237"/>
      <c r="P792" s="237"/>
      <c r="Q792" s="237"/>
      <c r="R792" s="237"/>
      <c r="U792" s="204"/>
      <c r="V792" s="204"/>
      <c r="W792" s="204"/>
      <c r="X792" s="204"/>
    </row>
    <row r="793" customFormat="false" ht="12.75" hidden="false" customHeight="true" outlineLevel="0" collapsed="false">
      <c r="H793" s="236"/>
      <c r="I793" s="236"/>
      <c r="J793" s="236"/>
      <c r="L793" s="237"/>
      <c r="M793" s="237"/>
      <c r="N793" s="237"/>
      <c r="O793" s="237"/>
      <c r="P793" s="237"/>
      <c r="Q793" s="237"/>
      <c r="R793" s="237"/>
      <c r="U793" s="204"/>
      <c r="V793" s="204"/>
      <c r="W793" s="204"/>
      <c r="X793" s="204"/>
    </row>
    <row r="794" customFormat="false" ht="12.75" hidden="false" customHeight="true" outlineLevel="0" collapsed="false">
      <c r="H794" s="236"/>
      <c r="I794" s="236"/>
      <c r="J794" s="236"/>
      <c r="L794" s="237"/>
      <c r="M794" s="237"/>
      <c r="N794" s="237"/>
      <c r="O794" s="237"/>
      <c r="P794" s="237"/>
      <c r="Q794" s="237"/>
      <c r="R794" s="237"/>
      <c r="U794" s="204"/>
      <c r="V794" s="204"/>
      <c r="W794" s="204"/>
      <c r="X794" s="204"/>
    </row>
    <row r="795" customFormat="false" ht="12.75" hidden="false" customHeight="true" outlineLevel="0" collapsed="false">
      <c r="H795" s="236"/>
      <c r="I795" s="236"/>
      <c r="J795" s="236"/>
      <c r="L795" s="237"/>
      <c r="M795" s="237"/>
      <c r="N795" s="237"/>
      <c r="O795" s="237"/>
      <c r="P795" s="237"/>
      <c r="Q795" s="237"/>
      <c r="R795" s="237"/>
      <c r="U795" s="204"/>
      <c r="V795" s="204"/>
      <c r="W795" s="204"/>
      <c r="X795" s="204"/>
    </row>
    <row r="796" customFormat="false" ht="12.75" hidden="false" customHeight="true" outlineLevel="0" collapsed="false">
      <c r="H796" s="236"/>
      <c r="I796" s="236"/>
      <c r="J796" s="236"/>
      <c r="L796" s="237"/>
      <c r="M796" s="237"/>
      <c r="N796" s="237"/>
      <c r="O796" s="237"/>
      <c r="P796" s="237"/>
      <c r="Q796" s="237"/>
      <c r="R796" s="237"/>
      <c r="U796" s="204"/>
      <c r="V796" s="204"/>
      <c r="W796" s="204"/>
      <c r="X796" s="204"/>
    </row>
    <row r="797" customFormat="false" ht="12.75" hidden="false" customHeight="true" outlineLevel="0" collapsed="false">
      <c r="H797" s="236"/>
      <c r="I797" s="236"/>
      <c r="J797" s="236"/>
      <c r="L797" s="237"/>
      <c r="M797" s="237"/>
      <c r="N797" s="237"/>
      <c r="O797" s="237"/>
      <c r="P797" s="237"/>
      <c r="Q797" s="237"/>
      <c r="R797" s="237"/>
      <c r="U797" s="204"/>
      <c r="V797" s="204"/>
      <c r="W797" s="204"/>
      <c r="X797" s="204"/>
    </row>
    <row r="798" customFormat="false" ht="12.75" hidden="false" customHeight="true" outlineLevel="0" collapsed="false">
      <c r="H798" s="236"/>
      <c r="I798" s="236"/>
      <c r="J798" s="236"/>
      <c r="L798" s="237"/>
      <c r="M798" s="237"/>
      <c r="N798" s="237"/>
      <c r="O798" s="237"/>
      <c r="P798" s="237"/>
      <c r="Q798" s="237"/>
      <c r="R798" s="237"/>
      <c r="U798" s="204"/>
      <c r="V798" s="204"/>
      <c r="W798" s="204"/>
      <c r="X798" s="204"/>
    </row>
    <row r="799" customFormat="false" ht="12.75" hidden="false" customHeight="true" outlineLevel="0" collapsed="false">
      <c r="H799" s="236"/>
      <c r="I799" s="236"/>
      <c r="J799" s="236"/>
      <c r="L799" s="237"/>
      <c r="M799" s="237"/>
      <c r="N799" s="237"/>
      <c r="O799" s="237"/>
      <c r="P799" s="237"/>
      <c r="Q799" s="237"/>
      <c r="R799" s="237"/>
      <c r="U799" s="204"/>
      <c r="V799" s="204"/>
      <c r="W799" s="204"/>
      <c r="X799" s="204"/>
    </row>
    <row r="800" customFormat="false" ht="12.75" hidden="false" customHeight="true" outlineLevel="0" collapsed="false">
      <c r="H800" s="236"/>
      <c r="I800" s="236"/>
      <c r="J800" s="236"/>
      <c r="L800" s="237"/>
      <c r="M800" s="237"/>
      <c r="N800" s="237"/>
      <c r="O800" s="237"/>
      <c r="P800" s="237"/>
      <c r="Q800" s="237"/>
      <c r="R800" s="237"/>
      <c r="U800" s="204"/>
      <c r="V800" s="204"/>
      <c r="W800" s="204"/>
      <c r="X800" s="204"/>
    </row>
    <row r="801" customFormat="false" ht="12.75" hidden="false" customHeight="true" outlineLevel="0" collapsed="false">
      <c r="H801" s="236"/>
      <c r="I801" s="236"/>
      <c r="J801" s="236"/>
      <c r="L801" s="237"/>
      <c r="M801" s="237"/>
      <c r="N801" s="237"/>
      <c r="O801" s="237"/>
      <c r="P801" s="237"/>
      <c r="Q801" s="237"/>
      <c r="R801" s="237"/>
      <c r="U801" s="204"/>
      <c r="V801" s="204"/>
      <c r="W801" s="204"/>
      <c r="X801" s="204"/>
    </row>
    <row r="802" customFormat="false" ht="12.75" hidden="false" customHeight="true" outlineLevel="0" collapsed="false">
      <c r="H802" s="236"/>
      <c r="I802" s="236"/>
      <c r="J802" s="236"/>
      <c r="L802" s="237"/>
      <c r="M802" s="237"/>
      <c r="N802" s="237"/>
      <c r="O802" s="237"/>
      <c r="P802" s="237"/>
      <c r="Q802" s="237"/>
      <c r="R802" s="237"/>
      <c r="U802" s="204"/>
      <c r="V802" s="204"/>
      <c r="W802" s="204"/>
      <c r="X802" s="204"/>
    </row>
    <row r="803" customFormat="false" ht="12.75" hidden="false" customHeight="true" outlineLevel="0" collapsed="false">
      <c r="H803" s="236"/>
      <c r="I803" s="236"/>
      <c r="J803" s="236"/>
      <c r="L803" s="237"/>
      <c r="M803" s="237"/>
      <c r="N803" s="237"/>
      <c r="O803" s="237"/>
      <c r="P803" s="237"/>
      <c r="Q803" s="237"/>
      <c r="R803" s="237"/>
      <c r="U803" s="204"/>
      <c r="V803" s="204"/>
      <c r="W803" s="204"/>
      <c r="X803" s="204"/>
    </row>
    <row r="804" customFormat="false" ht="12.75" hidden="false" customHeight="true" outlineLevel="0" collapsed="false">
      <c r="H804" s="236"/>
      <c r="I804" s="236"/>
      <c r="J804" s="236"/>
      <c r="L804" s="237"/>
      <c r="M804" s="237"/>
      <c r="N804" s="237"/>
      <c r="O804" s="237"/>
      <c r="P804" s="237"/>
      <c r="Q804" s="237"/>
      <c r="R804" s="237"/>
      <c r="U804" s="204"/>
      <c r="V804" s="204"/>
      <c r="W804" s="204"/>
      <c r="X804" s="204"/>
    </row>
    <row r="805" customFormat="false" ht="12.75" hidden="false" customHeight="true" outlineLevel="0" collapsed="false">
      <c r="H805" s="236"/>
      <c r="I805" s="236"/>
      <c r="J805" s="236"/>
      <c r="L805" s="237"/>
      <c r="M805" s="237"/>
      <c r="N805" s="237"/>
      <c r="O805" s="237"/>
      <c r="P805" s="237"/>
      <c r="Q805" s="237"/>
      <c r="R805" s="237"/>
      <c r="U805" s="204"/>
      <c r="V805" s="204"/>
      <c r="W805" s="204"/>
      <c r="X805" s="204"/>
    </row>
    <row r="806" customFormat="false" ht="12.75" hidden="false" customHeight="true" outlineLevel="0" collapsed="false">
      <c r="H806" s="236"/>
      <c r="I806" s="236"/>
      <c r="J806" s="236"/>
      <c r="L806" s="237"/>
      <c r="M806" s="237"/>
      <c r="N806" s="237"/>
      <c r="O806" s="237"/>
      <c r="P806" s="237"/>
      <c r="Q806" s="237"/>
      <c r="R806" s="237"/>
      <c r="U806" s="204"/>
      <c r="V806" s="204"/>
      <c r="W806" s="204"/>
      <c r="X806" s="204"/>
    </row>
    <row r="807" customFormat="false" ht="12.75" hidden="false" customHeight="true" outlineLevel="0" collapsed="false">
      <c r="H807" s="236"/>
      <c r="I807" s="236"/>
      <c r="J807" s="236"/>
      <c r="L807" s="237"/>
      <c r="M807" s="237"/>
      <c r="N807" s="237"/>
      <c r="O807" s="237"/>
      <c r="P807" s="237"/>
      <c r="Q807" s="237"/>
      <c r="R807" s="237"/>
      <c r="U807" s="204"/>
      <c r="V807" s="204"/>
      <c r="W807" s="204"/>
      <c r="X807" s="204"/>
    </row>
    <row r="808" customFormat="false" ht="12.75" hidden="false" customHeight="true" outlineLevel="0" collapsed="false">
      <c r="H808" s="236"/>
      <c r="I808" s="236"/>
      <c r="J808" s="236"/>
      <c r="L808" s="237"/>
      <c r="M808" s="237"/>
      <c r="N808" s="237"/>
      <c r="O808" s="237"/>
      <c r="P808" s="237"/>
      <c r="Q808" s="237"/>
      <c r="R808" s="237"/>
      <c r="U808" s="204"/>
      <c r="V808" s="204"/>
      <c r="W808" s="204"/>
      <c r="X808" s="204"/>
    </row>
    <row r="809" customFormat="false" ht="12.75" hidden="false" customHeight="true" outlineLevel="0" collapsed="false">
      <c r="H809" s="236"/>
      <c r="I809" s="236"/>
      <c r="J809" s="236"/>
      <c r="L809" s="237"/>
      <c r="M809" s="237"/>
      <c r="N809" s="237"/>
      <c r="O809" s="237"/>
      <c r="P809" s="237"/>
      <c r="Q809" s="237"/>
      <c r="R809" s="237"/>
      <c r="U809" s="204"/>
      <c r="V809" s="204"/>
      <c r="W809" s="204"/>
      <c r="X809" s="204"/>
    </row>
    <row r="810" customFormat="false" ht="12.75" hidden="false" customHeight="true" outlineLevel="0" collapsed="false">
      <c r="H810" s="236"/>
      <c r="I810" s="236"/>
      <c r="J810" s="236"/>
      <c r="L810" s="237"/>
      <c r="M810" s="237"/>
      <c r="N810" s="237"/>
      <c r="O810" s="237"/>
      <c r="P810" s="237"/>
      <c r="Q810" s="237"/>
      <c r="R810" s="237"/>
      <c r="U810" s="204"/>
      <c r="V810" s="204"/>
      <c r="W810" s="204"/>
      <c r="X810" s="204"/>
    </row>
    <row r="811" customFormat="false" ht="12.75" hidden="false" customHeight="true" outlineLevel="0" collapsed="false">
      <c r="H811" s="236"/>
      <c r="I811" s="236"/>
      <c r="J811" s="236"/>
      <c r="L811" s="237"/>
      <c r="M811" s="237"/>
      <c r="N811" s="237"/>
      <c r="O811" s="237"/>
      <c r="P811" s="237"/>
      <c r="Q811" s="237"/>
      <c r="R811" s="237"/>
      <c r="U811" s="204"/>
      <c r="V811" s="204"/>
      <c r="W811" s="204"/>
      <c r="X811" s="204"/>
    </row>
    <row r="812" customFormat="false" ht="12.75" hidden="false" customHeight="true" outlineLevel="0" collapsed="false">
      <c r="H812" s="236"/>
      <c r="I812" s="236"/>
      <c r="J812" s="236"/>
      <c r="L812" s="237"/>
      <c r="M812" s="237"/>
      <c r="N812" s="237"/>
      <c r="O812" s="237"/>
      <c r="P812" s="237"/>
      <c r="Q812" s="237"/>
      <c r="R812" s="237"/>
      <c r="U812" s="204"/>
      <c r="V812" s="204"/>
      <c r="W812" s="204"/>
      <c r="X812" s="204"/>
    </row>
    <row r="813" customFormat="false" ht="12.75" hidden="false" customHeight="true" outlineLevel="0" collapsed="false">
      <c r="H813" s="236"/>
      <c r="I813" s="236"/>
      <c r="J813" s="236"/>
      <c r="L813" s="237"/>
      <c r="M813" s="237"/>
      <c r="N813" s="237"/>
      <c r="O813" s="237"/>
      <c r="P813" s="237"/>
      <c r="Q813" s="237"/>
      <c r="R813" s="237"/>
      <c r="U813" s="204"/>
      <c r="V813" s="204"/>
      <c r="W813" s="204"/>
      <c r="X813" s="204"/>
    </row>
    <row r="814" customFormat="false" ht="12.75" hidden="false" customHeight="true" outlineLevel="0" collapsed="false">
      <c r="H814" s="236"/>
      <c r="I814" s="236"/>
      <c r="J814" s="236"/>
      <c r="L814" s="237"/>
      <c r="M814" s="237"/>
      <c r="N814" s="237"/>
      <c r="O814" s="237"/>
      <c r="P814" s="237"/>
      <c r="Q814" s="237"/>
      <c r="R814" s="237"/>
      <c r="U814" s="204"/>
      <c r="V814" s="204"/>
      <c r="W814" s="204"/>
      <c r="X814" s="204"/>
    </row>
    <row r="815" customFormat="false" ht="12.75" hidden="false" customHeight="true" outlineLevel="0" collapsed="false">
      <c r="H815" s="236"/>
      <c r="I815" s="236"/>
      <c r="J815" s="236"/>
      <c r="L815" s="237"/>
      <c r="M815" s="237"/>
      <c r="N815" s="237"/>
      <c r="O815" s="237"/>
      <c r="P815" s="237"/>
      <c r="Q815" s="237"/>
      <c r="R815" s="237"/>
      <c r="U815" s="204"/>
      <c r="V815" s="204"/>
      <c r="W815" s="204"/>
      <c r="X815" s="204"/>
    </row>
    <row r="816" customFormat="false" ht="12.75" hidden="false" customHeight="true" outlineLevel="0" collapsed="false">
      <c r="H816" s="236"/>
      <c r="I816" s="236"/>
      <c r="J816" s="236"/>
      <c r="L816" s="237"/>
      <c r="M816" s="237"/>
      <c r="N816" s="237"/>
      <c r="O816" s="237"/>
      <c r="P816" s="237"/>
      <c r="Q816" s="237"/>
      <c r="R816" s="237"/>
      <c r="U816" s="204"/>
      <c r="V816" s="204"/>
      <c r="W816" s="204"/>
      <c r="X816" s="204"/>
    </row>
    <row r="817" customFormat="false" ht="12.75" hidden="false" customHeight="true" outlineLevel="0" collapsed="false">
      <c r="H817" s="236"/>
      <c r="I817" s="236"/>
      <c r="J817" s="236"/>
      <c r="L817" s="237"/>
      <c r="M817" s="237"/>
      <c r="N817" s="237"/>
      <c r="O817" s="237"/>
      <c r="P817" s="237"/>
      <c r="Q817" s="237"/>
      <c r="R817" s="237"/>
      <c r="U817" s="204"/>
      <c r="V817" s="204"/>
      <c r="W817" s="204"/>
      <c r="X817" s="204"/>
    </row>
    <row r="818" customFormat="false" ht="12.75" hidden="false" customHeight="true" outlineLevel="0" collapsed="false">
      <c r="H818" s="236"/>
      <c r="I818" s="236"/>
      <c r="J818" s="236"/>
      <c r="L818" s="237"/>
      <c r="M818" s="237"/>
      <c r="N818" s="237"/>
      <c r="O818" s="237"/>
      <c r="P818" s="237"/>
      <c r="Q818" s="237"/>
      <c r="R818" s="237"/>
      <c r="U818" s="204"/>
      <c r="V818" s="204"/>
      <c r="W818" s="204"/>
      <c r="X818" s="204"/>
    </row>
    <row r="819" customFormat="false" ht="12.75" hidden="false" customHeight="true" outlineLevel="0" collapsed="false">
      <c r="H819" s="236"/>
      <c r="I819" s="236"/>
      <c r="J819" s="236"/>
      <c r="L819" s="237"/>
      <c r="M819" s="237"/>
      <c r="N819" s="237"/>
      <c r="O819" s="237"/>
      <c r="P819" s="237"/>
      <c r="Q819" s="237"/>
      <c r="R819" s="237"/>
      <c r="U819" s="204"/>
      <c r="V819" s="204"/>
      <c r="W819" s="204"/>
      <c r="X819" s="204"/>
    </row>
    <row r="820" customFormat="false" ht="12.75" hidden="false" customHeight="true" outlineLevel="0" collapsed="false">
      <c r="H820" s="236"/>
      <c r="I820" s="236"/>
      <c r="J820" s="236"/>
      <c r="L820" s="237"/>
      <c r="M820" s="237"/>
      <c r="N820" s="237"/>
      <c r="O820" s="237"/>
      <c r="P820" s="237"/>
      <c r="Q820" s="237"/>
      <c r="R820" s="237"/>
      <c r="U820" s="204"/>
      <c r="V820" s="204"/>
      <c r="W820" s="204"/>
      <c r="X820" s="204"/>
    </row>
    <row r="821" customFormat="false" ht="12.75" hidden="false" customHeight="true" outlineLevel="0" collapsed="false">
      <c r="H821" s="236"/>
      <c r="I821" s="236"/>
      <c r="J821" s="236"/>
      <c r="L821" s="237"/>
      <c r="M821" s="237"/>
      <c r="N821" s="237"/>
      <c r="O821" s="237"/>
      <c r="P821" s="237"/>
      <c r="Q821" s="237"/>
      <c r="R821" s="237"/>
      <c r="U821" s="204"/>
      <c r="V821" s="204"/>
      <c r="W821" s="204"/>
      <c r="X821" s="204"/>
    </row>
    <row r="822" customFormat="false" ht="12.75" hidden="false" customHeight="true" outlineLevel="0" collapsed="false">
      <c r="H822" s="236"/>
      <c r="I822" s="236"/>
      <c r="J822" s="236"/>
      <c r="L822" s="237"/>
      <c r="M822" s="237"/>
      <c r="N822" s="237"/>
      <c r="O822" s="237"/>
      <c r="P822" s="237"/>
      <c r="Q822" s="237"/>
      <c r="R822" s="237"/>
      <c r="U822" s="204"/>
      <c r="V822" s="204"/>
      <c r="W822" s="204"/>
      <c r="X822" s="204"/>
    </row>
    <row r="823" customFormat="false" ht="12.75" hidden="false" customHeight="true" outlineLevel="0" collapsed="false">
      <c r="H823" s="236"/>
      <c r="I823" s="236"/>
      <c r="J823" s="236"/>
      <c r="L823" s="237"/>
      <c r="M823" s="237"/>
      <c r="N823" s="237"/>
      <c r="O823" s="237"/>
      <c r="P823" s="237"/>
      <c r="Q823" s="237"/>
      <c r="R823" s="237"/>
      <c r="U823" s="204"/>
      <c r="V823" s="204"/>
      <c r="W823" s="204"/>
      <c r="X823" s="204"/>
    </row>
    <row r="824" customFormat="false" ht="12.75" hidden="false" customHeight="true" outlineLevel="0" collapsed="false">
      <c r="H824" s="236"/>
      <c r="I824" s="236"/>
      <c r="J824" s="236"/>
      <c r="L824" s="237"/>
      <c r="M824" s="237"/>
      <c r="N824" s="237"/>
      <c r="O824" s="237"/>
      <c r="P824" s="237"/>
      <c r="Q824" s="237"/>
      <c r="R824" s="237"/>
      <c r="U824" s="204"/>
      <c r="V824" s="204"/>
      <c r="W824" s="204"/>
      <c r="X824" s="204"/>
    </row>
    <row r="825" customFormat="false" ht="12.75" hidden="false" customHeight="true" outlineLevel="0" collapsed="false">
      <c r="H825" s="236"/>
      <c r="I825" s="236"/>
      <c r="J825" s="236"/>
      <c r="L825" s="237"/>
      <c r="M825" s="237"/>
      <c r="N825" s="237"/>
      <c r="O825" s="237"/>
      <c r="P825" s="237"/>
      <c r="Q825" s="237"/>
      <c r="R825" s="237"/>
      <c r="U825" s="204"/>
      <c r="V825" s="204"/>
      <c r="W825" s="204"/>
      <c r="X825" s="204"/>
    </row>
    <row r="826" customFormat="false" ht="12.75" hidden="false" customHeight="true" outlineLevel="0" collapsed="false">
      <c r="H826" s="236"/>
      <c r="I826" s="236"/>
      <c r="J826" s="236"/>
      <c r="L826" s="237"/>
      <c r="M826" s="237"/>
      <c r="N826" s="237"/>
      <c r="O826" s="237"/>
      <c r="P826" s="237"/>
      <c r="Q826" s="237"/>
      <c r="R826" s="237"/>
      <c r="U826" s="204"/>
      <c r="V826" s="204"/>
      <c r="W826" s="204"/>
      <c r="X826" s="204"/>
    </row>
    <row r="827" customFormat="false" ht="12.75" hidden="false" customHeight="true" outlineLevel="0" collapsed="false">
      <c r="H827" s="236"/>
      <c r="I827" s="236"/>
      <c r="J827" s="236"/>
      <c r="L827" s="237"/>
      <c r="M827" s="237"/>
      <c r="N827" s="237"/>
      <c r="O827" s="237"/>
      <c r="P827" s="237"/>
      <c r="Q827" s="237"/>
      <c r="R827" s="237"/>
      <c r="U827" s="204"/>
      <c r="V827" s="204"/>
      <c r="W827" s="204"/>
      <c r="X827" s="204"/>
    </row>
    <row r="828" customFormat="false" ht="12.75" hidden="false" customHeight="true" outlineLevel="0" collapsed="false">
      <c r="H828" s="236"/>
      <c r="I828" s="236"/>
      <c r="J828" s="236"/>
      <c r="L828" s="237"/>
      <c r="M828" s="237"/>
      <c r="N828" s="237"/>
      <c r="O828" s="237"/>
      <c r="P828" s="237"/>
      <c r="Q828" s="237"/>
      <c r="R828" s="237"/>
      <c r="U828" s="204"/>
      <c r="V828" s="204"/>
      <c r="W828" s="204"/>
      <c r="X828" s="204"/>
    </row>
    <row r="829" customFormat="false" ht="12.75" hidden="false" customHeight="true" outlineLevel="0" collapsed="false">
      <c r="H829" s="236"/>
      <c r="I829" s="236"/>
      <c r="J829" s="236"/>
      <c r="L829" s="237"/>
      <c r="M829" s="237"/>
      <c r="N829" s="237"/>
      <c r="O829" s="237"/>
      <c r="P829" s="237"/>
      <c r="Q829" s="237"/>
      <c r="R829" s="237"/>
      <c r="U829" s="204"/>
      <c r="V829" s="204"/>
      <c r="W829" s="204"/>
      <c r="X829" s="204"/>
    </row>
    <row r="830" customFormat="false" ht="12.75" hidden="false" customHeight="true" outlineLevel="0" collapsed="false">
      <c r="H830" s="236"/>
      <c r="I830" s="236"/>
      <c r="J830" s="236"/>
      <c r="L830" s="237"/>
      <c r="M830" s="237"/>
      <c r="N830" s="237"/>
      <c r="O830" s="237"/>
      <c r="P830" s="237"/>
      <c r="Q830" s="237"/>
      <c r="R830" s="237"/>
      <c r="U830" s="204"/>
      <c r="V830" s="204"/>
      <c r="W830" s="204"/>
      <c r="X830" s="204"/>
    </row>
    <row r="831" customFormat="false" ht="12.75" hidden="false" customHeight="true" outlineLevel="0" collapsed="false">
      <c r="H831" s="236"/>
      <c r="I831" s="236"/>
      <c r="J831" s="236"/>
      <c r="L831" s="237"/>
      <c r="M831" s="237"/>
      <c r="N831" s="237"/>
      <c r="O831" s="237"/>
      <c r="P831" s="237"/>
      <c r="Q831" s="237"/>
      <c r="R831" s="237"/>
      <c r="U831" s="204"/>
      <c r="V831" s="204"/>
      <c r="W831" s="204"/>
      <c r="X831" s="204"/>
    </row>
    <row r="832" customFormat="false" ht="12.75" hidden="false" customHeight="true" outlineLevel="0" collapsed="false">
      <c r="H832" s="236"/>
      <c r="I832" s="236"/>
      <c r="J832" s="236"/>
      <c r="L832" s="237"/>
      <c r="M832" s="237"/>
      <c r="N832" s="237"/>
      <c r="O832" s="237"/>
      <c r="P832" s="237"/>
      <c r="Q832" s="237"/>
      <c r="R832" s="237"/>
      <c r="U832" s="204"/>
      <c r="V832" s="204"/>
      <c r="W832" s="204"/>
      <c r="X832" s="204"/>
    </row>
    <row r="833" customFormat="false" ht="12.75" hidden="false" customHeight="true" outlineLevel="0" collapsed="false">
      <c r="H833" s="236"/>
      <c r="I833" s="236"/>
      <c r="J833" s="236"/>
      <c r="L833" s="237"/>
      <c r="M833" s="237"/>
      <c r="N833" s="237"/>
      <c r="O833" s="237"/>
      <c r="P833" s="237"/>
      <c r="Q833" s="237"/>
      <c r="R833" s="237"/>
      <c r="U833" s="204"/>
      <c r="V833" s="204"/>
      <c r="W833" s="204"/>
      <c r="X833" s="204"/>
    </row>
    <row r="834" customFormat="false" ht="12.75" hidden="false" customHeight="true" outlineLevel="0" collapsed="false">
      <c r="H834" s="236"/>
      <c r="I834" s="236"/>
      <c r="J834" s="236"/>
      <c r="L834" s="237"/>
      <c r="M834" s="237"/>
      <c r="N834" s="237"/>
      <c r="O834" s="237"/>
      <c r="P834" s="237"/>
      <c r="Q834" s="237"/>
      <c r="R834" s="237"/>
      <c r="U834" s="204"/>
      <c r="V834" s="204"/>
      <c r="W834" s="204"/>
      <c r="X834" s="204"/>
    </row>
    <row r="835" customFormat="false" ht="12.75" hidden="false" customHeight="true" outlineLevel="0" collapsed="false">
      <c r="H835" s="236"/>
      <c r="I835" s="236"/>
      <c r="J835" s="236"/>
      <c r="L835" s="237"/>
      <c r="M835" s="237"/>
      <c r="N835" s="237"/>
      <c r="O835" s="237"/>
      <c r="P835" s="237"/>
      <c r="Q835" s="237"/>
      <c r="R835" s="237"/>
      <c r="U835" s="204"/>
      <c r="V835" s="204"/>
      <c r="W835" s="204"/>
      <c r="X835" s="204"/>
    </row>
    <row r="836" customFormat="false" ht="12.75" hidden="false" customHeight="true" outlineLevel="0" collapsed="false">
      <c r="H836" s="236"/>
      <c r="I836" s="236"/>
      <c r="J836" s="236"/>
      <c r="L836" s="237"/>
      <c r="M836" s="237"/>
      <c r="N836" s="237"/>
      <c r="O836" s="237"/>
      <c r="P836" s="237"/>
      <c r="Q836" s="237"/>
      <c r="R836" s="237"/>
      <c r="U836" s="204"/>
      <c r="V836" s="204"/>
      <c r="W836" s="204"/>
      <c r="X836" s="204"/>
    </row>
    <row r="837" customFormat="false" ht="12.75" hidden="false" customHeight="true" outlineLevel="0" collapsed="false">
      <c r="H837" s="236"/>
      <c r="I837" s="236"/>
      <c r="J837" s="236"/>
      <c r="L837" s="237"/>
      <c r="M837" s="237"/>
      <c r="N837" s="237"/>
      <c r="O837" s="237"/>
      <c r="P837" s="237"/>
      <c r="Q837" s="237"/>
      <c r="R837" s="237"/>
      <c r="U837" s="204"/>
      <c r="V837" s="204"/>
      <c r="W837" s="204"/>
      <c r="X837" s="204"/>
    </row>
    <row r="838" customFormat="false" ht="12.75" hidden="false" customHeight="true" outlineLevel="0" collapsed="false">
      <c r="H838" s="236"/>
      <c r="I838" s="236"/>
      <c r="J838" s="236"/>
      <c r="L838" s="237"/>
      <c r="M838" s="237"/>
      <c r="N838" s="237"/>
      <c r="O838" s="237"/>
      <c r="P838" s="237"/>
      <c r="Q838" s="237"/>
      <c r="R838" s="237"/>
      <c r="U838" s="204"/>
      <c r="V838" s="204"/>
      <c r="W838" s="204"/>
      <c r="X838" s="204"/>
    </row>
    <row r="839" customFormat="false" ht="12.75" hidden="false" customHeight="true" outlineLevel="0" collapsed="false">
      <c r="H839" s="236"/>
      <c r="I839" s="236"/>
      <c r="J839" s="236"/>
      <c r="L839" s="237"/>
      <c r="M839" s="237"/>
      <c r="N839" s="237"/>
      <c r="O839" s="237"/>
      <c r="P839" s="237"/>
      <c r="Q839" s="237"/>
      <c r="R839" s="237"/>
      <c r="U839" s="204"/>
      <c r="V839" s="204"/>
      <c r="W839" s="204"/>
      <c r="X839" s="204"/>
    </row>
    <row r="840" customFormat="false" ht="12.75" hidden="false" customHeight="true" outlineLevel="0" collapsed="false">
      <c r="H840" s="236"/>
      <c r="I840" s="236"/>
      <c r="J840" s="236"/>
      <c r="L840" s="237"/>
      <c r="M840" s="237"/>
      <c r="N840" s="237"/>
      <c r="O840" s="237"/>
      <c r="P840" s="237"/>
      <c r="Q840" s="237"/>
      <c r="R840" s="237"/>
      <c r="U840" s="204"/>
      <c r="V840" s="204"/>
      <c r="W840" s="204"/>
      <c r="X840" s="204"/>
    </row>
    <row r="841" customFormat="false" ht="12.75" hidden="false" customHeight="true" outlineLevel="0" collapsed="false">
      <c r="H841" s="236"/>
      <c r="I841" s="236"/>
      <c r="J841" s="236"/>
      <c r="L841" s="237"/>
      <c r="M841" s="237"/>
      <c r="N841" s="237"/>
      <c r="O841" s="237"/>
      <c r="P841" s="237"/>
      <c r="Q841" s="237"/>
      <c r="R841" s="237"/>
      <c r="U841" s="204"/>
      <c r="V841" s="204"/>
      <c r="W841" s="204"/>
      <c r="X841" s="204"/>
    </row>
    <row r="842" customFormat="false" ht="12.75" hidden="false" customHeight="true" outlineLevel="0" collapsed="false">
      <c r="H842" s="236"/>
      <c r="I842" s="236"/>
      <c r="J842" s="236"/>
      <c r="L842" s="237"/>
      <c r="M842" s="237"/>
      <c r="N842" s="237"/>
      <c r="O842" s="237"/>
      <c r="P842" s="237"/>
      <c r="Q842" s="237"/>
      <c r="R842" s="237"/>
      <c r="U842" s="204"/>
      <c r="V842" s="204"/>
      <c r="W842" s="204"/>
      <c r="X842" s="204"/>
    </row>
    <row r="843" customFormat="false" ht="12.75" hidden="false" customHeight="true" outlineLevel="0" collapsed="false">
      <c r="H843" s="236"/>
      <c r="I843" s="236"/>
      <c r="J843" s="236"/>
      <c r="L843" s="237"/>
      <c r="M843" s="237"/>
      <c r="N843" s="237"/>
      <c r="O843" s="237"/>
      <c r="P843" s="237"/>
      <c r="Q843" s="237"/>
      <c r="R843" s="237"/>
      <c r="U843" s="204"/>
      <c r="V843" s="204"/>
      <c r="W843" s="204"/>
      <c r="X843" s="204"/>
    </row>
    <row r="844" customFormat="false" ht="12.75" hidden="false" customHeight="true" outlineLevel="0" collapsed="false">
      <c r="H844" s="236"/>
      <c r="I844" s="236"/>
      <c r="J844" s="236"/>
      <c r="L844" s="237"/>
      <c r="M844" s="237"/>
      <c r="N844" s="237"/>
      <c r="O844" s="237"/>
      <c r="P844" s="237"/>
      <c r="Q844" s="237"/>
      <c r="R844" s="237"/>
      <c r="U844" s="204"/>
      <c r="V844" s="204"/>
      <c r="W844" s="204"/>
      <c r="X844" s="204"/>
    </row>
    <row r="845" customFormat="false" ht="12.75" hidden="false" customHeight="true" outlineLevel="0" collapsed="false">
      <c r="H845" s="236"/>
      <c r="I845" s="236"/>
      <c r="J845" s="236"/>
      <c r="L845" s="237"/>
      <c r="M845" s="237"/>
      <c r="N845" s="237"/>
      <c r="O845" s="237"/>
      <c r="P845" s="237"/>
      <c r="Q845" s="237"/>
      <c r="R845" s="237"/>
      <c r="U845" s="204"/>
      <c r="V845" s="204"/>
      <c r="W845" s="204"/>
      <c r="X845" s="204"/>
    </row>
    <row r="846" customFormat="false" ht="12.75" hidden="false" customHeight="true" outlineLevel="0" collapsed="false">
      <c r="H846" s="236"/>
      <c r="I846" s="236"/>
      <c r="J846" s="236"/>
      <c r="L846" s="237"/>
      <c r="M846" s="237"/>
      <c r="N846" s="237"/>
      <c r="O846" s="237"/>
      <c r="P846" s="237"/>
      <c r="Q846" s="237"/>
      <c r="R846" s="237"/>
      <c r="U846" s="204"/>
      <c r="V846" s="204"/>
      <c r="W846" s="204"/>
      <c r="X846" s="204"/>
    </row>
    <row r="847" customFormat="false" ht="12.75" hidden="false" customHeight="true" outlineLevel="0" collapsed="false">
      <c r="H847" s="236"/>
      <c r="I847" s="236"/>
      <c r="J847" s="236"/>
      <c r="L847" s="237"/>
      <c r="M847" s="237"/>
      <c r="N847" s="237"/>
      <c r="O847" s="237"/>
      <c r="P847" s="237"/>
      <c r="Q847" s="237"/>
      <c r="R847" s="237"/>
      <c r="U847" s="204"/>
      <c r="V847" s="204"/>
      <c r="W847" s="204"/>
      <c r="X847" s="204"/>
    </row>
    <row r="848" customFormat="false" ht="12.75" hidden="false" customHeight="true" outlineLevel="0" collapsed="false">
      <c r="H848" s="236"/>
      <c r="I848" s="236"/>
      <c r="J848" s="236"/>
      <c r="L848" s="237"/>
      <c r="M848" s="237"/>
      <c r="N848" s="237"/>
      <c r="O848" s="237"/>
      <c r="P848" s="237"/>
      <c r="Q848" s="237"/>
      <c r="R848" s="237"/>
      <c r="U848" s="204"/>
      <c r="V848" s="204"/>
      <c r="W848" s="204"/>
      <c r="X848" s="204"/>
    </row>
    <row r="849" customFormat="false" ht="12.75" hidden="false" customHeight="true" outlineLevel="0" collapsed="false">
      <c r="H849" s="236"/>
      <c r="I849" s="236"/>
      <c r="J849" s="236"/>
      <c r="L849" s="237"/>
      <c r="M849" s="237"/>
      <c r="N849" s="237"/>
      <c r="O849" s="237"/>
      <c r="P849" s="237"/>
      <c r="Q849" s="237"/>
      <c r="R849" s="237"/>
      <c r="U849" s="204"/>
      <c r="V849" s="204"/>
      <c r="W849" s="204"/>
      <c r="X849" s="204"/>
    </row>
    <row r="850" customFormat="false" ht="12.75" hidden="false" customHeight="true" outlineLevel="0" collapsed="false">
      <c r="H850" s="236"/>
      <c r="I850" s="236"/>
      <c r="J850" s="236"/>
      <c r="L850" s="237"/>
      <c r="M850" s="237"/>
      <c r="N850" s="237"/>
      <c r="O850" s="237"/>
      <c r="P850" s="237"/>
      <c r="Q850" s="237"/>
      <c r="R850" s="237"/>
      <c r="U850" s="204"/>
      <c r="V850" s="204"/>
      <c r="W850" s="204"/>
      <c r="X850" s="204"/>
    </row>
    <row r="851" customFormat="false" ht="12.75" hidden="false" customHeight="true" outlineLevel="0" collapsed="false">
      <c r="H851" s="236"/>
      <c r="I851" s="236"/>
      <c r="J851" s="236"/>
      <c r="L851" s="237"/>
      <c r="M851" s="237"/>
      <c r="N851" s="237"/>
      <c r="O851" s="237"/>
      <c r="P851" s="237"/>
      <c r="Q851" s="237"/>
      <c r="R851" s="237"/>
      <c r="U851" s="204"/>
      <c r="V851" s="204"/>
      <c r="W851" s="204"/>
      <c r="X851" s="204"/>
    </row>
    <row r="852" customFormat="false" ht="12.75" hidden="false" customHeight="true" outlineLevel="0" collapsed="false">
      <c r="H852" s="236"/>
      <c r="I852" s="236"/>
      <c r="J852" s="236"/>
      <c r="L852" s="237"/>
      <c r="M852" s="237"/>
      <c r="N852" s="237"/>
      <c r="O852" s="237"/>
      <c r="P852" s="237"/>
      <c r="Q852" s="237"/>
      <c r="R852" s="237"/>
      <c r="U852" s="204"/>
      <c r="V852" s="204"/>
      <c r="W852" s="204"/>
      <c r="X852" s="204"/>
    </row>
    <row r="853" customFormat="false" ht="12.75" hidden="false" customHeight="true" outlineLevel="0" collapsed="false">
      <c r="H853" s="236"/>
      <c r="I853" s="236"/>
      <c r="J853" s="236"/>
      <c r="L853" s="237"/>
      <c r="M853" s="237"/>
      <c r="N853" s="237"/>
      <c r="O853" s="237"/>
      <c r="P853" s="237"/>
      <c r="Q853" s="237"/>
      <c r="R853" s="237"/>
      <c r="U853" s="204"/>
      <c r="V853" s="204"/>
      <c r="W853" s="204"/>
      <c r="X853" s="204"/>
    </row>
    <row r="854" customFormat="false" ht="12.75" hidden="false" customHeight="true" outlineLevel="0" collapsed="false">
      <c r="H854" s="236"/>
      <c r="I854" s="236"/>
      <c r="J854" s="236"/>
      <c r="L854" s="237"/>
      <c r="M854" s="237"/>
      <c r="N854" s="237"/>
      <c r="O854" s="237"/>
      <c r="P854" s="237"/>
      <c r="Q854" s="237"/>
      <c r="R854" s="237"/>
      <c r="U854" s="204"/>
      <c r="V854" s="204"/>
      <c r="W854" s="204"/>
      <c r="X854" s="204"/>
    </row>
    <row r="855" customFormat="false" ht="12.75" hidden="false" customHeight="true" outlineLevel="0" collapsed="false">
      <c r="H855" s="236"/>
      <c r="I855" s="236"/>
      <c r="J855" s="236"/>
      <c r="L855" s="237"/>
      <c r="M855" s="237"/>
      <c r="N855" s="237"/>
      <c r="O855" s="237"/>
      <c r="P855" s="237"/>
      <c r="Q855" s="237"/>
      <c r="R855" s="237"/>
      <c r="U855" s="204"/>
      <c r="V855" s="204"/>
      <c r="W855" s="204"/>
      <c r="X855" s="204"/>
    </row>
    <row r="856" customFormat="false" ht="12.75" hidden="false" customHeight="true" outlineLevel="0" collapsed="false">
      <c r="H856" s="236"/>
      <c r="I856" s="236"/>
      <c r="J856" s="236"/>
      <c r="L856" s="237"/>
      <c r="M856" s="237"/>
      <c r="N856" s="237"/>
      <c r="O856" s="237"/>
      <c r="P856" s="237"/>
      <c r="Q856" s="237"/>
      <c r="R856" s="237"/>
      <c r="U856" s="204"/>
      <c r="V856" s="204"/>
      <c r="W856" s="204"/>
      <c r="X856" s="204"/>
    </row>
    <row r="857" customFormat="false" ht="12.75" hidden="false" customHeight="true" outlineLevel="0" collapsed="false">
      <c r="H857" s="236"/>
      <c r="I857" s="236"/>
      <c r="J857" s="236"/>
      <c r="L857" s="237"/>
      <c r="M857" s="237"/>
      <c r="N857" s="237"/>
      <c r="O857" s="237"/>
      <c r="P857" s="237"/>
      <c r="Q857" s="237"/>
      <c r="R857" s="237"/>
      <c r="U857" s="204"/>
      <c r="V857" s="204"/>
      <c r="W857" s="204"/>
      <c r="X857" s="204"/>
    </row>
    <row r="858" customFormat="false" ht="12.75" hidden="false" customHeight="true" outlineLevel="0" collapsed="false">
      <c r="H858" s="236"/>
      <c r="I858" s="236"/>
      <c r="J858" s="236"/>
      <c r="L858" s="237"/>
      <c r="M858" s="237"/>
      <c r="N858" s="237"/>
      <c r="O858" s="237"/>
      <c r="P858" s="237"/>
      <c r="Q858" s="237"/>
      <c r="R858" s="237"/>
      <c r="U858" s="204"/>
      <c r="V858" s="204"/>
      <c r="W858" s="204"/>
      <c r="X858" s="204"/>
    </row>
    <row r="859" customFormat="false" ht="12.75" hidden="false" customHeight="true" outlineLevel="0" collapsed="false">
      <c r="H859" s="236"/>
      <c r="I859" s="236"/>
      <c r="J859" s="236"/>
      <c r="L859" s="237"/>
      <c r="M859" s="237"/>
      <c r="N859" s="237"/>
      <c r="O859" s="237"/>
      <c r="P859" s="237"/>
      <c r="Q859" s="237"/>
      <c r="R859" s="237"/>
      <c r="U859" s="204"/>
      <c r="V859" s="204"/>
      <c r="W859" s="204"/>
      <c r="X859" s="204"/>
    </row>
    <row r="860" customFormat="false" ht="12.75" hidden="false" customHeight="true" outlineLevel="0" collapsed="false">
      <c r="H860" s="236"/>
      <c r="I860" s="236"/>
      <c r="J860" s="236"/>
      <c r="L860" s="237"/>
      <c r="M860" s="237"/>
      <c r="N860" s="237"/>
      <c r="O860" s="237"/>
      <c r="P860" s="237"/>
      <c r="Q860" s="237"/>
      <c r="R860" s="237"/>
      <c r="U860" s="204"/>
      <c r="V860" s="204"/>
      <c r="W860" s="204"/>
      <c r="X860" s="204"/>
    </row>
    <row r="861" customFormat="false" ht="12.75" hidden="false" customHeight="true" outlineLevel="0" collapsed="false">
      <c r="H861" s="236"/>
      <c r="I861" s="236"/>
      <c r="J861" s="236"/>
      <c r="L861" s="237"/>
      <c r="M861" s="237"/>
      <c r="N861" s="237"/>
      <c r="O861" s="237"/>
      <c r="P861" s="237"/>
      <c r="Q861" s="237"/>
      <c r="R861" s="237"/>
      <c r="U861" s="204"/>
      <c r="V861" s="204"/>
      <c r="W861" s="204"/>
      <c r="X861" s="204"/>
    </row>
    <row r="862" customFormat="false" ht="12.75" hidden="false" customHeight="true" outlineLevel="0" collapsed="false">
      <c r="H862" s="236"/>
      <c r="I862" s="236"/>
      <c r="J862" s="236"/>
      <c r="L862" s="237"/>
      <c r="M862" s="237"/>
      <c r="N862" s="237"/>
      <c r="O862" s="237"/>
      <c r="P862" s="237"/>
      <c r="Q862" s="237"/>
      <c r="R862" s="237"/>
      <c r="U862" s="204"/>
      <c r="V862" s="204"/>
      <c r="W862" s="204"/>
      <c r="X862" s="204"/>
    </row>
    <row r="863" customFormat="false" ht="12.75" hidden="false" customHeight="true" outlineLevel="0" collapsed="false">
      <c r="H863" s="236"/>
      <c r="I863" s="236"/>
      <c r="J863" s="236"/>
      <c r="L863" s="237"/>
      <c r="M863" s="237"/>
      <c r="N863" s="237"/>
      <c r="O863" s="237"/>
      <c r="P863" s="237"/>
      <c r="Q863" s="237"/>
      <c r="R863" s="237"/>
      <c r="U863" s="204"/>
      <c r="V863" s="204"/>
      <c r="W863" s="204"/>
      <c r="X863" s="204"/>
    </row>
    <row r="864" customFormat="false" ht="12.75" hidden="false" customHeight="true" outlineLevel="0" collapsed="false">
      <c r="H864" s="236"/>
      <c r="I864" s="236"/>
      <c r="J864" s="236"/>
      <c r="L864" s="237"/>
      <c r="M864" s="237"/>
      <c r="N864" s="237"/>
      <c r="O864" s="237"/>
      <c r="P864" s="237"/>
      <c r="Q864" s="237"/>
      <c r="R864" s="237"/>
      <c r="U864" s="204"/>
      <c r="V864" s="204"/>
      <c r="W864" s="204"/>
      <c r="X864" s="204"/>
    </row>
    <row r="865" customFormat="false" ht="12.75" hidden="false" customHeight="true" outlineLevel="0" collapsed="false">
      <c r="H865" s="236"/>
      <c r="I865" s="236"/>
      <c r="J865" s="236"/>
      <c r="L865" s="237"/>
      <c r="M865" s="237"/>
      <c r="N865" s="237"/>
      <c r="O865" s="237"/>
      <c r="P865" s="237"/>
      <c r="Q865" s="237"/>
      <c r="R865" s="237"/>
      <c r="U865" s="204"/>
      <c r="V865" s="204"/>
      <c r="W865" s="204"/>
      <c r="X865" s="204"/>
    </row>
    <row r="866" customFormat="false" ht="12.75" hidden="false" customHeight="true" outlineLevel="0" collapsed="false">
      <c r="H866" s="236"/>
      <c r="I866" s="236"/>
      <c r="J866" s="236"/>
      <c r="L866" s="237"/>
      <c r="M866" s="237"/>
      <c r="N866" s="237"/>
      <c r="O866" s="237"/>
      <c r="P866" s="237"/>
      <c r="Q866" s="237"/>
      <c r="R866" s="237"/>
      <c r="U866" s="204"/>
      <c r="V866" s="204"/>
      <c r="W866" s="204"/>
      <c r="X866" s="204"/>
    </row>
    <row r="867" customFormat="false" ht="12.75" hidden="false" customHeight="true" outlineLevel="0" collapsed="false">
      <c r="H867" s="236"/>
      <c r="I867" s="236"/>
      <c r="J867" s="236"/>
      <c r="L867" s="237"/>
      <c r="M867" s="237"/>
      <c r="N867" s="237"/>
      <c r="O867" s="237"/>
      <c r="P867" s="237"/>
      <c r="Q867" s="237"/>
      <c r="R867" s="237"/>
      <c r="U867" s="204"/>
      <c r="V867" s="204"/>
      <c r="W867" s="204"/>
      <c r="X867" s="204"/>
    </row>
    <row r="868" customFormat="false" ht="12.75" hidden="false" customHeight="true" outlineLevel="0" collapsed="false">
      <c r="H868" s="236"/>
      <c r="I868" s="236"/>
      <c r="J868" s="236"/>
      <c r="L868" s="237"/>
      <c r="M868" s="237"/>
      <c r="N868" s="237"/>
      <c r="O868" s="237"/>
      <c r="P868" s="237"/>
      <c r="Q868" s="237"/>
      <c r="R868" s="237"/>
      <c r="U868" s="204"/>
      <c r="V868" s="204"/>
      <c r="W868" s="204"/>
      <c r="X868" s="204"/>
    </row>
    <row r="869" customFormat="false" ht="12.75" hidden="false" customHeight="true" outlineLevel="0" collapsed="false">
      <c r="H869" s="236"/>
      <c r="I869" s="236"/>
      <c r="J869" s="236"/>
      <c r="L869" s="237"/>
      <c r="M869" s="237"/>
      <c r="N869" s="237"/>
      <c r="O869" s="237"/>
      <c r="P869" s="237"/>
      <c r="Q869" s="237"/>
      <c r="R869" s="237"/>
      <c r="U869" s="204"/>
      <c r="V869" s="204"/>
      <c r="W869" s="204"/>
      <c r="X869" s="204"/>
    </row>
    <row r="870" customFormat="false" ht="12.75" hidden="false" customHeight="true" outlineLevel="0" collapsed="false">
      <c r="H870" s="236"/>
      <c r="I870" s="236"/>
      <c r="J870" s="236"/>
      <c r="L870" s="237"/>
      <c r="M870" s="237"/>
      <c r="N870" s="237"/>
      <c r="O870" s="237"/>
      <c r="P870" s="237"/>
      <c r="Q870" s="237"/>
      <c r="R870" s="237"/>
      <c r="U870" s="204"/>
      <c r="V870" s="204"/>
      <c r="W870" s="204"/>
      <c r="X870" s="204"/>
    </row>
    <row r="871" customFormat="false" ht="12.75" hidden="false" customHeight="true" outlineLevel="0" collapsed="false">
      <c r="H871" s="236"/>
      <c r="I871" s="236"/>
      <c r="J871" s="236"/>
      <c r="L871" s="237"/>
      <c r="M871" s="237"/>
      <c r="N871" s="237"/>
      <c r="O871" s="237"/>
      <c r="P871" s="237"/>
      <c r="Q871" s="237"/>
      <c r="R871" s="237"/>
      <c r="U871" s="204"/>
      <c r="V871" s="204"/>
      <c r="W871" s="204"/>
      <c r="X871" s="204"/>
    </row>
    <row r="872" customFormat="false" ht="12.75" hidden="false" customHeight="true" outlineLevel="0" collapsed="false">
      <c r="H872" s="236"/>
      <c r="I872" s="236"/>
      <c r="J872" s="236"/>
      <c r="L872" s="237"/>
      <c r="M872" s="237"/>
      <c r="N872" s="237"/>
      <c r="O872" s="237"/>
      <c r="P872" s="237"/>
      <c r="Q872" s="237"/>
      <c r="R872" s="237"/>
      <c r="U872" s="204"/>
      <c r="V872" s="204"/>
      <c r="W872" s="204"/>
      <c r="X872" s="204"/>
    </row>
    <row r="873" customFormat="false" ht="12.75" hidden="false" customHeight="true" outlineLevel="0" collapsed="false">
      <c r="H873" s="236"/>
      <c r="I873" s="236"/>
      <c r="J873" s="236"/>
      <c r="L873" s="237"/>
      <c r="M873" s="237"/>
      <c r="N873" s="237"/>
      <c r="O873" s="237"/>
      <c r="P873" s="237"/>
      <c r="Q873" s="237"/>
      <c r="R873" s="237"/>
      <c r="U873" s="204"/>
      <c r="V873" s="204"/>
      <c r="W873" s="204"/>
      <c r="X873" s="204"/>
    </row>
    <row r="874" customFormat="false" ht="12.75" hidden="false" customHeight="true" outlineLevel="0" collapsed="false">
      <c r="H874" s="236"/>
      <c r="I874" s="236"/>
      <c r="J874" s="236"/>
      <c r="L874" s="237"/>
      <c r="M874" s="237"/>
      <c r="N874" s="237"/>
      <c r="O874" s="237"/>
      <c r="P874" s="237"/>
      <c r="Q874" s="237"/>
      <c r="R874" s="237"/>
      <c r="U874" s="204"/>
      <c r="V874" s="204"/>
      <c r="W874" s="204"/>
      <c r="X874" s="204"/>
    </row>
    <row r="875" customFormat="false" ht="12.75" hidden="false" customHeight="true" outlineLevel="0" collapsed="false">
      <c r="H875" s="236"/>
      <c r="I875" s="236"/>
      <c r="J875" s="236"/>
      <c r="L875" s="237"/>
      <c r="M875" s="237"/>
      <c r="N875" s="237"/>
      <c r="O875" s="237"/>
      <c r="P875" s="237"/>
      <c r="Q875" s="237"/>
      <c r="R875" s="237"/>
      <c r="U875" s="204"/>
      <c r="V875" s="204"/>
      <c r="W875" s="204"/>
      <c r="X875" s="204"/>
    </row>
    <row r="876" customFormat="false" ht="12.75" hidden="false" customHeight="true" outlineLevel="0" collapsed="false">
      <c r="H876" s="236"/>
      <c r="I876" s="236"/>
      <c r="J876" s="236"/>
      <c r="L876" s="237"/>
      <c r="M876" s="237"/>
      <c r="N876" s="237"/>
      <c r="O876" s="237"/>
      <c r="P876" s="237"/>
      <c r="Q876" s="237"/>
      <c r="R876" s="237"/>
      <c r="U876" s="204"/>
      <c r="V876" s="204"/>
      <c r="W876" s="204"/>
      <c r="X876" s="204"/>
    </row>
    <row r="877" customFormat="false" ht="12.75" hidden="false" customHeight="true" outlineLevel="0" collapsed="false">
      <c r="H877" s="236"/>
      <c r="I877" s="236"/>
      <c r="J877" s="236"/>
      <c r="L877" s="237"/>
      <c r="M877" s="237"/>
      <c r="N877" s="237"/>
      <c r="O877" s="237"/>
      <c r="P877" s="237"/>
      <c r="Q877" s="237"/>
      <c r="R877" s="237"/>
      <c r="U877" s="204"/>
      <c r="V877" s="204"/>
      <c r="W877" s="204"/>
      <c r="X877" s="204"/>
    </row>
    <row r="878" customFormat="false" ht="12.75" hidden="false" customHeight="true" outlineLevel="0" collapsed="false">
      <c r="H878" s="236"/>
      <c r="I878" s="236"/>
      <c r="J878" s="236"/>
      <c r="L878" s="237"/>
      <c r="M878" s="237"/>
      <c r="N878" s="237"/>
      <c r="O878" s="237"/>
      <c r="P878" s="237"/>
      <c r="Q878" s="237"/>
      <c r="R878" s="237"/>
      <c r="U878" s="204"/>
      <c r="V878" s="204"/>
      <c r="W878" s="204"/>
      <c r="X878" s="204"/>
    </row>
    <row r="879" customFormat="false" ht="12.75" hidden="false" customHeight="true" outlineLevel="0" collapsed="false">
      <c r="H879" s="236"/>
      <c r="I879" s="236"/>
      <c r="J879" s="236"/>
      <c r="L879" s="237"/>
      <c r="M879" s="237"/>
      <c r="N879" s="237"/>
      <c r="O879" s="237"/>
      <c r="P879" s="237"/>
      <c r="Q879" s="237"/>
      <c r="R879" s="237"/>
      <c r="U879" s="204"/>
      <c r="V879" s="204"/>
      <c r="W879" s="204"/>
      <c r="X879" s="204"/>
    </row>
    <row r="880" customFormat="false" ht="12.75" hidden="false" customHeight="true" outlineLevel="0" collapsed="false">
      <c r="H880" s="236"/>
      <c r="I880" s="236"/>
      <c r="J880" s="236"/>
      <c r="L880" s="237"/>
      <c r="M880" s="237"/>
      <c r="N880" s="237"/>
      <c r="O880" s="237"/>
      <c r="P880" s="237"/>
      <c r="Q880" s="237"/>
      <c r="R880" s="237"/>
      <c r="U880" s="204"/>
      <c r="V880" s="204"/>
      <c r="W880" s="204"/>
      <c r="X880" s="204"/>
    </row>
    <row r="881" customFormat="false" ht="12.75" hidden="false" customHeight="true" outlineLevel="0" collapsed="false">
      <c r="H881" s="236"/>
      <c r="I881" s="236"/>
      <c r="J881" s="236"/>
      <c r="L881" s="237"/>
      <c r="M881" s="237"/>
      <c r="N881" s="237"/>
      <c r="O881" s="237"/>
      <c r="P881" s="237"/>
      <c r="Q881" s="237"/>
      <c r="R881" s="237"/>
      <c r="U881" s="204"/>
      <c r="V881" s="204"/>
      <c r="W881" s="204"/>
      <c r="X881" s="204"/>
    </row>
    <row r="882" customFormat="false" ht="12.75" hidden="false" customHeight="true" outlineLevel="0" collapsed="false">
      <c r="H882" s="236"/>
      <c r="I882" s="236"/>
      <c r="J882" s="236"/>
      <c r="L882" s="237"/>
      <c r="M882" s="237"/>
      <c r="N882" s="237"/>
      <c r="O882" s="237"/>
      <c r="P882" s="237"/>
      <c r="Q882" s="237"/>
      <c r="R882" s="237"/>
      <c r="U882" s="204"/>
      <c r="V882" s="204"/>
      <c r="W882" s="204"/>
      <c r="X882" s="204"/>
    </row>
    <row r="883" customFormat="false" ht="12.75" hidden="false" customHeight="true" outlineLevel="0" collapsed="false">
      <c r="H883" s="236"/>
      <c r="I883" s="236"/>
      <c r="J883" s="236"/>
      <c r="L883" s="237"/>
      <c r="M883" s="237"/>
      <c r="N883" s="237"/>
      <c r="O883" s="237"/>
      <c r="P883" s="237"/>
      <c r="Q883" s="237"/>
      <c r="R883" s="237"/>
      <c r="U883" s="204"/>
      <c r="V883" s="204"/>
      <c r="W883" s="204"/>
      <c r="X883" s="204"/>
    </row>
    <row r="884" customFormat="false" ht="12.75" hidden="false" customHeight="true" outlineLevel="0" collapsed="false">
      <c r="H884" s="236"/>
      <c r="I884" s="236"/>
      <c r="J884" s="236"/>
      <c r="L884" s="237"/>
      <c r="M884" s="237"/>
      <c r="N884" s="237"/>
      <c r="O884" s="237"/>
      <c r="P884" s="237"/>
      <c r="Q884" s="237"/>
      <c r="R884" s="237"/>
      <c r="U884" s="204"/>
      <c r="V884" s="204"/>
      <c r="W884" s="204"/>
      <c r="X884" s="204"/>
    </row>
    <row r="885" customFormat="false" ht="12.75" hidden="false" customHeight="true" outlineLevel="0" collapsed="false">
      <c r="H885" s="236"/>
      <c r="I885" s="236"/>
      <c r="J885" s="236"/>
      <c r="L885" s="237"/>
      <c r="M885" s="237"/>
      <c r="N885" s="237"/>
      <c r="O885" s="237"/>
      <c r="P885" s="237"/>
      <c r="Q885" s="237"/>
      <c r="R885" s="237"/>
      <c r="U885" s="204"/>
      <c r="V885" s="204"/>
      <c r="W885" s="204"/>
      <c r="X885" s="204"/>
    </row>
    <row r="886" customFormat="false" ht="12.75" hidden="false" customHeight="true" outlineLevel="0" collapsed="false">
      <c r="H886" s="236"/>
      <c r="I886" s="236"/>
      <c r="J886" s="236"/>
      <c r="L886" s="237"/>
      <c r="M886" s="237"/>
      <c r="N886" s="237"/>
      <c r="O886" s="237"/>
      <c r="P886" s="237"/>
      <c r="Q886" s="237"/>
      <c r="R886" s="237"/>
      <c r="U886" s="204"/>
      <c r="V886" s="204"/>
      <c r="W886" s="204"/>
      <c r="X886" s="204"/>
    </row>
    <row r="887" customFormat="false" ht="12.75" hidden="false" customHeight="true" outlineLevel="0" collapsed="false">
      <c r="H887" s="236"/>
      <c r="I887" s="236"/>
      <c r="J887" s="236"/>
      <c r="L887" s="237"/>
      <c r="M887" s="237"/>
      <c r="N887" s="237"/>
      <c r="O887" s="237"/>
      <c r="P887" s="237"/>
      <c r="Q887" s="237"/>
      <c r="R887" s="237"/>
      <c r="U887" s="204"/>
      <c r="V887" s="204"/>
      <c r="W887" s="204"/>
      <c r="X887" s="204"/>
    </row>
    <row r="888" customFormat="false" ht="12.75" hidden="false" customHeight="true" outlineLevel="0" collapsed="false">
      <c r="H888" s="236"/>
      <c r="I888" s="236"/>
      <c r="J888" s="236"/>
      <c r="L888" s="237"/>
      <c r="M888" s="237"/>
      <c r="N888" s="237"/>
      <c r="O888" s="237"/>
      <c r="P888" s="237"/>
      <c r="Q888" s="237"/>
      <c r="R888" s="237"/>
      <c r="U888" s="204"/>
      <c r="V888" s="204"/>
      <c r="W888" s="204"/>
      <c r="X888" s="204"/>
    </row>
    <row r="889" customFormat="false" ht="12.75" hidden="false" customHeight="true" outlineLevel="0" collapsed="false">
      <c r="H889" s="236"/>
      <c r="I889" s="236"/>
      <c r="J889" s="236"/>
      <c r="L889" s="237"/>
      <c r="M889" s="237"/>
      <c r="N889" s="237"/>
      <c r="O889" s="237"/>
      <c r="P889" s="237"/>
      <c r="Q889" s="237"/>
      <c r="R889" s="237"/>
      <c r="U889" s="204"/>
      <c r="V889" s="204"/>
      <c r="W889" s="204"/>
      <c r="X889" s="204"/>
    </row>
    <row r="890" customFormat="false" ht="12.75" hidden="false" customHeight="true" outlineLevel="0" collapsed="false">
      <c r="H890" s="236"/>
      <c r="I890" s="236"/>
      <c r="J890" s="236"/>
      <c r="L890" s="237"/>
      <c r="M890" s="237"/>
      <c r="N890" s="237"/>
      <c r="O890" s="237"/>
      <c r="P890" s="237"/>
      <c r="Q890" s="237"/>
      <c r="R890" s="237"/>
      <c r="U890" s="204"/>
      <c r="V890" s="204"/>
      <c r="W890" s="204"/>
      <c r="X890" s="204"/>
    </row>
    <row r="891" customFormat="false" ht="12.75" hidden="false" customHeight="true" outlineLevel="0" collapsed="false">
      <c r="H891" s="236"/>
      <c r="I891" s="236"/>
      <c r="J891" s="236"/>
      <c r="L891" s="237"/>
      <c r="M891" s="237"/>
      <c r="N891" s="237"/>
      <c r="O891" s="237"/>
      <c r="P891" s="237"/>
      <c r="Q891" s="237"/>
      <c r="R891" s="237"/>
      <c r="U891" s="204"/>
      <c r="V891" s="204"/>
      <c r="W891" s="204"/>
      <c r="X891" s="204"/>
    </row>
    <row r="892" customFormat="false" ht="12.75" hidden="false" customHeight="true" outlineLevel="0" collapsed="false">
      <c r="H892" s="236"/>
      <c r="I892" s="236"/>
      <c r="J892" s="236"/>
      <c r="L892" s="237"/>
      <c r="M892" s="237"/>
      <c r="N892" s="237"/>
      <c r="O892" s="237"/>
      <c r="P892" s="237"/>
      <c r="Q892" s="237"/>
      <c r="R892" s="237"/>
      <c r="U892" s="204"/>
      <c r="V892" s="204"/>
      <c r="W892" s="204"/>
      <c r="X892" s="204"/>
    </row>
    <row r="893" customFormat="false" ht="12.75" hidden="false" customHeight="true" outlineLevel="0" collapsed="false">
      <c r="H893" s="236"/>
      <c r="I893" s="236"/>
      <c r="J893" s="236"/>
      <c r="L893" s="237"/>
      <c r="M893" s="237"/>
      <c r="N893" s="237"/>
      <c r="O893" s="237"/>
      <c r="P893" s="237"/>
      <c r="Q893" s="237"/>
      <c r="R893" s="237"/>
      <c r="U893" s="204"/>
      <c r="V893" s="204"/>
      <c r="W893" s="204"/>
      <c r="X893" s="204"/>
    </row>
    <row r="894" customFormat="false" ht="12.75" hidden="false" customHeight="true" outlineLevel="0" collapsed="false">
      <c r="H894" s="236"/>
      <c r="I894" s="236"/>
      <c r="J894" s="236"/>
      <c r="L894" s="237"/>
      <c r="M894" s="237"/>
      <c r="N894" s="237"/>
      <c r="O894" s="237"/>
      <c r="P894" s="237"/>
      <c r="Q894" s="237"/>
      <c r="R894" s="237"/>
      <c r="U894" s="204"/>
      <c r="V894" s="204"/>
      <c r="W894" s="204"/>
      <c r="X894" s="204"/>
    </row>
    <row r="895" customFormat="false" ht="12.75" hidden="false" customHeight="true" outlineLevel="0" collapsed="false">
      <c r="H895" s="236"/>
      <c r="I895" s="236"/>
      <c r="J895" s="236"/>
      <c r="L895" s="237"/>
      <c r="M895" s="237"/>
      <c r="N895" s="237"/>
      <c r="O895" s="237"/>
      <c r="P895" s="237"/>
      <c r="Q895" s="237"/>
      <c r="R895" s="237"/>
      <c r="U895" s="204"/>
      <c r="V895" s="204"/>
      <c r="W895" s="204"/>
      <c r="X895" s="204"/>
    </row>
    <row r="896" customFormat="false" ht="12.75" hidden="false" customHeight="true" outlineLevel="0" collapsed="false">
      <c r="H896" s="236"/>
      <c r="I896" s="236"/>
      <c r="J896" s="236"/>
      <c r="L896" s="237"/>
      <c r="M896" s="237"/>
      <c r="N896" s="237"/>
      <c r="O896" s="237"/>
      <c r="P896" s="237"/>
      <c r="Q896" s="237"/>
      <c r="R896" s="237"/>
      <c r="U896" s="204"/>
      <c r="V896" s="204"/>
      <c r="W896" s="204"/>
      <c r="X896" s="204"/>
    </row>
    <row r="897" customFormat="false" ht="12.75" hidden="false" customHeight="true" outlineLevel="0" collapsed="false">
      <c r="H897" s="236"/>
      <c r="I897" s="236"/>
      <c r="J897" s="236"/>
      <c r="L897" s="237"/>
      <c r="M897" s="237"/>
      <c r="N897" s="237"/>
      <c r="O897" s="237"/>
      <c r="P897" s="237"/>
      <c r="Q897" s="237"/>
      <c r="R897" s="237"/>
      <c r="U897" s="204"/>
      <c r="V897" s="204"/>
      <c r="W897" s="204"/>
      <c r="X897" s="204"/>
    </row>
    <row r="898" customFormat="false" ht="12.75" hidden="false" customHeight="true" outlineLevel="0" collapsed="false">
      <c r="H898" s="236"/>
      <c r="I898" s="236"/>
      <c r="J898" s="236"/>
      <c r="L898" s="237"/>
      <c r="M898" s="237"/>
      <c r="N898" s="237"/>
      <c r="O898" s="237"/>
      <c r="P898" s="237"/>
      <c r="Q898" s="237"/>
      <c r="R898" s="237"/>
      <c r="U898" s="204"/>
      <c r="V898" s="204"/>
      <c r="W898" s="204"/>
      <c r="X898" s="204"/>
    </row>
    <row r="899" customFormat="false" ht="12.75" hidden="false" customHeight="true" outlineLevel="0" collapsed="false">
      <c r="H899" s="236"/>
      <c r="I899" s="236"/>
      <c r="J899" s="236"/>
      <c r="L899" s="237"/>
      <c r="M899" s="237"/>
      <c r="N899" s="237"/>
      <c r="O899" s="237"/>
      <c r="P899" s="237"/>
      <c r="Q899" s="237"/>
      <c r="R899" s="237"/>
      <c r="U899" s="204"/>
      <c r="V899" s="204"/>
      <c r="W899" s="204"/>
      <c r="X899" s="204"/>
    </row>
    <row r="900" customFormat="false" ht="12.75" hidden="false" customHeight="true" outlineLevel="0" collapsed="false">
      <c r="H900" s="236"/>
      <c r="I900" s="236"/>
      <c r="J900" s="236"/>
      <c r="L900" s="237"/>
      <c r="M900" s="237"/>
      <c r="N900" s="237"/>
      <c r="O900" s="237"/>
      <c r="P900" s="237"/>
      <c r="Q900" s="237"/>
      <c r="R900" s="237"/>
      <c r="U900" s="204"/>
      <c r="V900" s="204"/>
      <c r="W900" s="204"/>
      <c r="X900" s="204"/>
    </row>
    <row r="901" customFormat="false" ht="12.75" hidden="false" customHeight="true" outlineLevel="0" collapsed="false">
      <c r="H901" s="236"/>
      <c r="I901" s="236"/>
      <c r="J901" s="236"/>
      <c r="L901" s="237"/>
      <c r="M901" s="237"/>
      <c r="N901" s="237"/>
      <c r="O901" s="237"/>
      <c r="P901" s="237"/>
      <c r="Q901" s="237"/>
      <c r="R901" s="237"/>
      <c r="U901" s="204"/>
      <c r="V901" s="204"/>
      <c r="W901" s="204"/>
      <c r="X901" s="204"/>
    </row>
    <row r="902" customFormat="false" ht="12.75" hidden="false" customHeight="true" outlineLevel="0" collapsed="false">
      <c r="H902" s="236"/>
      <c r="I902" s="236"/>
      <c r="J902" s="236"/>
      <c r="L902" s="237"/>
      <c r="M902" s="237"/>
      <c r="N902" s="237"/>
      <c r="O902" s="237"/>
      <c r="P902" s="237"/>
      <c r="Q902" s="237"/>
      <c r="R902" s="237"/>
      <c r="U902" s="204"/>
      <c r="V902" s="204"/>
      <c r="W902" s="204"/>
      <c r="X902" s="204"/>
    </row>
    <row r="903" customFormat="false" ht="12.75" hidden="false" customHeight="true" outlineLevel="0" collapsed="false">
      <c r="H903" s="236"/>
      <c r="I903" s="236"/>
      <c r="J903" s="236"/>
      <c r="L903" s="237"/>
      <c r="M903" s="237"/>
      <c r="N903" s="237"/>
      <c r="O903" s="237"/>
      <c r="P903" s="237"/>
      <c r="Q903" s="237"/>
      <c r="R903" s="237"/>
      <c r="U903" s="204"/>
      <c r="V903" s="204"/>
      <c r="W903" s="204"/>
      <c r="X903" s="204"/>
    </row>
    <row r="904" customFormat="false" ht="12.75" hidden="false" customHeight="true" outlineLevel="0" collapsed="false">
      <c r="H904" s="236"/>
      <c r="I904" s="236"/>
      <c r="J904" s="236"/>
      <c r="L904" s="237"/>
      <c r="M904" s="237"/>
      <c r="N904" s="237"/>
      <c r="O904" s="237"/>
      <c r="P904" s="237"/>
      <c r="Q904" s="237"/>
      <c r="R904" s="237"/>
      <c r="U904" s="204"/>
      <c r="V904" s="204"/>
      <c r="W904" s="204"/>
      <c r="X904" s="204"/>
    </row>
    <row r="905" customFormat="false" ht="12.75" hidden="false" customHeight="true" outlineLevel="0" collapsed="false">
      <c r="H905" s="236"/>
      <c r="I905" s="236"/>
      <c r="J905" s="236"/>
      <c r="L905" s="237"/>
      <c r="M905" s="237"/>
      <c r="N905" s="237"/>
      <c r="O905" s="237"/>
      <c r="P905" s="237"/>
      <c r="Q905" s="237"/>
      <c r="R905" s="237"/>
      <c r="U905" s="204"/>
      <c r="V905" s="204"/>
      <c r="W905" s="204"/>
      <c r="X905" s="204"/>
    </row>
    <row r="906" customFormat="false" ht="12.75" hidden="false" customHeight="true" outlineLevel="0" collapsed="false">
      <c r="H906" s="236"/>
      <c r="I906" s="236"/>
      <c r="J906" s="236"/>
      <c r="L906" s="237"/>
      <c r="M906" s="237"/>
      <c r="N906" s="237"/>
      <c r="O906" s="237"/>
      <c r="P906" s="237"/>
      <c r="Q906" s="237"/>
      <c r="R906" s="237"/>
      <c r="U906" s="204"/>
      <c r="V906" s="204"/>
      <c r="W906" s="204"/>
      <c r="X906" s="204"/>
    </row>
    <row r="907" customFormat="false" ht="12.75" hidden="false" customHeight="true" outlineLevel="0" collapsed="false">
      <c r="H907" s="236"/>
      <c r="I907" s="236"/>
      <c r="J907" s="236"/>
      <c r="L907" s="237"/>
      <c r="M907" s="237"/>
      <c r="N907" s="237"/>
      <c r="O907" s="237"/>
      <c r="P907" s="237"/>
      <c r="Q907" s="237"/>
      <c r="R907" s="237"/>
      <c r="U907" s="204"/>
      <c r="V907" s="204"/>
      <c r="W907" s="204"/>
      <c r="X907" s="204"/>
    </row>
    <row r="908" customFormat="false" ht="12.75" hidden="false" customHeight="true" outlineLevel="0" collapsed="false">
      <c r="H908" s="236"/>
      <c r="I908" s="236"/>
      <c r="J908" s="236"/>
      <c r="L908" s="237"/>
      <c r="M908" s="237"/>
      <c r="N908" s="237"/>
      <c r="O908" s="237"/>
      <c r="P908" s="237"/>
      <c r="Q908" s="237"/>
      <c r="R908" s="237"/>
      <c r="U908" s="204"/>
      <c r="V908" s="204"/>
      <c r="W908" s="204"/>
      <c r="X908" s="204"/>
    </row>
    <row r="909" customFormat="false" ht="12.75" hidden="false" customHeight="true" outlineLevel="0" collapsed="false">
      <c r="H909" s="236"/>
      <c r="I909" s="236"/>
      <c r="J909" s="236"/>
      <c r="L909" s="237"/>
      <c r="M909" s="237"/>
      <c r="N909" s="237"/>
      <c r="O909" s="237"/>
      <c r="P909" s="237"/>
      <c r="Q909" s="237"/>
      <c r="R909" s="237"/>
      <c r="U909" s="204"/>
      <c r="V909" s="204"/>
      <c r="W909" s="204"/>
      <c r="X909" s="204"/>
    </row>
    <row r="910" customFormat="false" ht="12.75" hidden="false" customHeight="true" outlineLevel="0" collapsed="false">
      <c r="H910" s="236"/>
      <c r="I910" s="236"/>
      <c r="J910" s="236"/>
      <c r="L910" s="237"/>
      <c r="M910" s="237"/>
      <c r="N910" s="237"/>
      <c r="O910" s="237"/>
      <c r="P910" s="237"/>
      <c r="Q910" s="237"/>
      <c r="R910" s="237"/>
      <c r="U910" s="204"/>
      <c r="V910" s="204"/>
      <c r="W910" s="204"/>
      <c r="X910" s="204"/>
    </row>
    <row r="911" customFormat="false" ht="12.75" hidden="false" customHeight="true" outlineLevel="0" collapsed="false">
      <c r="H911" s="236"/>
      <c r="I911" s="236"/>
      <c r="J911" s="236"/>
      <c r="L911" s="237"/>
      <c r="M911" s="237"/>
      <c r="N911" s="237"/>
      <c r="O911" s="237"/>
      <c r="P911" s="237"/>
      <c r="Q911" s="237"/>
      <c r="R911" s="237"/>
      <c r="U911" s="204"/>
      <c r="V911" s="204"/>
      <c r="W911" s="204"/>
      <c r="X911" s="204"/>
    </row>
    <row r="912" customFormat="false" ht="12.75" hidden="false" customHeight="true" outlineLevel="0" collapsed="false">
      <c r="H912" s="236"/>
      <c r="I912" s="236"/>
      <c r="J912" s="236"/>
      <c r="L912" s="237"/>
      <c r="M912" s="237"/>
      <c r="N912" s="237"/>
      <c r="O912" s="237"/>
      <c r="P912" s="237"/>
      <c r="Q912" s="237"/>
      <c r="R912" s="237"/>
      <c r="U912" s="204"/>
      <c r="V912" s="204"/>
      <c r="W912" s="204"/>
      <c r="X912" s="204"/>
    </row>
    <row r="913" customFormat="false" ht="12.75" hidden="false" customHeight="true" outlineLevel="0" collapsed="false">
      <c r="H913" s="236"/>
      <c r="I913" s="236"/>
      <c r="J913" s="236"/>
      <c r="L913" s="237"/>
      <c r="M913" s="237"/>
      <c r="N913" s="237"/>
      <c r="O913" s="237"/>
      <c r="P913" s="237"/>
      <c r="Q913" s="237"/>
      <c r="R913" s="237"/>
      <c r="U913" s="204"/>
      <c r="V913" s="204"/>
      <c r="W913" s="204"/>
      <c r="X913" s="204"/>
    </row>
    <row r="914" customFormat="false" ht="12.75" hidden="false" customHeight="true" outlineLevel="0" collapsed="false">
      <c r="H914" s="236"/>
      <c r="I914" s="236"/>
      <c r="J914" s="236"/>
      <c r="L914" s="237"/>
      <c r="M914" s="237"/>
      <c r="N914" s="237"/>
      <c r="O914" s="237"/>
      <c r="P914" s="237"/>
      <c r="Q914" s="237"/>
      <c r="R914" s="237"/>
      <c r="U914" s="204"/>
      <c r="V914" s="204"/>
      <c r="W914" s="204"/>
      <c r="X914" s="204"/>
    </row>
    <row r="915" customFormat="false" ht="12.75" hidden="false" customHeight="true" outlineLevel="0" collapsed="false">
      <c r="H915" s="236"/>
      <c r="I915" s="236"/>
      <c r="J915" s="236"/>
      <c r="L915" s="237"/>
      <c r="M915" s="237"/>
      <c r="N915" s="237"/>
      <c r="O915" s="237"/>
      <c r="P915" s="237"/>
      <c r="Q915" s="237"/>
      <c r="R915" s="237"/>
      <c r="U915" s="204"/>
      <c r="V915" s="204"/>
      <c r="W915" s="204"/>
      <c r="X915" s="204"/>
    </row>
    <row r="916" customFormat="false" ht="12.75" hidden="false" customHeight="true" outlineLevel="0" collapsed="false">
      <c r="H916" s="236"/>
      <c r="I916" s="236"/>
      <c r="J916" s="236"/>
      <c r="L916" s="237"/>
      <c r="M916" s="237"/>
      <c r="N916" s="237"/>
      <c r="O916" s="237"/>
      <c r="P916" s="237"/>
      <c r="Q916" s="237"/>
      <c r="R916" s="237"/>
      <c r="U916" s="204"/>
      <c r="V916" s="204"/>
      <c r="W916" s="204"/>
      <c r="X916" s="204"/>
    </row>
    <row r="917" customFormat="false" ht="12.75" hidden="false" customHeight="true" outlineLevel="0" collapsed="false">
      <c r="H917" s="236"/>
      <c r="I917" s="236"/>
      <c r="J917" s="236"/>
      <c r="L917" s="237"/>
      <c r="M917" s="237"/>
      <c r="N917" s="237"/>
      <c r="O917" s="237"/>
      <c r="P917" s="237"/>
      <c r="Q917" s="237"/>
      <c r="R917" s="237"/>
      <c r="U917" s="204"/>
      <c r="V917" s="204"/>
      <c r="W917" s="204"/>
      <c r="X917" s="204"/>
    </row>
    <row r="918" customFormat="false" ht="12.75" hidden="false" customHeight="true" outlineLevel="0" collapsed="false">
      <c r="H918" s="236"/>
      <c r="I918" s="236"/>
      <c r="J918" s="236"/>
      <c r="L918" s="237"/>
      <c r="M918" s="237"/>
      <c r="N918" s="237"/>
      <c r="O918" s="237"/>
      <c r="P918" s="237"/>
      <c r="Q918" s="237"/>
      <c r="R918" s="237"/>
      <c r="U918" s="204"/>
      <c r="V918" s="204"/>
      <c r="W918" s="204"/>
      <c r="X918" s="204"/>
    </row>
    <row r="919" customFormat="false" ht="12.75" hidden="false" customHeight="true" outlineLevel="0" collapsed="false">
      <c r="H919" s="236"/>
      <c r="I919" s="236"/>
      <c r="J919" s="236"/>
      <c r="L919" s="237"/>
      <c r="M919" s="237"/>
      <c r="N919" s="237"/>
      <c r="O919" s="237"/>
      <c r="P919" s="237"/>
      <c r="Q919" s="237"/>
      <c r="R919" s="237"/>
      <c r="U919" s="204"/>
      <c r="V919" s="204"/>
      <c r="W919" s="204"/>
      <c r="X919" s="204"/>
    </row>
    <row r="920" customFormat="false" ht="12.75" hidden="false" customHeight="true" outlineLevel="0" collapsed="false">
      <c r="H920" s="236"/>
      <c r="I920" s="236"/>
      <c r="J920" s="236"/>
      <c r="L920" s="237"/>
      <c r="M920" s="237"/>
      <c r="N920" s="237"/>
      <c r="O920" s="237"/>
      <c r="P920" s="237"/>
      <c r="Q920" s="237"/>
      <c r="R920" s="237"/>
      <c r="U920" s="204"/>
      <c r="V920" s="204"/>
      <c r="W920" s="204"/>
      <c r="X920" s="204"/>
    </row>
    <row r="921" customFormat="false" ht="12.75" hidden="false" customHeight="true" outlineLevel="0" collapsed="false">
      <c r="H921" s="236"/>
      <c r="I921" s="236"/>
      <c r="J921" s="236"/>
      <c r="L921" s="237"/>
      <c r="M921" s="237"/>
      <c r="N921" s="237"/>
      <c r="O921" s="237"/>
      <c r="P921" s="237"/>
      <c r="Q921" s="237"/>
      <c r="R921" s="237"/>
      <c r="U921" s="204"/>
      <c r="V921" s="204"/>
      <c r="W921" s="204"/>
      <c r="X921" s="204"/>
    </row>
    <row r="922" customFormat="false" ht="12.75" hidden="false" customHeight="true" outlineLevel="0" collapsed="false">
      <c r="H922" s="236"/>
      <c r="I922" s="236"/>
      <c r="J922" s="236"/>
      <c r="L922" s="237"/>
      <c r="M922" s="237"/>
      <c r="N922" s="237"/>
      <c r="O922" s="237"/>
      <c r="P922" s="237"/>
      <c r="Q922" s="237"/>
      <c r="R922" s="237"/>
      <c r="U922" s="204"/>
      <c r="V922" s="204"/>
      <c r="W922" s="204"/>
      <c r="X922" s="204"/>
    </row>
    <row r="923" customFormat="false" ht="12.75" hidden="false" customHeight="true" outlineLevel="0" collapsed="false">
      <c r="H923" s="236"/>
      <c r="I923" s="236"/>
      <c r="J923" s="236"/>
      <c r="L923" s="237"/>
      <c r="M923" s="237"/>
      <c r="N923" s="237"/>
      <c r="O923" s="237"/>
      <c r="P923" s="237"/>
      <c r="Q923" s="237"/>
      <c r="R923" s="237"/>
      <c r="U923" s="204"/>
      <c r="V923" s="204"/>
      <c r="W923" s="204"/>
      <c r="X923" s="204"/>
    </row>
    <row r="924" customFormat="false" ht="12.75" hidden="false" customHeight="true" outlineLevel="0" collapsed="false">
      <c r="H924" s="236"/>
      <c r="I924" s="236"/>
      <c r="J924" s="236"/>
      <c r="L924" s="237"/>
      <c r="M924" s="237"/>
      <c r="N924" s="237"/>
      <c r="O924" s="237"/>
      <c r="P924" s="237"/>
      <c r="Q924" s="237"/>
      <c r="R924" s="237"/>
      <c r="U924" s="204"/>
      <c r="V924" s="204"/>
      <c r="W924" s="204"/>
      <c r="X924" s="204"/>
    </row>
    <row r="925" customFormat="false" ht="12.75" hidden="false" customHeight="true" outlineLevel="0" collapsed="false">
      <c r="H925" s="236"/>
      <c r="I925" s="236"/>
      <c r="J925" s="236"/>
      <c r="L925" s="237"/>
      <c r="M925" s="237"/>
      <c r="N925" s="237"/>
      <c r="O925" s="237"/>
      <c r="P925" s="237"/>
      <c r="Q925" s="237"/>
      <c r="R925" s="237"/>
      <c r="U925" s="204"/>
      <c r="V925" s="204"/>
      <c r="W925" s="204"/>
      <c r="X925" s="204"/>
    </row>
    <row r="926" customFormat="false" ht="12.75" hidden="false" customHeight="true" outlineLevel="0" collapsed="false">
      <c r="H926" s="236"/>
      <c r="I926" s="236"/>
      <c r="J926" s="236"/>
      <c r="L926" s="237"/>
      <c r="M926" s="237"/>
      <c r="N926" s="237"/>
      <c r="O926" s="237"/>
      <c r="P926" s="237"/>
      <c r="Q926" s="237"/>
      <c r="R926" s="237"/>
      <c r="U926" s="204"/>
      <c r="V926" s="204"/>
      <c r="W926" s="204"/>
      <c r="X926" s="204"/>
    </row>
    <row r="927" customFormat="false" ht="12.75" hidden="false" customHeight="true" outlineLevel="0" collapsed="false">
      <c r="H927" s="236"/>
      <c r="I927" s="236"/>
      <c r="J927" s="236"/>
      <c r="L927" s="237"/>
      <c r="M927" s="237"/>
      <c r="N927" s="237"/>
      <c r="O927" s="237"/>
      <c r="P927" s="237"/>
      <c r="Q927" s="237"/>
      <c r="R927" s="237"/>
      <c r="U927" s="204"/>
      <c r="V927" s="204"/>
      <c r="W927" s="204"/>
      <c r="X927" s="204"/>
    </row>
    <row r="928" customFormat="false" ht="12.75" hidden="false" customHeight="true" outlineLevel="0" collapsed="false">
      <c r="H928" s="236"/>
      <c r="I928" s="236"/>
      <c r="J928" s="236"/>
      <c r="L928" s="237"/>
      <c r="M928" s="237"/>
      <c r="N928" s="237"/>
      <c r="O928" s="237"/>
      <c r="P928" s="237"/>
      <c r="Q928" s="237"/>
      <c r="R928" s="237"/>
      <c r="U928" s="204"/>
      <c r="V928" s="204"/>
      <c r="W928" s="204"/>
      <c r="X928" s="204"/>
    </row>
    <row r="929" customFormat="false" ht="12.75" hidden="false" customHeight="true" outlineLevel="0" collapsed="false">
      <c r="H929" s="236"/>
      <c r="I929" s="236"/>
      <c r="J929" s="236"/>
      <c r="L929" s="237"/>
      <c r="M929" s="237"/>
      <c r="N929" s="237"/>
      <c r="O929" s="237"/>
      <c r="P929" s="237"/>
      <c r="Q929" s="237"/>
      <c r="R929" s="237"/>
      <c r="U929" s="204"/>
      <c r="V929" s="204"/>
      <c r="W929" s="204"/>
      <c r="X929" s="204"/>
    </row>
    <row r="930" customFormat="false" ht="12.75" hidden="false" customHeight="true" outlineLevel="0" collapsed="false">
      <c r="H930" s="236"/>
      <c r="I930" s="236"/>
      <c r="J930" s="236"/>
      <c r="L930" s="237"/>
      <c r="M930" s="237"/>
      <c r="N930" s="237"/>
      <c r="O930" s="237"/>
      <c r="P930" s="237"/>
      <c r="Q930" s="237"/>
      <c r="R930" s="237"/>
      <c r="U930" s="204"/>
      <c r="V930" s="204"/>
      <c r="W930" s="204"/>
      <c r="X930" s="204"/>
    </row>
    <row r="931" customFormat="false" ht="12.75" hidden="false" customHeight="true" outlineLevel="0" collapsed="false">
      <c r="H931" s="236"/>
      <c r="I931" s="236"/>
      <c r="J931" s="236"/>
      <c r="L931" s="237"/>
      <c r="M931" s="237"/>
      <c r="N931" s="237"/>
      <c r="O931" s="237"/>
      <c r="P931" s="237"/>
      <c r="Q931" s="237"/>
      <c r="R931" s="237"/>
      <c r="U931" s="204"/>
      <c r="V931" s="204"/>
      <c r="W931" s="204"/>
      <c r="X931" s="204"/>
    </row>
    <row r="932" customFormat="false" ht="12.75" hidden="false" customHeight="true" outlineLevel="0" collapsed="false">
      <c r="H932" s="236"/>
      <c r="I932" s="236"/>
      <c r="J932" s="236"/>
      <c r="L932" s="237"/>
      <c r="M932" s="237"/>
      <c r="N932" s="237"/>
      <c r="O932" s="237"/>
      <c r="P932" s="237"/>
      <c r="Q932" s="237"/>
      <c r="R932" s="237"/>
      <c r="U932" s="204"/>
      <c r="V932" s="204"/>
      <c r="W932" s="204"/>
      <c r="X932" s="204"/>
    </row>
    <row r="933" customFormat="false" ht="12.75" hidden="false" customHeight="true" outlineLevel="0" collapsed="false">
      <c r="H933" s="236"/>
      <c r="I933" s="236"/>
      <c r="J933" s="236"/>
      <c r="L933" s="237"/>
      <c r="M933" s="237"/>
      <c r="N933" s="237"/>
      <c r="O933" s="237"/>
      <c r="P933" s="237"/>
      <c r="Q933" s="237"/>
      <c r="R933" s="237"/>
      <c r="U933" s="204"/>
      <c r="V933" s="204"/>
      <c r="W933" s="204"/>
      <c r="X933" s="204"/>
    </row>
    <row r="934" customFormat="false" ht="12.75" hidden="false" customHeight="true" outlineLevel="0" collapsed="false">
      <c r="H934" s="236"/>
      <c r="I934" s="236"/>
      <c r="J934" s="236"/>
      <c r="L934" s="237"/>
      <c r="M934" s="237"/>
      <c r="N934" s="237"/>
      <c r="O934" s="237"/>
      <c r="P934" s="237"/>
      <c r="Q934" s="237"/>
      <c r="R934" s="237"/>
      <c r="U934" s="204"/>
      <c r="V934" s="204"/>
      <c r="W934" s="204"/>
      <c r="X934" s="204"/>
    </row>
    <row r="935" customFormat="false" ht="12.75" hidden="false" customHeight="true" outlineLevel="0" collapsed="false">
      <c r="H935" s="236"/>
      <c r="I935" s="236"/>
      <c r="J935" s="236"/>
      <c r="L935" s="237"/>
      <c r="M935" s="237"/>
      <c r="N935" s="237"/>
      <c r="O935" s="237"/>
      <c r="P935" s="237"/>
      <c r="Q935" s="237"/>
      <c r="R935" s="237"/>
      <c r="U935" s="204"/>
      <c r="V935" s="204"/>
      <c r="W935" s="204"/>
      <c r="X935" s="204"/>
    </row>
    <row r="936" customFormat="false" ht="12.75" hidden="false" customHeight="true" outlineLevel="0" collapsed="false">
      <c r="H936" s="236"/>
      <c r="I936" s="236"/>
      <c r="J936" s="236"/>
      <c r="L936" s="237"/>
      <c r="M936" s="237"/>
      <c r="N936" s="237"/>
      <c r="O936" s="237"/>
      <c r="P936" s="237"/>
      <c r="Q936" s="237"/>
      <c r="R936" s="237"/>
      <c r="U936" s="204"/>
      <c r="V936" s="204"/>
      <c r="W936" s="204"/>
      <c r="X936" s="204"/>
    </row>
    <row r="937" customFormat="false" ht="12.75" hidden="false" customHeight="true" outlineLevel="0" collapsed="false">
      <c r="H937" s="236"/>
      <c r="I937" s="236"/>
      <c r="J937" s="236"/>
      <c r="L937" s="237"/>
      <c r="M937" s="237"/>
      <c r="N937" s="237"/>
      <c r="O937" s="237"/>
      <c r="P937" s="237"/>
      <c r="Q937" s="237"/>
      <c r="R937" s="237"/>
      <c r="U937" s="204"/>
      <c r="V937" s="204"/>
      <c r="W937" s="204"/>
      <c r="X937" s="204"/>
    </row>
    <row r="938" customFormat="false" ht="12.75" hidden="false" customHeight="true" outlineLevel="0" collapsed="false">
      <c r="H938" s="236"/>
      <c r="I938" s="236"/>
      <c r="J938" s="236"/>
      <c r="L938" s="237"/>
      <c r="M938" s="237"/>
      <c r="N938" s="237"/>
      <c r="O938" s="237"/>
      <c r="P938" s="237"/>
      <c r="Q938" s="237"/>
      <c r="R938" s="237"/>
      <c r="U938" s="204"/>
      <c r="V938" s="204"/>
      <c r="W938" s="204"/>
      <c r="X938" s="204"/>
    </row>
    <row r="939" customFormat="false" ht="12.75" hidden="false" customHeight="true" outlineLevel="0" collapsed="false">
      <c r="H939" s="236"/>
      <c r="I939" s="236"/>
      <c r="J939" s="236"/>
      <c r="L939" s="237"/>
      <c r="M939" s="237"/>
      <c r="N939" s="237"/>
      <c r="O939" s="237"/>
      <c r="P939" s="237"/>
      <c r="Q939" s="237"/>
      <c r="R939" s="237"/>
      <c r="U939" s="204"/>
      <c r="V939" s="204"/>
      <c r="W939" s="204"/>
      <c r="X939" s="204"/>
    </row>
    <row r="940" customFormat="false" ht="12.75" hidden="false" customHeight="true" outlineLevel="0" collapsed="false">
      <c r="H940" s="236"/>
      <c r="I940" s="236"/>
      <c r="J940" s="236"/>
      <c r="L940" s="237"/>
      <c r="M940" s="237"/>
      <c r="N940" s="237"/>
      <c r="O940" s="237"/>
      <c r="P940" s="237"/>
      <c r="Q940" s="237"/>
      <c r="R940" s="237"/>
      <c r="U940" s="204"/>
      <c r="V940" s="204"/>
      <c r="W940" s="204"/>
      <c r="X940" s="204"/>
    </row>
    <row r="941" customFormat="false" ht="12.75" hidden="false" customHeight="true" outlineLevel="0" collapsed="false">
      <c r="H941" s="236"/>
      <c r="I941" s="236"/>
      <c r="J941" s="236"/>
      <c r="L941" s="237"/>
      <c r="M941" s="237"/>
      <c r="N941" s="237"/>
      <c r="O941" s="237"/>
      <c r="P941" s="237"/>
      <c r="Q941" s="237"/>
      <c r="R941" s="237"/>
      <c r="U941" s="204"/>
      <c r="V941" s="204"/>
      <c r="W941" s="204"/>
      <c r="X941" s="204"/>
    </row>
    <row r="942" customFormat="false" ht="12.75" hidden="false" customHeight="true" outlineLevel="0" collapsed="false">
      <c r="H942" s="236"/>
      <c r="I942" s="236"/>
      <c r="J942" s="236"/>
      <c r="L942" s="237"/>
      <c r="M942" s="237"/>
      <c r="N942" s="237"/>
      <c r="O942" s="237"/>
      <c r="P942" s="237"/>
      <c r="Q942" s="237"/>
      <c r="R942" s="237"/>
      <c r="U942" s="204"/>
      <c r="V942" s="204"/>
      <c r="W942" s="204"/>
      <c r="X942" s="204"/>
    </row>
    <row r="943" customFormat="false" ht="12.75" hidden="false" customHeight="true" outlineLevel="0" collapsed="false">
      <c r="H943" s="236"/>
      <c r="I943" s="236"/>
      <c r="J943" s="236"/>
      <c r="L943" s="237"/>
      <c r="M943" s="237"/>
      <c r="N943" s="237"/>
      <c r="O943" s="237"/>
      <c r="P943" s="237"/>
      <c r="Q943" s="237"/>
      <c r="R943" s="237"/>
      <c r="U943" s="204"/>
      <c r="V943" s="204"/>
      <c r="W943" s="204"/>
      <c r="X943" s="204"/>
    </row>
    <row r="944" customFormat="false" ht="12.75" hidden="false" customHeight="true" outlineLevel="0" collapsed="false">
      <c r="H944" s="236"/>
      <c r="I944" s="236"/>
      <c r="J944" s="236"/>
      <c r="L944" s="237"/>
      <c r="M944" s="237"/>
      <c r="N944" s="237"/>
      <c r="O944" s="237"/>
      <c r="P944" s="237"/>
      <c r="Q944" s="237"/>
      <c r="R944" s="237"/>
      <c r="U944" s="204"/>
      <c r="V944" s="204"/>
      <c r="W944" s="204"/>
      <c r="X944" s="204"/>
    </row>
    <row r="945" customFormat="false" ht="12.75" hidden="false" customHeight="true" outlineLevel="0" collapsed="false">
      <c r="H945" s="236"/>
      <c r="I945" s="236"/>
      <c r="J945" s="236"/>
      <c r="L945" s="237"/>
      <c r="M945" s="237"/>
      <c r="N945" s="237"/>
      <c r="O945" s="237"/>
      <c r="P945" s="237"/>
      <c r="Q945" s="237"/>
      <c r="R945" s="237"/>
      <c r="U945" s="204"/>
      <c r="V945" s="204"/>
      <c r="W945" s="204"/>
      <c r="X945" s="204"/>
    </row>
    <row r="946" customFormat="false" ht="12.75" hidden="false" customHeight="true" outlineLevel="0" collapsed="false">
      <c r="H946" s="236"/>
      <c r="I946" s="236"/>
      <c r="J946" s="236"/>
      <c r="L946" s="237"/>
      <c r="M946" s="237"/>
      <c r="N946" s="237"/>
      <c r="O946" s="237"/>
      <c r="P946" s="237"/>
      <c r="Q946" s="237"/>
      <c r="R946" s="237"/>
      <c r="U946" s="204"/>
      <c r="V946" s="204"/>
      <c r="W946" s="204"/>
      <c r="X946" s="204"/>
    </row>
    <row r="947" customFormat="false" ht="12.75" hidden="false" customHeight="true" outlineLevel="0" collapsed="false">
      <c r="H947" s="236"/>
      <c r="I947" s="236"/>
      <c r="J947" s="236"/>
      <c r="L947" s="237"/>
      <c r="M947" s="237"/>
      <c r="N947" s="237"/>
      <c r="O947" s="237"/>
      <c r="P947" s="237"/>
      <c r="Q947" s="237"/>
      <c r="R947" s="237"/>
      <c r="U947" s="204"/>
      <c r="V947" s="204"/>
      <c r="W947" s="204"/>
      <c r="X947" s="204"/>
    </row>
    <row r="948" customFormat="false" ht="12.75" hidden="false" customHeight="true" outlineLevel="0" collapsed="false">
      <c r="H948" s="236"/>
      <c r="I948" s="236"/>
      <c r="J948" s="236"/>
      <c r="L948" s="237"/>
      <c r="M948" s="237"/>
      <c r="N948" s="237"/>
      <c r="O948" s="237"/>
      <c r="P948" s="237"/>
      <c r="Q948" s="237"/>
      <c r="R948" s="237"/>
      <c r="U948" s="204"/>
      <c r="V948" s="204"/>
      <c r="W948" s="204"/>
      <c r="X948" s="204"/>
    </row>
    <row r="949" customFormat="false" ht="12.75" hidden="false" customHeight="true" outlineLevel="0" collapsed="false">
      <c r="H949" s="236"/>
      <c r="I949" s="236"/>
      <c r="J949" s="236"/>
      <c r="L949" s="237"/>
      <c r="M949" s="237"/>
      <c r="N949" s="237"/>
      <c r="O949" s="237"/>
      <c r="P949" s="237"/>
      <c r="Q949" s="237"/>
      <c r="R949" s="237"/>
      <c r="U949" s="204"/>
      <c r="V949" s="204"/>
      <c r="W949" s="204"/>
      <c r="X949" s="204"/>
    </row>
    <row r="950" customFormat="false" ht="12.75" hidden="false" customHeight="true" outlineLevel="0" collapsed="false">
      <c r="H950" s="236"/>
      <c r="I950" s="236"/>
      <c r="J950" s="236"/>
      <c r="L950" s="237"/>
      <c r="M950" s="237"/>
      <c r="N950" s="237"/>
      <c r="O950" s="237"/>
      <c r="P950" s="237"/>
      <c r="Q950" s="237"/>
      <c r="R950" s="237"/>
      <c r="U950" s="204"/>
      <c r="V950" s="204"/>
      <c r="W950" s="204"/>
      <c r="X950" s="204"/>
    </row>
    <row r="951" customFormat="false" ht="12.75" hidden="false" customHeight="true" outlineLevel="0" collapsed="false">
      <c r="H951" s="236"/>
      <c r="I951" s="236"/>
      <c r="J951" s="236"/>
      <c r="L951" s="237"/>
      <c r="M951" s="237"/>
      <c r="N951" s="237"/>
      <c r="O951" s="237"/>
      <c r="P951" s="237"/>
      <c r="Q951" s="237"/>
      <c r="R951" s="237"/>
      <c r="U951" s="204"/>
      <c r="V951" s="204"/>
      <c r="W951" s="204"/>
      <c r="X951" s="204"/>
    </row>
    <row r="952" customFormat="false" ht="12.75" hidden="false" customHeight="true" outlineLevel="0" collapsed="false">
      <c r="H952" s="236"/>
      <c r="I952" s="236"/>
      <c r="J952" s="236"/>
      <c r="L952" s="237"/>
      <c r="M952" s="237"/>
      <c r="N952" s="237"/>
      <c r="O952" s="237"/>
      <c r="P952" s="237"/>
      <c r="Q952" s="237"/>
      <c r="R952" s="237"/>
      <c r="U952" s="204"/>
      <c r="V952" s="204"/>
      <c r="W952" s="204"/>
      <c r="X952" s="204"/>
    </row>
    <row r="953" customFormat="false" ht="12.75" hidden="false" customHeight="true" outlineLevel="0" collapsed="false">
      <c r="H953" s="236"/>
      <c r="I953" s="236"/>
      <c r="J953" s="236"/>
      <c r="L953" s="237"/>
      <c r="M953" s="237"/>
      <c r="N953" s="237"/>
      <c r="O953" s="237"/>
      <c r="P953" s="237"/>
      <c r="Q953" s="237"/>
      <c r="R953" s="237"/>
      <c r="U953" s="204"/>
      <c r="V953" s="204"/>
      <c r="W953" s="204"/>
      <c r="X953" s="204"/>
    </row>
    <row r="954" customFormat="false" ht="12.75" hidden="false" customHeight="true" outlineLevel="0" collapsed="false">
      <c r="H954" s="236"/>
      <c r="I954" s="236"/>
      <c r="J954" s="236"/>
      <c r="L954" s="237"/>
      <c r="M954" s="237"/>
      <c r="N954" s="237"/>
      <c r="O954" s="237"/>
      <c r="P954" s="237"/>
      <c r="Q954" s="237"/>
      <c r="R954" s="237"/>
      <c r="U954" s="204"/>
      <c r="V954" s="204"/>
      <c r="W954" s="204"/>
      <c r="X954" s="204"/>
    </row>
    <row r="955" customFormat="false" ht="12.75" hidden="false" customHeight="true" outlineLevel="0" collapsed="false">
      <c r="H955" s="236"/>
      <c r="I955" s="236"/>
      <c r="J955" s="236"/>
      <c r="L955" s="237"/>
      <c r="M955" s="237"/>
      <c r="N955" s="237"/>
      <c r="O955" s="237"/>
      <c r="P955" s="237"/>
      <c r="Q955" s="237"/>
      <c r="R955" s="237"/>
      <c r="U955" s="204"/>
      <c r="V955" s="204"/>
      <c r="W955" s="204"/>
      <c r="X955" s="204"/>
    </row>
    <row r="956" customFormat="false" ht="12.75" hidden="false" customHeight="true" outlineLevel="0" collapsed="false">
      <c r="H956" s="236"/>
      <c r="I956" s="236"/>
      <c r="J956" s="236"/>
      <c r="L956" s="237"/>
      <c r="M956" s="237"/>
      <c r="N956" s="237"/>
      <c r="O956" s="237"/>
      <c r="P956" s="237"/>
      <c r="Q956" s="237"/>
      <c r="R956" s="237"/>
      <c r="U956" s="204"/>
      <c r="V956" s="204"/>
      <c r="W956" s="204"/>
      <c r="X956" s="204"/>
    </row>
    <row r="957" customFormat="false" ht="12.75" hidden="false" customHeight="true" outlineLevel="0" collapsed="false">
      <c r="H957" s="236"/>
      <c r="I957" s="236"/>
      <c r="J957" s="236"/>
      <c r="L957" s="237"/>
      <c r="M957" s="237"/>
      <c r="N957" s="237"/>
      <c r="O957" s="237"/>
      <c r="P957" s="237"/>
      <c r="Q957" s="237"/>
      <c r="R957" s="237"/>
      <c r="U957" s="204"/>
      <c r="V957" s="204"/>
      <c r="W957" s="204"/>
      <c r="X957" s="204"/>
    </row>
    <row r="958" customFormat="false" ht="12.75" hidden="false" customHeight="true" outlineLevel="0" collapsed="false">
      <c r="H958" s="236"/>
      <c r="I958" s="236"/>
      <c r="J958" s="236"/>
      <c r="L958" s="237"/>
      <c r="M958" s="237"/>
      <c r="N958" s="237"/>
      <c r="O958" s="237"/>
      <c r="P958" s="237"/>
      <c r="Q958" s="237"/>
      <c r="R958" s="237"/>
      <c r="U958" s="204"/>
      <c r="V958" s="204"/>
      <c r="W958" s="204"/>
      <c r="X958" s="204"/>
    </row>
    <row r="959" customFormat="false" ht="12.75" hidden="false" customHeight="true" outlineLevel="0" collapsed="false">
      <c r="H959" s="236"/>
      <c r="I959" s="236"/>
      <c r="J959" s="236"/>
      <c r="L959" s="237"/>
      <c r="M959" s="237"/>
      <c r="N959" s="237"/>
      <c r="O959" s="237"/>
      <c r="P959" s="237"/>
      <c r="Q959" s="237"/>
      <c r="R959" s="237"/>
      <c r="U959" s="204"/>
      <c r="V959" s="204"/>
      <c r="W959" s="204"/>
      <c r="X959" s="204"/>
    </row>
    <row r="960" customFormat="false" ht="12.75" hidden="false" customHeight="true" outlineLevel="0" collapsed="false">
      <c r="H960" s="236"/>
      <c r="I960" s="236"/>
      <c r="J960" s="236"/>
      <c r="L960" s="237"/>
      <c r="M960" s="237"/>
      <c r="N960" s="237"/>
      <c r="O960" s="237"/>
      <c r="P960" s="237"/>
      <c r="Q960" s="237"/>
      <c r="R960" s="237"/>
      <c r="U960" s="204"/>
      <c r="V960" s="204"/>
      <c r="W960" s="204"/>
      <c r="X960" s="204"/>
    </row>
    <row r="961" customFormat="false" ht="12.75" hidden="false" customHeight="true" outlineLevel="0" collapsed="false">
      <c r="H961" s="236"/>
      <c r="I961" s="236"/>
      <c r="J961" s="236"/>
      <c r="L961" s="237"/>
      <c r="M961" s="237"/>
      <c r="N961" s="237"/>
      <c r="O961" s="237"/>
      <c r="P961" s="237"/>
      <c r="Q961" s="237"/>
      <c r="R961" s="237"/>
      <c r="U961" s="204"/>
      <c r="V961" s="204"/>
      <c r="W961" s="204"/>
      <c r="X961" s="204"/>
    </row>
    <row r="962" customFormat="false" ht="12.75" hidden="false" customHeight="true" outlineLevel="0" collapsed="false">
      <c r="H962" s="236"/>
      <c r="I962" s="236"/>
      <c r="J962" s="236"/>
      <c r="L962" s="237"/>
      <c r="M962" s="237"/>
      <c r="N962" s="237"/>
      <c r="O962" s="237"/>
      <c r="P962" s="237"/>
      <c r="Q962" s="237"/>
      <c r="R962" s="237"/>
      <c r="U962" s="204"/>
      <c r="V962" s="204"/>
      <c r="W962" s="204"/>
      <c r="X962" s="204"/>
    </row>
    <row r="963" customFormat="false" ht="12.75" hidden="false" customHeight="true" outlineLevel="0" collapsed="false">
      <c r="H963" s="236"/>
      <c r="I963" s="236"/>
      <c r="J963" s="236"/>
      <c r="L963" s="237"/>
      <c r="M963" s="237"/>
      <c r="N963" s="237"/>
      <c r="O963" s="237"/>
      <c r="P963" s="237"/>
      <c r="Q963" s="237"/>
      <c r="R963" s="237"/>
      <c r="U963" s="204"/>
      <c r="V963" s="204"/>
      <c r="W963" s="204"/>
      <c r="X963" s="204"/>
    </row>
    <row r="964" customFormat="false" ht="12.75" hidden="false" customHeight="true" outlineLevel="0" collapsed="false">
      <c r="H964" s="236"/>
      <c r="I964" s="236"/>
      <c r="J964" s="236"/>
      <c r="L964" s="237"/>
      <c r="M964" s="237"/>
      <c r="N964" s="237"/>
      <c r="O964" s="237"/>
      <c r="P964" s="237"/>
      <c r="Q964" s="237"/>
      <c r="R964" s="237"/>
      <c r="U964" s="204"/>
      <c r="V964" s="204"/>
      <c r="W964" s="204"/>
      <c r="X964" s="204"/>
    </row>
    <row r="965" customFormat="false" ht="12.75" hidden="false" customHeight="true" outlineLevel="0" collapsed="false">
      <c r="H965" s="236"/>
      <c r="I965" s="236"/>
      <c r="J965" s="236"/>
      <c r="L965" s="237"/>
      <c r="M965" s="237"/>
      <c r="N965" s="237"/>
      <c r="O965" s="237"/>
      <c r="P965" s="237"/>
      <c r="Q965" s="237"/>
      <c r="R965" s="237"/>
      <c r="U965" s="204"/>
      <c r="V965" s="204"/>
      <c r="W965" s="204"/>
      <c r="X965" s="204"/>
    </row>
    <row r="966" customFormat="false" ht="12.75" hidden="false" customHeight="true" outlineLevel="0" collapsed="false">
      <c r="H966" s="236"/>
      <c r="I966" s="236"/>
      <c r="J966" s="236"/>
      <c r="L966" s="237"/>
      <c r="M966" s="237"/>
      <c r="N966" s="237"/>
      <c r="O966" s="237"/>
      <c r="P966" s="237"/>
      <c r="Q966" s="237"/>
      <c r="R966" s="237"/>
      <c r="U966" s="204"/>
      <c r="V966" s="204"/>
      <c r="W966" s="204"/>
      <c r="X966" s="204"/>
    </row>
    <row r="967" customFormat="false" ht="12.75" hidden="false" customHeight="true" outlineLevel="0" collapsed="false">
      <c r="H967" s="236"/>
      <c r="I967" s="236"/>
      <c r="J967" s="236"/>
      <c r="L967" s="237"/>
      <c r="M967" s="237"/>
      <c r="N967" s="237"/>
      <c r="O967" s="237"/>
      <c r="P967" s="237"/>
      <c r="Q967" s="237"/>
      <c r="R967" s="237"/>
      <c r="U967" s="204"/>
      <c r="V967" s="204"/>
      <c r="W967" s="204"/>
      <c r="X967" s="204"/>
    </row>
    <row r="968" customFormat="false" ht="12.75" hidden="false" customHeight="true" outlineLevel="0" collapsed="false">
      <c r="H968" s="236"/>
      <c r="I968" s="236"/>
      <c r="J968" s="236"/>
      <c r="L968" s="237"/>
      <c r="M968" s="237"/>
      <c r="N968" s="237"/>
      <c r="O968" s="237"/>
      <c r="P968" s="237"/>
      <c r="Q968" s="237"/>
      <c r="R968" s="237"/>
      <c r="U968" s="204"/>
      <c r="V968" s="204"/>
      <c r="W968" s="204"/>
      <c r="X968" s="204"/>
    </row>
    <row r="969" customFormat="false" ht="12.75" hidden="false" customHeight="true" outlineLevel="0" collapsed="false">
      <c r="H969" s="236"/>
      <c r="I969" s="236"/>
      <c r="J969" s="236"/>
      <c r="L969" s="237"/>
      <c r="M969" s="237"/>
      <c r="N969" s="237"/>
      <c r="O969" s="237"/>
      <c r="P969" s="237"/>
      <c r="Q969" s="237"/>
      <c r="R969" s="237"/>
      <c r="U969" s="204"/>
      <c r="V969" s="204"/>
      <c r="W969" s="204"/>
      <c r="X969" s="204"/>
    </row>
    <row r="970" customFormat="false" ht="12.75" hidden="false" customHeight="true" outlineLevel="0" collapsed="false">
      <c r="H970" s="236"/>
      <c r="I970" s="236"/>
      <c r="J970" s="236"/>
      <c r="L970" s="237"/>
      <c r="M970" s="237"/>
      <c r="N970" s="237"/>
      <c r="O970" s="237"/>
      <c r="P970" s="237"/>
      <c r="Q970" s="237"/>
      <c r="R970" s="237"/>
      <c r="U970" s="204"/>
      <c r="V970" s="204"/>
      <c r="W970" s="204"/>
      <c r="X970" s="204"/>
    </row>
    <row r="971" customFormat="false" ht="12.75" hidden="false" customHeight="true" outlineLevel="0" collapsed="false">
      <c r="H971" s="236"/>
      <c r="I971" s="236"/>
      <c r="J971" s="236"/>
      <c r="L971" s="237"/>
      <c r="M971" s="237"/>
      <c r="N971" s="237"/>
      <c r="O971" s="237"/>
      <c r="P971" s="237"/>
      <c r="Q971" s="237"/>
      <c r="R971" s="237"/>
      <c r="U971" s="204"/>
      <c r="V971" s="204"/>
      <c r="W971" s="204"/>
      <c r="X971" s="204"/>
    </row>
    <row r="972" customFormat="false" ht="12.75" hidden="false" customHeight="true" outlineLevel="0" collapsed="false">
      <c r="H972" s="236"/>
      <c r="I972" s="236"/>
      <c r="J972" s="236"/>
      <c r="L972" s="237"/>
      <c r="M972" s="237"/>
      <c r="N972" s="237"/>
      <c r="O972" s="237"/>
      <c r="P972" s="237"/>
      <c r="Q972" s="237"/>
      <c r="R972" s="237"/>
      <c r="U972" s="204"/>
      <c r="V972" s="204"/>
      <c r="W972" s="204"/>
      <c r="X972" s="204"/>
    </row>
    <row r="973" customFormat="false" ht="12.75" hidden="false" customHeight="true" outlineLevel="0" collapsed="false">
      <c r="H973" s="236"/>
      <c r="I973" s="236"/>
      <c r="J973" s="236"/>
      <c r="L973" s="237"/>
      <c r="M973" s="237"/>
      <c r="N973" s="237"/>
      <c r="O973" s="237"/>
      <c r="P973" s="237"/>
      <c r="Q973" s="237"/>
      <c r="R973" s="237"/>
      <c r="U973" s="204"/>
      <c r="V973" s="204"/>
      <c r="W973" s="204"/>
      <c r="X973" s="204"/>
    </row>
    <row r="974" customFormat="false" ht="12.75" hidden="false" customHeight="true" outlineLevel="0" collapsed="false">
      <c r="H974" s="236"/>
      <c r="I974" s="236"/>
      <c r="J974" s="236"/>
      <c r="L974" s="237"/>
      <c r="M974" s="237"/>
      <c r="N974" s="237"/>
      <c r="O974" s="237"/>
      <c r="P974" s="237"/>
      <c r="Q974" s="237"/>
      <c r="R974" s="237"/>
      <c r="U974" s="204"/>
      <c r="V974" s="204"/>
      <c r="W974" s="204"/>
      <c r="X974" s="204"/>
    </row>
    <row r="975" customFormat="false" ht="12.75" hidden="false" customHeight="true" outlineLevel="0" collapsed="false">
      <c r="H975" s="236"/>
      <c r="I975" s="236"/>
      <c r="J975" s="236"/>
      <c r="L975" s="237"/>
      <c r="M975" s="237"/>
      <c r="N975" s="237"/>
      <c r="O975" s="237"/>
      <c r="P975" s="237"/>
      <c r="Q975" s="237"/>
      <c r="R975" s="237"/>
      <c r="U975" s="204"/>
      <c r="V975" s="204"/>
      <c r="W975" s="204"/>
      <c r="X975" s="204"/>
    </row>
    <row r="976" customFormat="false" ht="12.75" hidden="false" customHeight="true" outlineLevel="0" collapsed="false">
      <c r="H976" s="236"/>
      <c r="I976" s="236"/>
      <c r="J976" s="236"/>
      <c r="L976" s="237"/>
      <c r="M976" s="237"/>
      <c r="N976" s="237"/>
      <c r="O976" s="237"/>
      <c r="P976" s="237"/>
      <c r="Q976" s="237"/>
      <c r="R976" s="237"/>
      <c r="U976" s="204"/>
      <c r="V976" s="204"/>
      <c r="W976" s="204"/>
      <c r="X976" s="204"/>
    </row>
    <row r="977" customFormat="false" ht="12.75" hidden="false" customHeight="true" outlineLevel="0" collapsed="false">
      <c r="H977" s="236"/>
      <c r="I977" s="236"/>
      <c r="J977" s="236"/>
      <c r="L977" s="237"/>
      <c r="M977" s="237"/>
      <c r="N977" s="237"/>
      <c r="O977" s="237"/>
      <c r="P977" s="237"/>
      <c r="Q977" s="237"/>
      <c r="R977" s="237"/>
      <c r="U977" s="204"/>
      <c r="V977" s="204"/>
      <c r="W977" s="204"/>
      <c r="X977" s="204"/>
    </row>
    <row r="978" customFormat="false" ht="12.75" hidden="false" customHeight="true" outlineLevel="0" collapsed="false">
      <c r="H978" s="236"/>
      <c r="I978" s="236"/>
      <c r="J978" s="236"/>
      <c r="L978" s="237"/>
      <c r="M978" s="237"/>
      <c r="N978" s="237"/>
      <c r="O978" s="237"/>
      <c r="P978" s="237"/>
      <c r="Q978" s="237"/>
      <c r="R978" s="237"/>
      <c r="U978" s="204"/>
      <c r="V978" s="204"/>
      <c r="W978" s="204"/>
      <c r="X978" s="204"/>
    </row>
    <row r="979" customFormat="false" ht="12.75" hidden="false" customHeight="true" outlineLevel="0" collapsed="false">
      <c r="H979" s="236"/>
      <c r="I979" s="236"/>
      <c r="J979" s="236"/>
      <c r="L979" s="237"/>
      <c r="M979" s="237"/>
      <c r="N979" s="237"/>
      <c r="O979" s="237"/>
      <c r="P979" s="237"/>
      <c r="Q979" s="237"/>
      <c r="R979" s="237"/>
      <c r="U979" s="204"/>
      <c r="V979" s="204"/>
      <c r="W979" s="204"/>
      <c r="X979" s="204"/>
    </row>
    <row r="980" customFormat="false" ht="12.75" hidden="false" customHeight="true" outlineLevel="0" collapsed="false">
      <c r="H980" s="236"/>
      <c r="I980" s="236"/>
      <c r="J980" s="236"/>
      <c r="L980" s="237"/>
      <c r="M980" s="237"/>
      <c r="N980" s="237"/>
      <c r="O980" s="237"/>
      <c r="P980" s="237"/>
      <c r="Q980" s="237"/>
      <c r="R980" s="237"/>
      <c r="U980" s="204"/>
      <c r="V980" s="204"/>
      <c r="W980" s="204"/>
      <c r="X980" s="204"/>
    </row>
    <row r="981" customFormat="false" ht="12.75" hidden="false" customHeight="true" outlineLevel="0" collapsed="false">
      <c r="H981" s="236"/>
      <c r="I981" s="236"/>
      <c r="J981" s="236"/>
      <c r="L981" s="237"/>
      <c r="M981" s="237"/>
      <c r="N981" s="237"/>
      <c r="O981" s="237"/>
      <c r="P981" s="237"/>
      <c r="Q981" s="237"/>
      <c r="R981" s="237"/>
      <c r="U981" s="204"/>
      <c r="V981" s="204"/>
      <c r="W981" s="204"/>
      <c r="X981" s="204"/>
    </row>
    <row r="982" customFormat="false" ht="12.75" hidden="false" customHeight="true" outlineLevel="0" collapsed="false">
      <c r="H982" s="236"/>
      <c r="I982" s="236"/>
      <c r="J982" s="236"/>
      <c r="L982" s="237"/>
      <c r="M982" s="237"/>
      <c r="N982" s="237"/>
      <c r="O982" s="237"/>
      <c r="P982" s="237"/>
      <c r="Q982" s="237"/>
      <c r="R982" s="237"/>
      <c r="U982" s="204"/>
      <c r="V982" s="204"/>
      <c r="W982" s="204"/>
      <c r="X982" s="204"/>
    </row>
    <row r="983" customFormat="false" ht="12.75" hidden="false" customHeight="true" outlineLevel="0" collapsed="false">
      <c r="H983" s="236"/>
      <c r="I983" s="236"/>
      <c r="J983" s="236"/>
      <c r="L983" s="237"/>
      <c r="M983" s="237"/>
      <c r="N983" s="237"/>
      <c r="O983" s="237"/>
      <c r="P983" s="237"/>
      <c r="Q983" s="237"/>
      <c r="R983" s="237"/>
      <c r="U983" s="204"/>
      <c r="V983" s="204"/>
      <c r="W983" s="204"/>
      <c r="X983" s="204"/>
    </row>
    <row r="984" customFormat="false" ht="12.75" hidden="false" customHeight="true" outlineLevel="0" collapsed="false">
      <c r="H984" s="236"/>
      <c r="I984" s="236"/>
      <c r="J984" s="236"/>
      <c r="L984" s="237"/>
      <c r="M984" s="237"/>
      <c r="N984" s="237"/>
      <c r="O984" s="237"/>
      <c r="P984" s="237"/>
      <c r="Q984" s="237"/>
      <c r="R984" s="237"/>
      <c r="U984" s="204"/>
      <c r="V984" s="204"/>
      <c r="W984" s="204"/>
      <c r="X984" s="204"/>
    </row>
    <row r="985" customFormat="false" ht="12.75" hidden="false" customHeight="true" outlineLevel="0" collapsed="false">
      <c r="H985" s="236"/>
      <c r="I985" s="236"/>
      <c r="J985" s="236"/>
      <c r="L985" s="237"/>
      <c r="M985" s="237"/>
      <c r="N985" s="237"/>
      <c r="O985" s="237"/>
      <c r="P985" s="237"/>
      <c r="Q985" s="237"/>
      <c r="R985" s="237"/>
      <c r="U985" s="204"/>
      <c r="V985" s="204"/>
      <c r="W985" s="204"/>
      <c r="X985" s="204"/>
    </row>
    <row r="986" customFormat="false" ht="12.75" hidden="false" customHeight="true" outlineLevel="0" collapsed="false">
      <c r="H986" s="236"/>
      <c r="I986" s="236"/>
      <c r="J986" s="236"/>
      <c r="L986" s="237"/>
      <c r="M986" s="237"/>
      <c r="N986" s="237"/>
      <c r="O986" s="237"/>
      <c r="P986" s="237"/>
      <c r="Q986" s="237"/>
      <c r="R986" s="237"/>
      <c r="U986" s="204"/>
      <c r="V986" s="204"/>
      <c r="W986" s="204"/>
      <c r="X986" s="204"/>
    </row>
    <row r="987" customFormat="false" ht="12.75" hidden="false" customHeight="true" outlineLevel="0" collapsed="false">
      <c r="H987" s="236"/>
      <c r="I987" s="236"/>
      <c r="J987" s="236"/>
      <c r="L987" s="237"/>
      <c r="M987" s="237"/>
      <c r="N987" s="237"/>
      <c r="O987" s="237"/>
      <c r="P987" s="237"/>
      <c r="Q987" s="237"/>
      <c r="R987" s="237"/>
      <c r="U987" s="204"/>
      <c r="V987" s="204"/>
      <c r="W987" s="204"/>
      <c r="X987" s="204"/>
    </row>
    <row r="988" customFormat="false" ht="12.75" hidden="false" customHeight="true" outlineLevel="0" collapsed="false">
      <c r="H988" s="236"/>
      <c r="I988" s="236"/>
      <c r="J988" s="236"/>
      <c r="L988" s="237"/>
      <c r="M988" s="237"/>
      <c r="N988" s="237"/>
      <c r="O988" s="237"/>
      <c r="P988" s="237"/>
      <c r="Q988" s="237"/>
      <c r="R988" s="237"/>
      <c r="U988" s="204"/>
      <c r="V988" s="204"/>
      <c r="W988" s="204"/>
      <c r="X988" s="204"/>
    </row>
    <row r="989" customFormat="false" ht="12.75" hidden="false" customHeight="true" outlineLevel="0" collapsed="false">
      <c r="H989" s="236"/>
      <c r="I989" s="236"/>
      <c r="J989" s="236"/>
      <c r="L989" s="237"/>
      <c r="M989" s="237"/>
      <c r="N989" s="237"/>
      <c r="O989" s="237"/>
      <c r="P989" s="237"/>
      <c r="Q989" s="237"/>
      <c r="R989" s="237"/>
      <c r="U989" s="204"/>
      <c r="V989" s="204"/>
      <c r="W989" s="204"/>
      <c r="X989" s="204"/>
    </row>
    <row r="990" customFormat="false" ht="12.75" hidden="false" customHeight="true" outlineLevel="0" collapsed="false">
      <c r="H990" s="236"/>
      <c r="I990" s="236"/>
      <c r="J990" s="236"/>
      <c r="L990" s="237"/>
      <c r="M990" s="237"/>
      <c r="N990" s="237"/>
      <c r="O990" s="237"/>
      <c r="P990" s="237"/>
      <c r="Q990" s="237"/>
      <c r="R990" s="237"/>
      <c r="U990" s="204"/>
      <c r="V990" s="204"/>
      <c r="W990" s="204"/>
      <c r="X990" s="204"/>
    </row>
    <row r="991" customFormat="false" ht="12.75" hidden="false" customHeight="true" outlineLevel="0" collapsed="false">
      <c r="H991" s="236"/>
      <c r="I991" s="236"/>
      <c r="J991" s="236"/>
      <c r="L991" s="237"/>
      <c r="M991" s="237"/>
      <c r="N991" s="237"/>
      <c r="O991" s="237"/>
      <c r="P991" s="237"/>
      <c r="Q991" s="237"/>
      <c r="R991" s="237"/>
      <c r="U991" s="204"/>
      <c r="V991" s="204"/>
      <c r="W991" s="204"/>
      <c r="X991" s="204"/>
    </row>
    <row r="992" customFormat="false" ht="12.75" hidden="false" customHeight="true" outlineLevel="0" collapsed="false">
      <c r="H992" s="236"/>
      <c r="I992" s="236"/>
      <c r="J992" s="236"/>
      <c r="L992" s="237"/>
      <c r="M992" s="237"/>
      <c r="N992" s="237"/>
      <c r="O992" s="237"/>
      <c r="P992" s="237"/>
      <c r="Q992" s="237"/>
      <c r="R992" s="237"/>
      <c r="U992" s="204"/>
      <c r="V992" s="204"/>
      <c r="W992" s="204"/>
      <c r="X992" s="204"/>
    </row>
    <row r="993" customFormat="false" ht="12.75" hidden="false" customHeight="true" outlineLevel="0" collapsed="false">
      <c r="H993" s="236"/>
      <c r="I993" s="236"/>
      <c r="J993" s="236"/>
      <c r="L993" s="237"/>
      <c r="M993" s="237"/>
      <c r="N993" s="237"/>
      <c r="O993" s="237"/>
      <c r="P993" s="237"/>
      <c r="Q993" s="237"/>
      <c r="R993" s="237"/>
      <c r="U993" s="204"/>
      <c r="V993" s="204"/>
      <c r="W993" s="204"/>
      <c r="X993" s="204"/>
    </row>
    <row r="994" customFormat="false" ht="12.75" hidden="false" customHeight="true" outlineLevel="0" collapsed="false">
      <c r="H994" s="236"/>
      <c r="I994" s="236"/>
      <c r="J994" s="236"/>
      <c r="L994" s="237"/>
      <c r="M994" s="237"/>
      <c r="N994" s="237"/>
      <c r="O994" s="237"/>
      <c r="P994" s="237"/>
      <c r="Q994" s="237"/>
      <c r="R994" s="237"/>
      <c r="U994" s="204"/>
      <c r="V994" s="204"/>
      <c r="W994" s="204"/>
      <c r="X994" s="204"/>
    </row>
    <row r="995" customFormat="false" ht="12.75" hidden="false" customHeight="true" outlineLevel="0" collapsed="false">
      <c r="H995" s="236"/>
      <c r="I995" s="236"/>
      <c r="J995" s="236"/>
      <c r="L995" s="237"/>
      <c r="M995" s="237"/>
      <c r="N995" s="237"/>
      <c r="O995" s="237"/>
      <c r="P995" s="237"/>
      <c r="Q995" s="237"/>
      <c r="R995" s="237"/>
      <c r="U995" s="204"/>
      <c r="V995" s="204"/>
      <c r="W995" s="204"/>
      <c r="X995" s="204"/>
    </row>
    <row r="996" customFormat="false" ht="12.75" hidden="false" customHeight="true" outlineLevel="0" collapsed="false">
      <c r="H996" s="236"/>
      <c r="I996" s="236"/>
      <c r="J996" s="236"/>
      <c r="L996" s="237"/>
      <c r="M996" s="237"/>
      <c r="N996" s="237"/>
      <c r="O996" s="237"/>
      <c r="P996" s="237"/>
      <c r="Q996" s="237"/>
      <c r="R996" s="237"/>
      <c r="U996" s="204"/>
      <c r="V996" s="204"/>
      <c r="W996" s="204"/>
      <c r="X996" s="204"/>
    </row>
    <row r="997" customFormat="false" ht="12.75" hidden="false" customHeight="true" outlineLevel="0" collapsed="false">
      <c r="H997" s="236"/>
      <c r="I997" s="236"/>
      <c r="J997" s="236"/>
      <c r="L997" s="237"/>
      <c r="M997" s="237"/>
      <c r="N997" s="237"/>
      <c r="O997" s="237"/>
      <c r="P997" s="237"/>
      <c r="Q997" s="237"/>
      <c r="R997" s="237"/>
      <c r="U997" s="204"/>
      <c r="V997" s="204"/>
      <c r="W997" s="204"/>
      <c r="X997" s="204"/>
    </row>
    <row r="998" customFormat="false" ht="12.75" hidden="false" customHeight="true" outlineLevel="0" collapsed="false">
      <c r="H998" s="236"/>
      <c r="I998" s="236"/>
      <c r="J998" s="236"/>
      <c r="L998" s="237"/>
      <c r="M998" s="237"/>
      <c r="N998" s="237"/>
      <c r="O998" s="237"/>
      <c r="P998" s="237"/>
      <c r="Q998" s="237"/>
      <c r="R998" s="237"/>
      <c r="U998" s="204"/>
      <c r="V998" s="204"/>
      <c r="W998" s="204"/>
      <c r="X998" s="204"/>
    </row>
    <row r="999" customFormat="false" ht="12.75" hidden="false" customHeight="true" outlineLevel="0" collapsed="false">
      <c r="H999" s="236"/>
      <c r="I999" s="236"/>
      <c r="J999" s="236"/>
      <c r="L999" s="237"/>
      <c r="M999" s="237"/>
      <c r="N999" s="237"/>
      <c r="O999" s="237"/>
      <c r="P999" s="237"/>
      <c r="Q999" s="237"/>
      <c r="R999" s="237"/>
      <c r="U999" s="204"/>
      <c r="V999" s="204"/>
      <c r="W999" s="204"/>
      <c r="X999" s="204"/>
    </row>
    <row r="1000" customFormat="false" ht="12.75" hidden="false" customHeight="true" outlineLevel="0" collapsed="false">
      <c r="H1000" s="236"/>
      <c r="I1000" s="236"/>
      <c r="J1000" s="236"/>
      <c r="L1000" s="237"/>
      <c r="M1000" s="237"/>
      <c r="N1000" s="237"/>
      <c r="O1000" s="237"/>
      <c r="P1000" s="237"/>
      <c r="Q1000" s="237"/>
      <c r="R1000" s="237"/>
      <c r="U1000" s="204"/>
      <c r="V1000" s="204"/>
      <c r="W1000" s="204"/>
      <c r="X1000" s="204"/>
    </row>
    <row r="1001" customFormat="false" ht="12.75" hidden="false" customHeight="true" outlineLevel="0" collapsed="false">
      <c r="H1001" s="236"/>
      <c r="I1001" s="236"/>
      <c r="J1001" s="236"/>
      <c r="L1001" s="237"/>
      <c r="M1001" s="237"/>
      <c r="N1001" s="237"/>
      <c r="O1001" s="237"/>
      <c r="P1001" s="237"/>
      <c r="Q1001" s="237"/>
      <c r="R1001" s="237"/>
      <c r="U1001" s="204"/>
      <c r="V1001" s="204"/>
      <c r="W1001" s="204"/>
      <c r="X1001" s="204"/>
    </row>
    <row r="1002" customFormat="false" ht="15" hidden="false" customHeight="true" outlineLevel="0" collapsed="false">
      <c r="L1002" s="237"/>
      <c r="M1002" s="237"/>
      <c r="N1002" s="237"/>
      <c r="O1002" s="237"/>
      <c r="P1002" s="237"/>
      <c r="Q1002" s="237"/>
      <c r="R1002" s="237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2026-06-11T20:12:30Z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