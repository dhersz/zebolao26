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<sst xmlns="http://schemas.openxmlformats.org/spreadsheetml/2006/main" count="12030" uniqueCount="258">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</sst>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2" numFmtId="0" xfId="0" applyAlignment="1" applyBorder="1" applyFont="1">
      <alignment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56">
        <v>1.0</v>
      </c>
      <c r="D21" s="19" t="str">
        <f>APOSTAS!D21</f>
        <v>x</v>
      </c>
      <c r="E21" s="57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/>
      <c r="D22" s="19" t="str">
        <f>APOSTAS!D22</f>
        <v>x</v>
      </c>
      <c r="E22" s="23"/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0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0</v>
      </c>
      <c r="O23" s="46" t="str">
        <f>SUM(E22,C23,C25)</f>
        <v>0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0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8" t="str">
        <f t="shared" si="25"/>
        <v>0</v>
      </c>
      <c r="N24" s="58" t="str">
        <f>SUM(E22,E24,E26)</f>
        <v>0</v>
      </c>
      <c r="O24" s="58" t="str">
        <f>SUM(C22,C24,C26)</f>
        <v>0</v>
      </c>
      <c r="P24" s="58" t="str">
        <f>SUM(IF(AND(ISNUMBER(E22),E22&gt;C22),1,0),IF(AND(ISNUMBER(E24),E24&gt;C24),1,0),IF(AND(ISNUMBER(E26),E26&gt;C26),1,0))</f>
        <v>0</v>
      </c>
      <c r="Q24" s="58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9" t="str">
        <f t="shared" ref="M29:M32" si="31">N29-O29</f>
        <v>0</v>
      </c>
      <c r="N29" s="19" t="str">
        <f t="shared" ref="N29:N32" si="32">SUM(INDIRECT($U29),INDIRECT($V29),INDIRECT($W29))</f>
        <v>0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0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/>
      <c r="D30" s="19" t="str">
        <f>APOSTAS!D30</f>
        <v>x</v>
      </c>
      <c r="E30" s="23"/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0</v>
      </c>
      <c r="N32" s="38" t="str">
        <f t="shared" si="32"/>
        <v>0</v>
      </c>
      <c r="O32" s="38" t="str">
        <f t="shared" si="33"/>
        <v>0</v>
      </c>
      <c r="P32" s="38" t="str">
        <f t="shared" si="34"/>
        <v>0</v>
      </c>
      <c r="Q32" s="38" t="str">
        <f t="shared" si="35"/>
        <v>0</v>
      </c>
      <c r="R32" s="39" t="str">
        <f t="shared" si="36"/>
        <v>0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/>
      <c r="D37" s="19" t="str">
        <f>APOSTAS!D37</f>
        <v>x</v>
      </c>
      <c r="E37" s="23"/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9" t="str">
        <f t="shared" ref="M37:M40" si="42">N37-O37</f>
        <v>0</v>
      </c>
      <c r="N37" s="19" t="str">
        <f t="shared" ref="N37:N40" si="43">SUM(INDIRECT($U37),INDIRECT($V37),INDIRECT($W37))</f>
        <v>0</v>
      </c>
      <c r="O37" s="19" t="str">
        <f t="shared" ref="O37:O40" si="44">SUM(INDIRECT($X37),INDIRECT($Y37),INDIRECT($Z37))</f>
        <v>0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0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/>
      <c r="D38" s="19" t="str">
        <f>APOSTAS!D38</f>
        <v>x</v>
      </c>
      <c r="E38" s="23"/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0</v>
      </c>
      <c r="M38" s="19" t="str">
        <f t="shared" si="42"/>
        <v>0</v>
      </c>
      <c r="N38" s="19" t="str">
        <f t="shared" si="43"/>
        <v>0</v>
      </c>
      <c r="O38" s="19" t="str">
        <f t="shared" si="44"/>
        <v>0</v>
      </c>
      <c r="P38" s="19" t="str">
        <f t="shared" si="45"/>
        <v>0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0</v>
      </c>
      <c r="N39" s="19" t="str">
        <f t="shared" si="43"/>
        <v>0</v>
      </c>
      <c r="O39" s="19" t="str">
        <f t="shared" si="44"/>
        <v>0</v>
      </c>
      <c r="P39" s="19" t="str">
        <f t="shared" si="45"/>
        <v>0</v>
      </c>
      <c r="Q39" s="19" t="str">
        <f t="shared" si="46"/>
        <v>0</v>
      </c>
      <c r="R39" s="36" t="str">
        <f t="shared" si="47"/>
        <v>0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0</v>
      </c>
      <c r="N40" s="38" t="str">
        <f t="shared" si="43"/>
        <v>0</v>
      </c>
      <c r="O40" s="38" t="str">
        <f t="shared" si="44"/>
        <v>0</v>
      </c>
      <c r="P40" s="38" t="str">
        <f t="shared" si="45"/>
        <v>0</v>
      </c>
      <c r="Q40" s="38" t="str">
        <f t="shared" si="46"/>
        <v>0</v>
      </c>
      <c r="R40" s="39" t="str">
        <f t="shared" si="47"/>
        <v>0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/>
      <c r="D45" s="19" t="str">
        <f>APOSTAS!D45</f>
        <v>x</v>
      </c>
      <c r="E45" s="23"/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9" t="str">
        <f t="shared" ref="M45:M48" si="53">N45-O45</f>
        <v>0</v>
      </c>
      <c r="N45" s="19" t="str">
        <f t="shared" ref="N45:N48" si="54">SUM(INDIRECT($U45),INDIRECT($V45),INDIRECT($W45))</f>
        <v>0</v>
      </c>
      <c r="O45" s="19" t="str">
        <f t="shared" ref="O45:O48" si="55">SUM(INDIRECT($X45),INDIRECT($Y45),INDIRECT($Z45))</f>
        <v>0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0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/>
      <c r="D46" s="19" t="str">
        <f>APOSTAS!D46</f>
        <v>x</v>
      </c>
      <c r="E46" s="23"/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0</v>
      </c>
      <c r="M46" s="19" t="str">
        <f t="shared" si="53"/>
        <v>0</v>
      </c>
      <c r="N46" s="19" t="str">
        <f t="shared" si="54"/>
        <v>0</v>
      </c>
      <c r="O46" s="19" t="str">
        <f t="shared" si="55"/>
        <v>0</v>
      </c>
      <c r="P46" s="19" t="str">
        <f t="shared" si="56"/>
        <v>0</v>
      </c>
      <c r="Q46" s="19" t="str">
        <f t="shared" si="57"/>
        <v>0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0</v>
      </c>
      <c r="M47" s="19" t="str">
        <f t="shared" si="53"/>
        <v>0</v>
      </c>
      <c r="N47" s="19" t="str">
        <f t="shared" si="54"/>
        <v>0</v>
      </c>
      <c r="O47" s="19" t="str">
        <f t="shared" si="55"/>
        <v>0</v>
      </c>
      <c r="P47" s="19" t="str">
        <f t="shared" si="56"/>
        <v>0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0</v>
      </c>
      <c r="N48" s="38" t="str">
        <f t="shared" si="54"/>
        <v>0</v>
      </c>
      <c r="O48" s="38" t="str">
        <f t="shared" si="55"/>
        <v>0</v>
      </c>
      <c r="P48" s="38" t="str">
        <f t="shared" si="56"/>
        <v>0</v>
      </c>
      <c r="Q48" s="38" t="str">
        <f t="shared" si="57"/>
        <v>0</v>
      </c>
      <c r="R48" s="39" t="str">
        <f t="shared" si="58"/>
        <v>0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/>
      <c r="D53" s="19" t="str">
        <f>APOSTAS!D53</f>
        <v>x</v>
      </c>
      <c r="E53" s="23"/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str">
        <f t="shared" ref="M53:M56" si="64">N53-O53</f>
        <v>0</v>
      </c>
      <c r="N53" s="19" t="str">
        <f t="shared" ref="N53:N56" si="65">SUM(INDIRECT($U53),INDIRECT($V53),INDIRECT($W53))</f>
        <v>0</v>
      </c>
      <c r="O53" s="19" t="str">
        <f t="shared" ref="O53:O56" si="66">SUM(INDIRECT($X53),INDIRECT($Y53),INDIRECT($Z53))</f>
        <v>0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/>
      <c r="D54" s="19" t="str">
        <f>APOSTAS!D54</f>
        <v>x</v>
      </c>
      <c r="E54" s="23"/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0</v>
      </c>
      <c r="M54" s="19" t="str">
        <f t="shared" si="64"/>
        <v>0</v>
      </c>
      <c r="N54" s="19" t="str">
        <f t="shared" si="65"/>
        <v>0</v>
      </c>
      <c r="O54" s="19" t="str">
        <f t="shared" si="66"/>
        <v>0</v>
      </c>
      <c r="P54" s="19" t="str">
        <f t="shared" si="67"/>
        <v>0</v>
      </c>
      <c r="Q54" s="19" t="str">
        <f t="shared" si="68"/>
        <v>0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0</v>
      </c>
      <c r="M55" s="19" t="str">
        <f t="shared" si="64"/>
        <v>0</v>
      </c>
      <c r="N55" s="19" t="str">
        <f t="shared" si="65"/>
        <v>0</v>
      </c>
      <c r="O55" s="19" t="str">
        <f t="shared" si="66"/>
        <v>0</v>
      </c>
      <c r="P55" s="19" t="str">
        <f t="shared" si="67"/>
        <v>0</v>
      </c>
      <c r="Q55" s="19" t="str">
        <f t="shared" si="68"/>
        <v>0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0</v>
      </c>
      <c r="M56" s="38" t="str">
        <f t="shared" si="64"/>
        <v>0</v>
      </c>
      <c r="N56" s="38" t="str">
        <f t="shared" si="65"/>
        <v>0</v>
      </c>
      <c r="O56" s="38" t="str">
        <f t="shared" si="66"/>
        <v>0</v>
      </c>
      <c r="P56" s="38" t="str">
        <f t="shared" si="67"/>
        <v>0</v>
      </c>
      <c r="Q56" s="38" t="str">
        <f t="shared" si="68"/>
        <v>0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/>
      <c r="D61" s="19" t="str">
        <f>APOSTAS!D61</f>
        <v>x</v>
      </c>
      <c r="E61" s="23"/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str">
        <f t="shared" ref="M61:M64" si="75">N61-O61</f>
        <v>0</v>
      </c>
      <c r="N61" s="19" t="str">
        <f t="shared" ref="N61:N64" si="76">SUM(INDIRECT($U61),INDIRECT($V61),INDIRECT($W61))</f>
        <v>0</v>
      </c>
      <c r="O61" s="19" t="str">
        <f t="shared" ref="O61:O64" si="77">SUM(INDIRECT($X61),INDIRECT($Y61),INDIRECT($Z61))</f>
        <v>0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/>
      <c r="D62" s="19" t="str">
        <f>APOSTAS!D62</f>
        <v>x</v>
      </c>
      <c r="E62" s="23"/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0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0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0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0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0</v>
      </c>
      <c r="M64" s="38" t="str">
        <f t="shared" si="75"/>
        <v>0</v>
      </c>
      <c r="N64" s="38" t="str">
        <f t="shared" si="76"/>
        <v>0</v>
      </c>
      <c r="O64" s="38" t="str">
        <f t="shared" si="77"/>
        <v>0</v>
      </c>
      <c r="P64" s="38" t="str">
        <f t="shared" si="78"/>
        <v>0</v>
      </c>
      <c r="Q64" s="38" t="str">
        <f t="shared" si="79"/>
        <v>0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  <mergeCell ref="B2:F2"/>
    <mergeCell ref="H2:I2"/>
    <mergeCell ref="K2:R2"/>
    <mergeCell ref="B4:F4"/>
    <mergeCell ref="G4:G10"/>
    <mergeCell ref="B12:F12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8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0</v>
      </c>
      <c r="N6" s="19" t="str">
        <f t="shared" ref="N6:N9" si="6">SUM(INDIRECT($AC6),INDIRECT($AD6),INDIRECT($AE6))</f>
        <v>1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/>
      <c r="D7" s="19" t="s">
        <v>31</v>
      </c>
      <c r="E7" s="23"/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3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/>
      <c r="D8" s="19" t="s">
        <v>31</v>
      </c>
      <c r="E8" s="23"/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0</v>
      </c>
      <c r="N8" s="19" t="str">
        <f t="shared" si="6"/>
        <v>1</v>
      </c>
      <c r="O8" s="19" t="str">
        <f t="shared" si="7"/>
        <v>1</v>
      </c>
      <c r="P8" s="19" t="str">
        <f t="shared" si="8"/>
        <v>0</v>
      </c>
      <c r="Q8" s="19" t="str">
        <f t="shared" si="9"/>
        <v>1</v>
      </c>
      <c r="R8" s="36" t="str">
        <f t="shared" si="10"/>
        <v>0</v>
      </c>
      <c r="S8" s="59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/>
      <c r="D9" s="19" t="s">
        <v>31</v>
      </c>
      <c r="E9" s="23"/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-1</v>
      </c>
      <c r="N9" s="38" t="str">
        <f t="shared" si="6"/>
        <v>1</v>
      </c>
      <c r="O9" s="38" t="str">
        <f t="shared" si="7"/>
        <v>2</v>
      </c>
      <c r="P9" s="38" t="str">
        <f t="shared" si="8"/>
        <v>0</v>
      </c>
      <c r="Q9" s="38" t="str">
        <f t="shared" si="9"/>
        <v>0</v>
      </c>
      <c r="R9" s="39" t="str">
        <f t="shared" si="10"/>
        <v>1</v>
      </c>
      <c r="S9" s="59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/>
      <c r="D10" s="38" t="s">
        <v>31</v>
      </c>
      <c r="E10" s="42"/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0</v>
      </c>
      <c r="N16" s="19" t="str">
        <f t="shared" si="19"/>
        <v>1</v>
      </c>
      <c r="O16" s="19" t="str">
        <f t="shared" si="20"/>
        <v>1</v>
      </c>
      <c r="P16" s="19" t="str">
        <f t="shared" si="21"/>
        <v>0</v>
      </c>
      <c r="Q16" s="19" t="str">
        <f t="shared" si="22"/>
        <v>1</v>
      </c>
      <c r="R16" s="36" t="str">
        <f t="shared" si="23"/>
        <v>0</v>
      </c>
      <c r="S16" s="59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1</v>
      </c>
      <c r="M17" s="38" t="str">
        <f t="shared" si="18"/>
        <v>0</v>
      </c>
      <c r="N17" s="38" t="str">
        <f t="shared" si="19"/>
        <v>1</v>
      </c>
      <c r="O17" s="38" t="str">
        <f t="shared" si="20"/>
        <v>1</v>
      </c>
      <c r="P17" s="38" t="str">
        <f t="shared" si="21"/>
        <v>0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/>
      <c r="D18" s="38" t="s">
        <v>31</v>
      </c>
      <c r="E18" s="42"/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2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1</v>
      </c>
      <c r="O23" s="19" t="str">
        <f t="shared" si="33"/>
        <v>0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9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0</v>
      </c>
      <c r="O24" s="19" t="str">
        <f t="shared" si="33"/>
        <v>1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9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0</v>
      </c>
      <c r="O25" s="38" t="str">
        <f t="shared" si="33"/>
        <v>2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/>
      <c r="D26" s="38" t="s">
        <v>31</v>
      </c>
      <c r="E26" s="42"/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9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/>
      <c r="D34" s="38" t="s">
        <v>31</v>
      </c>
      <c r="E34" s="42"/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3</v>
      </c>
      <c r="M38" s="19" t="str">
        <f t="shared" ref="M38:M41" si="57">N38-O38</f>
        <v>3</v>
      </c>
      <c r="N38" s="19" t="str">
        <f t="shared" ref="N38:N41" si="58">SUM(INDIRECT($AC38),INDIRECT($AD38),INDIRECT($AE38))</f>
        <v>3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/>
      <c r="D39" s="19" t="s">
        <v>31</v>
      </c>
      <c r="E39" s="23"/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9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/>
      <c r="D40" s="19" t="s">
        <v>31</v>
      </c>
      <c r="E40" s="23"/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-3</v>
      </c>
      <c r="N40" s="19" t="str">
        <f t="shared" si="58"/>
        <v>0</v>
      </c>
      <c r="O40" s="19" t="str">
        <f t="shared" si="59"/>
        <v>3</v>
      </c>
      <c r="P40" s="19" t="str">
        <f t="shared" si="60"/>
        <v>0</v>
      </c>
      <c r="Q40" s="19" t="str">
        <f t="shared" si="61"/>
        <v>0</v>
      </c>
      <c r="R40" s="36" t="str">
        <f t="shared" si="62"/>
        <v>1</v>
      </c>
      <c r="S40" s="59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/>
      <c r="D41" s="19" t="s">
        <v>31</v>
      </c>
      <c r="E41" s="23"/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9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/>
      <c r="D42" s="38" t="s">
        <v>31</v>
      </c>
      <c r="E42" s="42"/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/>
      <c r="D47" s="19" t="s">
        <v>31</v>
      </c>
      <c r="E47" s="23"/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/>
      <c r="D48" s="19" t="s">
        <v>31</v>
      </c>
      <c r="E48" s="23"/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/>
      <c r="D49" s="19" t="s">
        <v>31</v>
      </c>
      <c r="E49" s="23"/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9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/>
      <c r="D50" s="38" t="s">
        <v>31</v>
      </c>
      <c r="E50" s="42"/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/>
      <c r="D53" s="19" t="s">
        <v>31</v>
      </c>
      <c r="E53" s="23"/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/>
      <c r="D54" s="19" t="s">
        <v>31</v>
      </c>
      <c r="E54" s="23"/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/>
      <c r="D55" s="19" t="s">
        <v>31</v>
      </c>
      <c r="E55" s="23"/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/>
      <c r="D56" s="19" t="s">
        <v>31</v>
      </c>
      <c r="E56" s="23"/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9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/>
      <c r="D57" s="19" t="s">
        <v>31</v>
      </c>
      <c r="E57" s="23"/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9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/>
      <c r="D58" s="38" t="s">
        <v>31</v>
      </c>
      <c r="E58" s="42"/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/>
      <c r="D62" s="19" t="s">
        <v>31</v>
      </c>
      <c r="E62" s="23"/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/>
      <c r="D63" s="19" t="s">
        <v>31</v>
      </c>
      <c r="E63" s="23"/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9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/>
      <c r="D64" s="19" t="s">
        <v>31</v>
      </c>
      <c r="E64" s="23"/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/>
      <c r="D65" s="19" t="s">
        <v>31</v>
      </c>
      <c r="E65" s="23"/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9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/>
      <c r="D66" s="38" t="s">
        <v>31</v>
      </c>
      <c r="E66" s="42"/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/>
      <c r="D69" s="19" t="s">
        <v>31</v>
      </c>
      <c r="E69" s="23"/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/>
      <c r="D70" s="19" t="s">
        <v>31</v>
      </c>
      <c r="E70" s="23"/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/>
      <c r="D71" s="19" t="s">
        <v>31</v>
      </c>
      <c r="E71" s="23"/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9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/>
      <c r="D72" s="19" t="s">
        <v>31</v>
      </c>
      <c r="E72" s="23"/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9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/>
      <c r="D73" s="19" t="s">
        <v>31</v>
      </c>
      <c r="E73" s="23"/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9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/>
      <c r="D74" s="38" t="s">
        <v>31</v>
      </c>
      <c r="E74" s="42"/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/>
      <c r="D77" s="19" t="s">
        <v>31</v>
      </c>
      <c r="E77" s="23"/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/>
      <c r="D78" s="19" t="s">
        <v>31</v>
      </c>
      <c r="E78" s="23"/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/>
      <c r="D79" s="19" t="s">
        <v>31</v>
      </c>
      <c r="E79" s="23"/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9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/>
      <c r="D80" s="19" t="s">
        <v>31</v>
      </c>
      <c r="E80" s="23"/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9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/>
      <c r="D81" s="19" t="s">
        <v>31</v>
      </c>
      <c r="E81" s="23"/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9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/>
      <c r="D82" s="38" t="s">
        <v>31</v>
      </c>
      <c r="E82" s="42"/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/>
      <c r="D85" s="19" t="s">
        <v>31</v>
      </c>
      <c r="E85" s="23"/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/>
      <c r="D86" s="19" t="s">
        <v>31</v>
      </c>
      <c r="E86" s="23"/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/>
      <c r="D87" s="19" t="s">
        <v>31</v>
      </c>
      <c r="E87" s="23"/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/>
      <c r="D88" s="19" t="s">
        <v>31</v>
      </c>
      <c r="E88" s="23"/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9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/>
      <c r="D89" s="19" t="s">
        <v>31</v>
      </c>
      <c r="E89" s="23"/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9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/>
      <c r="D90" s="38" t="s">
        <v>31</v>
      </c>
      <c r="E90" s="42"/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/>
      <c r="D93" s="19" t="s">
        <v>31</v>
      </c>
      <c r="E93" s="23"/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/>
      <c r="D94" s="19" t="s">
        <v>31</v>
      </c>
      <c r="E94" s="23"/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/>
      <c r="D95" s="19" t="s">
        <v>31</v>
      </c>
      <c r="E95" s="23"/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9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/>
      <c r="D96" s="19" t="s">
        <v>31</v>
      </c>
      <c r="E96" s="23"/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/>
      <c r="D97" s="19" t="s">
        <v>31</v>
      </c>
      <c r="E97" s="23"/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9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/>
      <c r="D98" s="38" t="s">
        <v>31</v>
      </c>
      <c r="E98" s="42"/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33:X33"/>
    <mergeCell ref="U34:X34"/>
    <mergeCell ref="U24:X24"/>
    <mergeCell ref="U25:X25"/>
    <mergeCell ref="U26:X26"/>
    <mergeCell ref="U29:X29"/>
    <mergeCell ref="U30:X30"/>
    <mergeCell ref="U31:X31"/>
    <mergeCell ref="U32:X32"/>
    <mergeCell ref="U46:X46"/>
    <mergeCell ref="U47:X47"/>
    <mergeCell ref="U37:X37"/>
    <mergeCell ref="U38:X38"/>
    <mergeCell ref="U39:X39"/>
    <mergeCell ref="U40:X40"/>
    <mergeCell ref="U41:X41"/>
    <mergeCell ref="U42:X42"/>
    <mergeCell ref="U45:X45"/>
    <mergeCell ref="U57:X57"/>
    <mergeCell ref="U58:X58"/>
    <mergeCell ref="U48:X48"/>
    <mergeCell ref="U49:X49"/>
    <mergeCell ref="U50:X50"/>
    <mergeCell ref="U53:X53"/>
    <mergeCell ref="U54:X54"/>
    <mergeCell ref="U55:X55"/>
    <mergeCell ref="U56:X56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U71:X71"/>
    <mergeCell ref="U72:X72"/>
    <mergeCell ref="U73:X73"/>
    <mergeCell ref="U74:X74"/>
    <mergeCell ref="U77:X77"/>
    <mergeCell ref="U78:X78"/>
    <mergeCell ref="U79:X7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62:X62"/>
    <mergeCell ref="U63:X63"/>
    <mergeCell ref="U64:X64"/>
    <mergeCell ref="U65:X65"/>
    <mergeCell ref="U66:X66"/>
    <mergeCell ref="U69:X69"/>
    <mergeCell ref="U70:X70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/>
      <c r="D7" s="19" t="s">
        <v>31</v>
      </c>
      <c r="E7" s="23"/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/>
      <c r="D8" s="19" t="s">
        <v>31</v>
      </c>
      <c r="E8" s="23"/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59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/>
      <c r="D9" s="19" t="s">
        <v>31</v>
      </c>
      <c r="E9" s="23"/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59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/>
      <c r="D10" s="38" t="s">
        <v>31</v>
      </c>
      <c r="E10" s="42"/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-1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1</v>
      </c>
      <c r="Q15" s="19" t="str">
        <f t="shared" si="22"/>
        <v>0</v>
      </c>
      <c r="R15" s="36" t="str">
        <f t="shared" si="23"/>
        <v>0</v>
      </c>
      <c r="S15" s="59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-2</v>
      </c>
      <c r="N16" s="19" t="str">
        <f t="shared" si="19"/>
        <v>0</v>
      </c>
      <c r="O16" s="19" t="str">
        <f t="shared" si="20"/>
        <v>2</v>
      </c>
      <c r="P16" s="19" t="str">
        <f t="shared" si="21"/>
        <v>0</v>
      </c>
      <c r="Q16" s="19" t="str">
        <f t="shared" si="22"/>
        <v>0</v>
      </c>
      <c r="R16" s="36" t="str">
        <f t="shared" si="23"/>
        <v>1</v>
      </c>
      <c r="S16" s="59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2</v>
      </c>
      <c r="N17" s="38" t="str">
        <f t="shared" si="19"/>
        <v>2</v>
      </c>
      <c r="O17" s="38" t="str">
        <f t="shared" si="20"/>
        <v>0</v>
      </c>
      <c r="P17" s="38" t="str">
        <f t="shared" si="21"/>
        <v>1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/>
      <c r="D18" s="38" t="s">
        <v>31</v>
      </c>
      <c r="E18" s="42"/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3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2</v>
      </c>
      <c r="O23" s="19" t="str">
        <f t="shared" si="33"/>
        <v>1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9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1</v>
      </c>
      <c r="O24" s="19" t="str">
        <f t="shared" si="33"/>
        <v>2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9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1</v>
      </c>
      <c r="O25" s="38" t="str">
        <f t="shared" si="33"/>
        <v>3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/>
      <c r="D26" s="38" t="s">
        <v>31</v>
      </c>
      <c r="E26" s="42"/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9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/>
      <c r="D34" s="38" t="s">
        <v>31</v>
      </c>
      <c r="E34" s="42"/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/>
      <c r="D39" s="19" t="s">
        <v>31</v>
      </c>
      <c r="E39" s="23"/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9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/>
      <c r="D40" s="19" t="s">
        <v>31</v>
      </c>
      <c r="E40" s="23"/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59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/>
      <c r="D41" s="19" t="s">
        <v>31</v>
      </c>
      <c r="E41" s="23"/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9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/>
      <c r="D42" s="38" t="s">
        <v>31</v>
      </c>
      <c r="E42" s="42"/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/>
      <c r="D47" s="19" t="s">
        <v>31</v>
      </c>
      <c r="E47" s="23"/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/>
      <c r="D48" s="19" t="s">
        <v>31</v>
      </c>
      <c r="E48" s="23"/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/>
      <c r="D49" s="19" t="s">
        <v>31</v>
      </c>
      <c r="E49" s="23"/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9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/>
      <c r="D50" s="38" t="s">
        <v>31</v>
      </c>
      <c r="E50" s="42"/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/>
      <c r="D53" s="19" t="s">
        <v>31</v>
      </c>
      <c r="E53" s="23"/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/>
      <c r="D54" s="19" t="s">
        <v>31</v>
      </c>
      <c r="E54" s="23"/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/>
      <c r="D55" s="19" t="s">
        <v>31</v>
      </c>
      <c r="E55" s="23"/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/>
      <c r="D56" s="19" t="s">
        <v>31</v>
      </c>
      <c r="E56" s="23"/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9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/>
      <c r="D57" s="19" t="s">
        <v>31</v>
      </c>
      <c r="E57" s="23"/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9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/>
      <c r="D58" s="38" t="s">
        <v>31</v>
      </c>
      <c r="E58" s="42"/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/>
      <c r="D62" s="19" t="s">
        <v>31</v>
      </c>
      <c r="E62" s="23"/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/>
      <c r="D63" s="19" t="s">
        <v>31</v>
      </c>
      <c r="E63" s="23"/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9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/>
      <c r="D64" s="19" t="s">
        <v>31</v>
      </c>
      <c r="E64" s="23"/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/>
      <c r="D65" s="19" t="s">
        <v>31</v>
      </c>
      <c r="E65" s="23"/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9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/>
      <c r="D66" s="38" t="s">
        <v>31</v>
      </c>
      <c r="E66" s="42"/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/>
      <c r="D69" s="19" t="s">
        <v>31</v>
      </c>
      <c r="E69" s="23"/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/>
      <c r="D70" s="19" t="s">
        <v>31</v>
      </c>
      <c r="E70" s="23"/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/>
      <c r="D71" s="19" t="s">
        <v>31</v>
      </c>
      <c r="E71" s="23"/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9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/>
      <c r="D72" s="19" t="s">
        <v>31</v>
      </c>
      <c r="E72" s="23"/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9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/>
      <c r="D73" s="19" t="s">
        <v>31</v>
      </c>
      <c r="E73" s="23"/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9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/>
      <c r="D74" s="38" t="s">
        <v>31</v>
      </c>
      <c r="E74" s="42"/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/>
      <c r="D77" s="19" t="s">
        <v>31</v>
      </c>
      <c r="E77" s="23"/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/>
      <c r="D78" s="19" t="s">
        <v>31</v>
      </c>
      <c r="E78" s="23"/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/>
      <c r="D79" s="19" t="s">
        <v>31</v>
      </c>
      <c r="E79" s="23"/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9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/>
      <c r="D80" s="19" t="s">
        <v>31</v>
      </c>
      <c r="E80" s="23"/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9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/>
      <c r="D81" s="19" t="s">
        <v>31</v>
      </c>
      <c r="E81" s="23"/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9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/>
      <c r="D82" s="38" t="s">
        <v>31</v>
      </c>
      <c r="E82" s="42"/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/>
      <c r="D85" s="19" t="s">
        <v>31</v>
      </c>
      <c r="E85" s="23"/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/>
      <c r="D86" s="19" t="s">
        <v>31</v>
      </c>
      <c r="E86" s="23"/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/>
      <c r="D87" s="19" t="s">
        <v>31</v>
      </c>
      <c r="E87" s="23"/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/>
      <c r="D88" s="19" t="s">
        <v>31</v>
      </c>
      <c r="E88" s="23"/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9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/>
      <c r="D89" s="19" t="s">
        <v>31</v>
      </c>
      <c r="E89" s="23"/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9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/>
      <c r="D90" s="38" t="s">
        <v>31</v>
      </c>
      <c r="E90" s="42"/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/>
      <c r="D93" s="19" t="s">
        <v>31</v>
      </c>
      <c r="E93" s="23"/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/>
      <c r="D94" s="19" t="s">
        <v>31</v>
      </c>
      <c r="E94" s="23"/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/>
      <c r="D95" s="19" t="s">
        <v>31</v>
      </c>
      <c r="E95" s="23"/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9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/>
      <c r="D96" s="19" t="s">
        <v>31</v>
      </c>
      <c r="E96" s="23"/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/>
      <c r="D97" s="19" t="s">
        <v>31</v>
      </c>
      <c r="E97" s="23"/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9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/>
      <c r="D98" s="38" t="s">
        <v>31</v>
      </c>
      <c r="E98" s="42"/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2026-06-13T11:49:14Z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