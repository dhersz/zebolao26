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<sst xmlns="http://schemas.openxmlformats.org/spreadsheetml/2006/main" count="12033" uniqueCount="258">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</sst>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-1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3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9</v>
      </c>
      <c r="M6" s="19" t="str">
        <f t="shared" si="3"/>
        <v>6</v>
      </c>
      <c r="N6" s="19" t="str">
        <f t="shared" si="4"/>
        <v>6</v>
      </c>
      <c r="O6" s="19" t="str">
        <f t="shared" si="5"/>
        <v>0</v>
      </c>
      <c r="P6" s="19" t="str">
        <f t="shared" si="6"/>
        <v>3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-4</v>
      </c>
      <c r="N7" s="19" t="str">
        <f t="shared" si="4"/>
        <v>2</v>
      </c>
      <c r="O7" s="19" t="str">
        <f t="shared" si="5"/>
        <v>6</v>
      </c>
      <c r="P7" s="19" t="str">
        <f t="shared" si="6"/>
        <v>0</v>
      </c>
      <c r="Q7" s="19" t="str">
        <f t="shared" si="7"/>
        <v>1</v>
      </c>
      <c r="R7" s="36" t="str">
        <f t="shared" si="8"/>
        <v>2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4</v>
      </c>
      <c r="M8" s="38" t="str">
        <f t="shared" si="3"/>
        <v>-1</v>
      </c>
      <c r="N8" s="38" t="str">
        <f t="shared" si="4"/>
        <v>2</v>
      </c>
      <c r="O8" s="38" t="str">
        <f t="shared" si="5"/>
        <v>3</v>
      </c>
      <c r="P8" s="38" t="str">
        <f t="shared" si="6"/>
        <v>1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>
        <v>1.0</v>
      </c>
      <c r="D9" s="19" t="str">
        <f>APOSTAS!D9</f>
        <v>x</v>
      </c>
      <c r="E9" s="23">
        <v>0.0</v>
      </c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>
        <v>0.0</v>
      </c>
      <c r="D10" s="38" t="str">
        <f>APOSTAS!D10</f>
        <v>x</v>
      </c>
      <c r="E10" s="42">
        <v>3.0</v>
      </c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56" t="str">
        <f t="shared" si="25"/>
        <v>1</v>
      </c>
      <c r="N24" s="56" t="str">
        <f>SUM(E22,E24,E26)</f>
        <v>4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2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>
        <v>4.0</v>
      </c>
      <c r="D25" s="19" t="str">
        <f>APOSTAS!D25</f>
        <v>x</v>
      </c>
      <c r="E25" s="23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>
        <v>0.0</v>
      </c>
      <c r="D26" s="38" t="str">
        <f>APOSTAS!D26</f>
        <v>x</v>
      </c>
      <c r="E26" s="42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4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1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4</v>
      </c>
      <c r="N30" s="19" t="str">
        <f t="shared" si="32"/>
        <v>8</v>
      </c>
      <c r="O30" s="19" t="str">
        <f t="shared" si="33"/>
        <v>4</v>
      </c>
      <c r="P30" s="19" t="str">
        <f t="shared" si="34"/>
        <v>2</v>
      </c>
      <c r="Q30" s="19" t="str">
        <f t="shared" si="35"/>
        <v>0</v>
      </c>
      <c r="R30" s="36" t="str">
        <f t="shared" si="36"/>
        <v>1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4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1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3</v>
      </c>
      <c r="M32" s="38" t="str">
        <f t="shared" si="31"/>
        <v>-2</v>
      </c>
      <c r="N32" s="38" t="str">
        <f t="shared" si="32"/>
        <v>3</v>
      </c>
      <c r="O32" s="38" t="str">
        <f t="shared" si="33"/>
        <v>5</v>
      </c>
      <c r="P32" s="38" t="str">
        <f t="shared" si="34"/>
        <v>1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>
        <v>3.0</v>
      </c>
      <c r="D33" s="19" t="str">
        <f>APOSTAS!D33</f>
        <v>x</v>
      </c>
      <c r="E33" s="23">
        <v>2.0</v>
      </c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>
        <v>0.0</v>
      </c>
      <c r="D34" s="38" t="str">
        <f>APOSTAS!D34</f>
        <v>x</v>
      </c>
      <c r="E34" s="42">
        <v>0.0</v>
      </c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6</v>
      </c>
      <c r="N37" s="19" t="str">
        <f t="shared" ref="N37:N40" si="43">SUM(INDIRECT($U37),INDIRECT($V37),INDIRECT($W37))</f>
        <v>10</v>
      </c>
      <c r="O37" s="19" t="str">
        <f t="shared" ref="O37:O40" si="44">SUM(INDIRECT($X37),INDIRECT($Y37),INDIRECT($Z37))</f>
        <v>4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1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6</v>
      </c>
      <c r="M38" s="19" t="str">
        <f t="shared" si="42"/>
        <v>2</v>
      </c>
      <c r="N38" s="19" t="str">
        <f t="shared" si="43"/>
        <v>4</v>
      </c>
      <c r="O38" s="19" t="str">
        <f t="shared" si="44"/>
        <v>2</v>
      </c>
      <c r="P38" s="19" t="str">
        <f t="shared" si="45"/>
        <v>2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-8</v>
      </c>
      <c r="N39" s="19" t="str">
        <f t="shared" si="43"/>
        <v>1</v>
      </c>
      <c r="O39" s="19" t="str">
        <f t="shared" si="44"/>
        <v>9</v>
      </c>
      <c r="P39" s="19" t="str">
        <f t="shared" si="45"/>
        <v>0</v>
      </c>
      <c r="Q39" s="19" t="str">
        <f t="shared" si="46"/>
        <v>1</v>
      </c>
      <c r="R39" s="36" t="str">
        <f t="shared" si="47"/>
        <v>2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4</v>
      </c>
      <c r="M40" s="38" t="str">
        <f t="shared" si="42"/>
        <v>0</v>
      </c>
      <c r="N40" s="38" t="str">
        <f t="shared" si="43"/>
        <v>2</v>
      </c>
      <c r="O40" s="38" t="str">
        <f t="shared" si="44"/>
        <v>2</v>
      </c>
      <c r="P40" s="38" t="str">
        <f t="shared" si="45"/>
        <v>1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>
        <v>2.0</v>
      </c>
      <c r="D41" s="19" t="str">
        <f>APOSTAS!D41</f>
        <v>x</v>
      </c>
      <c r="E41" s="23">
        <v>1.0</v>
      </c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>
        <v>0.0</v>
      </c>
      <c r="D42" s="38" t="str">
        <f>APOSTAS!D42</f>
        <v>x</v>
      </c>
      <c r="E42" s="42">
        <v>2.0</v>
      </c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7</v>
      </c>
      <c r="M45" s="19" t="str">
        <f t="shared" ref="M45:M48" si="53">N45-O45</f>
        <v>6</v>
      </c>
      <c r="N45" s="19" t="str">
        <f t="shared" ref="N45:N48" si="54">SUM(INDIRECT($U45),INDIRECT($V45),INDIRECT($W45))</f>
        <v>10</v>
      </c>
      <c r="O45" s="19" t="str">
        <f t="shared" ref="O45:O48" si="55">SUM(INDIRECT($X45),INDIRECT($Y45),INDIRECT($Z45))</f>
        <v>4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2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5</v>
      </c>
      <c r="M46" s="19" t="str">
        <f t="shared" si="53"/>
        <v>4</v>
      </c>
      <c r="N46" s="19" t="str">
        <f t="shared" si="54"/>
        <v>7</v>
      </c>
      <c r="O46" s="19" t="str">
        <f t="shared" si="55"/>
        <v>3</v>
      </c>
      <c r="P46" s="19" t="str">
        <f t="shared" si="56"/>
        <v>1</v>
      </c>
      <c r="Q46" s="19" t="str">
        <f t="shared" si="57"/>
        <v>2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4</v>
      </c>
      <c r="M47" s="19" t="str">
        <f t="shared" si="53"/>
        <v>0</v>
      </c>
      <c r="N47" s="19" t="str">
        <f t="shared" si="54"/>
        <v>7</v>
      </c>
      <c r="O47" s="19" t="str">
        <f t="shared" si="55"/>
        <v>7</v>
      </c>
      <c r="P47" s="19" t="str">
        <f t="shared" si="56"/>
        <v>1</v>
      </c>
      <c r="Q47" s="19" t="str">
        <f t="shared" si="57"/>
        <v>1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-10</v>
      </c>
      <c r="N48" s="38" t="str">
        <f t="shared" si="54"/>
        <v>2</v>
      </c>
      <c r="O48" s="38" t="str">
        <f t="shared" si="55"/>
        <v>12</v>
      </c>
      <c r="P48" s="38" t="str">
        <f t="shared" si="56"/>
        <v>0</v>
      </c>
      <c r="Q48" s="38" t="str">
        <f t="shared" si="57"/>
        <v>0</v>
      </c>
      <c r="R48" s="39" t="str">
        <f t="shared" si="58"/>
        <v>3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>
        <v>1.0</v>
      </c>
      <c r="D49" s="19" t="str">
        <f>APOSTAS!D49</f>
        <v>x</v>
      </c>
      <c r="E49" s="23">
        <v>3.0</v>
      </c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>
        <v>1.0</v>
      </c>
      <c r="D50" s="38" t="str">
        <f>APOSTAS!D50</f>
        <v>x</v>
      </c>
      <c r="E50" s="42">
        <v>1.0</v>
      </c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9</v>
      </c>
      <c r="M69" s="19" t="str">
        <f t="shared" ref="M69:M72" si="86">N69-O69</f>
        <v>8</v>
      </c>
      <c r="N69" s="19" t="str">
        <f t="shared" ref="N69:N72" si="87">SUM(INDIRECT($U69),INDIRECT($V69),INDIRECT($W69))</f>
        <v>10</v>
      </c>
      <c r="O69" s="19" t="str">
        <f t="shared" ref="O69:O72" si="88">SUM(INDIRECT($X69),INDIRECT($Y69),INDIRECT($Z69))</f>
        <v>2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3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-11</v>
      </c>
      <c r="N70" s="19" t="str">
        <f t="shared" si="87"/>
        <v>1</v>
      </c>
      <c r="O70" s="19" t="str">
        <f t="shared" si="88"/>
        <v>12</v>
      </c>
      <c r="P70" s="19" t="str">
        <f t="shared" si="89"/>
        <v>0</v>
      </c>
      <c r="Q70" s="19" t="str">
        <f t="shared" si="90"/>
        <v>0</v>
      </c>
      <c r="R70" s="36" t="str">
        <f t="shared" si="91"/>
        <v>3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1</v>
      </c>
      <c r="N71" s="19" t="str">
        <f t="shared" si="87"/>
        <v>8</v>
      </c>
      <c r="O71" s="19" t="str">
        <f t="shared" si="88"/>
        <v>7</v>
      </c>
      <c r="P71" s="19" t="str">
        <f t="shared" si="89"/>
        <v>2</v>
      </c>
      <c r="Q71" s="19" t="str">
        <f t="shared" si="90"/>
        <v>0</v>
      </c>
      <c r="R71" s="36" t="str">
        <f t="shared" si="91"/>
        <v>1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3</v>
      </c>
      <c r="M72" s="38" t="str">
        <f t="shared" si="86"/>
        <v>2</v>
      </c>
      <c r="N72" s="38" t="str">
        <f t="shared" si="87"/>
        <v>8</v>
      </c>
      <c r="O72" s="38" t="str">
        <f t="shared" si="88"/>
        <v>6</v>
      </c>
      <c r="P72" s="38" t="str">
        <f t="shared" si="89"/>
        <v>1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57">
        <v>5.0</v>
      </c>
      <c r="D73" s="19" t="str">
        <f>APOSTAS!D73</f>
        <v>x</v>
      </c>
      <c r="E73" s="58">
        <v>0.0</v>
      </c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59">
        <v>1.0</v>
      </c>
      <c r="D74" s="38" t="str">
        <f>APOSTAS!D74</f>
        <v>x</v>
      </c>
      <c r="E74" s="60">
        <v>4.0</v>
      </c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-1</v>
      </c>
      <c r="N87" s="19" t="str">
        <f t="shared" si="109"/>
        <v>1</v>
      </c>
      <c r="O87" s="19" t="str">
        <f t="shared" si="110"/>
        <v>2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68:F68"/>
    <mergeCell ref="B60:F60"/>
    <mergeCell ref="B76:F76"/>
    <mergeCell ref="B84:F84"/>
    <mergeCell ref="B92:F92"/>
    <mergeCell ref="B44:F44"/>
    <mergeCell ref="B52:F52"/>
    <mergeCell ref="B20:F20"/>
    <mergeCell ref="B28:F28"/>
    <mergeCell ref="B36:F36"/>
    <mergeCell ref="B12:F12"/>
    <mergeCell ref="B2:F2"/>
    <mergeCell ref="H2:I2"/>
    <mergeCell ref="K2:R2"/>
    <mergeCell ref="B4:F4"/>
    <mergeCell ref="G4:G1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4</v>
      </c>
      <c r="Y10" s="33" t="str">
        <f>IF(AND(ISNUMBER(RESULTADOS!C10),ISNUMBER(RESULTADOS!E10),ISNUMBER(C10),ISNUMBER(E10),C10=RESULTADOS!C10,E10=RESULTADOS!E10),2,0)</f>
        <v>2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4</v>
      </c>
      <c r="Y33" s="33" t="str">
        <f>IF(AND(ISNUMBER(RESULTADOS!C33),ISNUMBER(RESULTADOS!E33),ISNUMBER(C33),ISNUMBER(E33),C33=RESULTADOS!C33,E33=RESULTADOS!E33),2,0)</f>
        <v>2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1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1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4</v>
      </c>
      <c r="Y74" s="33" t="str">
        <f>IF(AND(ISNUMBER(RESULTADOS!C74),ISNUMBER(RESULTADOS!E74),ISNUMBER(C74),ISNUMBER(E74),C74=RESULTADOS!C74,E74=RESULTADOS!E74),2,0)</f>
        <v>2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48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4</v>
      </c>
      <c r="Y41" s="33" t="str">
        <f>IF(AND(ISNUMBER(RESULTADOS!C41),ISNUMBER(RESULTADOS!E41),ISNUMBER(C41),ISNUMBER(E41),C41=RESULTADOS!C41,E41=RESULTADOS!E41),2,0)</f>
        <v>2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1</v>
      </c>
      <c r="AA41" s="33" t="str">
        <f>IF(AND(ISNUMBER(RESULTADOS!C41),ISNUMBER(RESULTADOS!E41),ISNUMBER(C41),ISNUMBER(E41),AND(Z41=1,OR(C41=RESULTADOS!C41,E41=RESULTADOS!E41))),1,0)</f>
        <v>1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4</v>
      </c>
      <c r="Y9" s="33" t="str">
        <f>IF(AND(ISNUMBER(RESULTADOS!C9),ISNUMBER(RESULTADOS!E9),ISNUMBER(C9),ISNUMBER(E9),C9=RESULTADOS!C9,E9=RESULTADOS!E9),2,0)</f>
        <v>2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1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1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38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4</v>
      </c>
      <c r="Y34" s="33" t="str">
        <f>IF(AND(ISNUMBER(RESULTADOS!C34),ISNUMBER(RESULTADOS!E34),ISNUMBER(C34),ISNUMBER(E34),C34=RESULTADOS!C34,E34=RESULTADOS!E34),2,0)</f>
        <v>2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2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1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1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1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1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1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90:X90"/>
    <mergeCell ref="U93:X93"/>
    <mergeCell ref="U94:X94"/>
    <mergeCell ref="U95:X95"/>
    <mergeCell ref="U96:X96"/>
    <mergeCell ref="U97:X97"/>
    <mergeCell ref="U98:X98"/>
    <mergeCell ref="U80:X80"/>
    <mergeCell ref="U78:X78"/>
    <mergeCell ref="U79:X79"/>
    <mergeCell ref="U77:X77"/>
    <mergeCell ref="U89:X89"/>
    <mergeCell ref="U81:X81"/>
    <mergeCell ref="U82:X82"/>
    <mergeCell ref="U85:X85"/>
    <mergeCell ref="U86:X86"/>
    <mergeCell ref="U87:X87"/>
    <mergeCell ref="U88:X88"/>
    <mergeCell ref="U13:X13"/>
    <mergeCell ref="U14:X14"/>
    <mergeCell ref="U48:X48"/>
    <mergeCell ref="U49:X49"/>
    <mergeCell ref="U24:X24"/>
    <mergeCell ref="U25:X25"/>
    <mergeCell ref="U29:X29"/>
    <mergeCell ref="U30:X30"/>
    <mergeCell ref="U46:X46"/>
    <mergeCell ref="U45:X45"/>
    <mergeCell ref="U50:X50"/>
    <mergeCell ref="U53:X53"/>
    <mergeCell ref="U56:X56"/>
    <mergeCell ref="U47:X47"/>
    <mergeCell ref="U37:X37"/>
    <mergeCell ref="U42:X42"/>
    <mergeCell ref="U62:X62"/>
    <mergeCell ref="U61:X61"/>
    <mergeCell ref="K2:R2"/>
    <mergeCell ref="T2:X2"/>
    <mergeCell ref="U54:X54"/>
    <mergeCell ref="U55:X55"/>
    <mergeCell ref="B2:F2"/>
    <mergeCell ref="H2:I2"/>
    <mergeCell ref="B4:F4"/>
    <mergeCell ref="U21:X21"/>
    <mergeCell ref="U22:X22"/>
    <mergeCell ref="U38:X38"/>
    <mergeCell ref="U39:X39"/>
    <mergeCell ref="U40:X40"/>
    <mergeCell ref="U41:X41"/>
    <mergeCell ref="U57:X57"/>
    <mergeCell ref="U58:X58"/>
    <mergeCell ref="U64:X64"/>
    <mergeCell ref="U65:X65"/>
    <mergeCell ref="U63:X63"/>
    <mergeCell ref="U66:X66"/>
    <mergeCell ref="U69:X69"/>
    <mergeCell ref="U72:X72"/>
    <mergeCell ref="U73:X73"/>
    <mergeCell ref="U74:X74"/>
    <mergeCell ref="U70:X70"/>
    <mergeCell ref="U71:X71"/>
    <mergeCell ref="U16:X16"/>
    <mergeCell ref="U17:X17"/>
    <mergeCell ref="U15:X15"/>
    <mergeCell ref="U6:X6"/>
    <mergeCell ref="U3:X3"/>
    <mergeCell ref="U5:X5"/>
    <mergeCell ref="U7:X7"/>
    <mergeCell ref="U8:X8"/>
    <mergeCell ref="U9:X9"/>
    <mergeCell ref="U10:X10"/>
    <mergeCell ref="U34:X34"/>
    <mergeCell ref="U31:X31"/>
    <mergeCell ref="U32:X32"/>
    <mergeCell ref="U23:X23"/>
    <mergeCell ref="U33:X33"/>
    <mergeCell ref="U26:X26"/>
    <mergeCell ref="U18:X18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2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2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2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1</v>
      </c>
      <c r="AA73" s="33" t="str">
        <f>IF(AND(ISNUMBER(RESULTADOS!C73),ISNUMBER(RESULTADOS!E73),ISNUMBER(C73),ISNUMBER(E73),AND(Z73=1,OR(C73=RESULTADOS!C73,E73=RESULTADOS!E73))),1,0)</f>
        <v>1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2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1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1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22:X22"/>
    <mergeCell ref="U23:X23"/>
    <mergeCell ref="U24:X24"/>
    <mergeCell ref="U25:X25"/>
    <mergeCell ref="U26:X26"/>
    <mergeCell ref="U29:X29"/>
    <mergeCell ref="U31:X31"/>
    <mergeCell ref="U32:X32"/>
    <mergeCell ref="U79:X79"/>
    <mergeCell ref="U72:X72"/>
    <mergeCell ref="U73:X73"/>
    <mergeCell ref="U33:X33"/>
    <mergeCell ref="U30:X30"/>
    <mergeCell ref="U37:X37"/>
    <mergeCell ref="U38:X38"/>
    <mergeCell ref="U49:X49"/>
    <mergeCell ref="U50:X50"/>
    <mergeCell ref="U53:X53"/>
    <mergeCell ref="U89:X89"/>
    <mergeCell ref="U86:X86"/>
    <mergeCell ref="U90:X90"/>
    <mergeCell ref="U94:X94"/>
    <mergeCell ref="U93:X93"/>
    <mergeCell ref="U95:X95"/>
    <mergeCell ref="U96:X96"/>
    <mergeCell ref="U97:X97"/>
    <mergeCell ref="U98:X98"/>
    <mergeCell ref="U80:X80"/>
    <mergeCell ref="U82:X82"/>
    <mergeCell ref="U81:X81"/>
    <mergeCell ref="U71:X71"/>
    <mergeCell ref="U63:X63"/>
    <mergeCell ref="U64:X64"/>
    <mergeCell ref="U65:X65"/>
    <mergeCell ref="U66:X66"/>
    <mergeCell ref="U69:X69"/>
    <mergeCell ref="U70:X70"/>
    <mergeCell ref="U61:X61"/>
    <mergeCell ref="U62:X62"/>
    <mergeCell ref="B60:F60"/>
    <mergeCell ref="U17:X17"/>
    <mergeCell ref="U18:X18"/>
    <mergeCell ref="B20:F20"/>
    <mergeCell ref="U21:X21"/>
    <mergeCell ref="B28:F28"/>
    <mergeCell ref="U45:X45"/>
    <mergeCell ref="B44:F44"/>
    <mergeCell ref="B36:F36"/>
    <mergeCell ref="U56:X56"/>
    <mergeCell ref="U54:X54"/>
    <mergeCell ref="U55:X55"/>
    <mergeCell ref="U39:X39"/>
    <mergeCell ref="U40:X40"/>
    <mergeCell ref="U41:X41"/>
    <mergeCell ref="U42:X42"/>
    <mergeCell ref="U58:X58"/>
    <mergeCell ref="U57:X57"/>
    <mergeCell ref="B52:F52"/>
    <mergeCell ref="B4:F4"/>
    <mergeCell ref="U87:X87"/>
    <mergeCell ref="U88:X88"/>
    <mergeCell ref="U85:X85"/>
    <mergeCell ref="U34:X34"/>
    <mergeCell ref="U46:X46"/>
    <mergeCell ref="B84:F84"/>
    <mergeCell ref="B12:F12"/>
    <mergeCell ref="U16:X16"/>
    <mergeCell ref="U14:X14"/>
    <mergeCell ref="U13:X13"/>
    <mergeCell ref="U15:X15"/>
    <mergeCell ref="B2:F2"/>
    <mergeCell ref="H2:I2"/>
    <mergeCell ref="T2:X2"/>
    <mergeCell ref="K2:R2"/>
    <mergeCell ref="U6:X6"/>
    <mergeCell ref="U5:X5"/>
    <mergeCell ref="U3:X3"/>
    <mergeCell ref="U10:X10"/>
    <mergeCell ref="U7:X7"/>
    <mergeCell ref="U8:X8"/>
    <mergeCell ref="U9:X9"/>
    <mergeCell ref="B68:F68"/>
    <mergeCell ref="B76:F76"/>
    <mergeCell ref="B92:F92"/>
    <mergeCell ref="U78:X78"/>
    <mergeCell ref="U74:X74"/>
    <mergeCell ref="U77:X77"/>
    <mergeCell ref="U47:X47"/>
    <mergeCell ref="U48:X4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